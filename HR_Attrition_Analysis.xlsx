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Cleaned Data" sheetId="2" state="visible" r:id="rId4"/>
    <sheet name="3. Attrition Summary" sheetId="3" state="visible" r:id="rId5"/>
    <sheet name="4. Insigh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<sst xmlns="http://schemas.openxmlformats.org/spreadsheetml/2006/main" count="7268" uniqueCount="1252">
  <si>
    <t xml:space="preserve">employee_id</t>
  </si>
  <si>
    <t xml:space="preserve">age</t>
  </si>
  <si>
    <t xml:space="preserve">department</t>
  </si>
  <si>
    <t xml:space="preserve">job_level</t>
  </si>
  <si>
    <t xml:space="preserve">education_field</t>
  </si>
  <si>
    <t xml:space="preserve">tenure_years</t>
  </si>
  <si>
    <t xml:space="preserve">monthly_income</t>
  </si>
  <si>
    <t xml:space="preserve">overtime</t>
  </si>
  <si>
    <t xml:space="preserve">job_satisfaction</t>
  </si>
  <si>
    <t xml:space="preserve">worklife_balance</t>
  </si>
  <si>
    <t xml:space="preserve">distance_from_home_km</t>
  </si>
  <si>
    <t xml:space="preserve">years_since_last_promotion</t>
  </si>
  <si>
    <t xml:space="preserve">trainings_last_year</t>
  </si>
  <si>
    <t xml:space="preserve">attrition</t>
  </si>
  <si>
    <t xml:space="preserve">Highlighted cells = data quality issues fixed in the next tab</t>
  </si>
  <si>
    <t xml:space="preserve">EMP-0001</t>
  </si>
  <si>
    <t xml:space="preserve">Engineering</t>
  </si>
  <si>
    <t xml:space="preserve">Junior</t>
  </si>
  <si>
    <t xml:space="preserve">Business</t>
  </si>
  <si>
    <t xml:space="preserve">No</t>
  </si>
  <si>
    <t xml:space="preserve">Yes</t>
  </si>
  <si>
    <t xml:space="preserve">EMP-0002</t>
  </si>
  <si>
    <t xml:space="preserve">Sales</t>
  </si>
  <si>
    <t xml:space="preserve">Mid</t>
  </si>
  <si>
    <t xml:space="preserve">Marketing</t>
  </si>
  <si>
    <t xml:space="preserve">EMP-0003</t>
  </si>
  <si>
    <t xml:space="preserve">Customer Support</t>
  </si>
  <si>
    <t xml:space="preserve">Senior</t>
  </si>
  <si>
    <t xml:space="preserve">Technical</t>
  </si>
  <si>
    <t xml:space="preserve">EMP-0004</t>
  </si>
  <si>
    <t xml:space="preserve">EMP-0005</t>
  </si>
  <si>
    <t xml:space="preserve">EMP-0006</t>
  </si>
  <si>
    <t xml:space="preserve">Finance</t>
  </si>
  <si>
    <t xml:space="preserve">EMP-0007</t>
  </si>
  <si>
    <t xml:space="preserve">EMP-0008</t>
  </si>
  <si>
    <t xml:space="preserve">EMP-0009</t>
  </si>
  <si>
    <t xml:space="preserve">EMP-0010</t>
  </si>
  <si>
    <t xml:space="preserve">EMP-0011</t>
  </si>
  <si>
    <t xml:space="preserve">EMP-0012</t>
  </si>
  <si>
    <t xml:space="preserve">EMP-0013</t>
  </si>
  <si>
    <t xml:space="preserve">EMP-0014</t>
  </si>
  <si>
    <t xml:space="preserve">Other</t>
  </si>
  <si>
    <t xml:space="preserve">EMP-0015</t>
  </si>
  <si>
    <t xml:space="preserve">EMP-0016</t>
  </si>
  <si>
    <t xml:space="preserve">EMP-0017</t>
  </si>
  <si>
    <t xml:space="preserve">HR</t>
  </si>
  <si>
    <t xml:space="preserve">EMP-0018</t>
  </si>
  <si>
    <t xml:space="preserve">EMP-0019</t>
  </si>
  <si>
    <t xml:space="preserve">Lead</t>
  </si>
  <si>
    <t xml:space="preserve">EMP-0020</t>
  </si>
  <si>
    <t xml:space="preserve">EMP-0021</t>
  </si>
  <si>
    <t xml:space="preserve">EMP-0022</t>
  </si>
  <si>
    <t xml:space="preserve">EMP-0023</t>
  </si>
  <si>
    <t xml:space="preserve">EMP-0024</t>
  </si>
  <si>
    <t xml:space="preserve">EMP-0025</t>
  </si>
  <si>
    <t xml:space="preserve">EMP-0026</t>
  </si>
  <si>
    <t xml:space="preserve">EMP-0027</t>
  </si>
  <si>
    <t xml:space="preserve">EMP-0028</t>
  </si>
  <si>
    <t xml:space="preserve">EMP-0029</t>
  </si>
  <si>
    <t xml:space="preserve">EMP-0030</t>
  </si>
  <si>
    <t xml:space="preserve">EMP-0031</t>
  </si>
  <si>
    <t xml:space="preserve">EMP-0032</t>
  </si>
  <si>
    <t xml:space="preserve">EMP-0033</t>
  </si>
  <si>
    <t xml:space="preserve">EMP-0034</t>
  </si>
  <si>
    <t xml:space="preserve">EMP-0035</t>
  </si>
  <si>
    <t xml:space="preserve">EMP-0036</t>
  </si>
  <si>
    <t xml:space="preserve">EMP-0037</t>
  </si>
  <si>
    <t xml:space="preserve">EMP-0038</t>
  </si>
  <si>
    <t xml:space="preserve">EMP-0039</t>
  </si>
  <si>
    <t xml:space="preserve">EMP-0040</t>
  </si>
  <si>
    <t xml:space="preserve">EMP-0041</t>
  </si>
  <si>
    <t xml:space="preserve">EMP-0042</t>
  </si>
  <si>
    <t xml:space="preserve">EMP-0043</t>
  </si>
  <si>
    <t xml:space="preserve">EMP-0044</t>
  </si>
  <si>
    <t xml:space="preserve">EMP-0045</t>
  </si>
  <si>
    <t xml:space="preserve">EMP-0046</t>
  </si>
  <si>
    <t xml:space="preserve">EMP-0047</t>
  </si>
  <si>
    <t xml:space="preserve">EMP-0048</t>
  </si>
  <si>
    <t xml:space="preserve">EMP-0049</t>
  </si>
  <si>
    <t xml:space="preserve">EMP-0050</t>
  </si>
  <si>
    <t xml:space="preserve">EMP-0051</t>
  </si>
  <si>
    <t xml:space="preserve">EMP-0052</t>
  </si>
  <si>
    <t xml:space="preserve">EMP-0053</t>
  </si>
  <si>
    <t xml:space="preserve">EMP-0054</t>
  </si>
  <si>
    <t xml:space="preserve">EMP-0055</t>
  </si>
  <si>
    <t xml:space="preserve">EMP-0056</t>
  </si>
  <si>
    <t xml:space="preserve">EMP-0057</t>
  </si>
  <si>
    <t xml:space="preserve">EMP-0058</t>
  </si>
  <si>
    <t xml:space="preserve">EMP-0059</t>
  </si>
  <si>
    <t xml:space="preserve">EMP-0060</t>
  </si>
  <si>
    <t xml:space="preserve">EMP-0061</t>
  </si>
  <si>
    <t xml:space="preserve">EMP-0062</t>
  </si>
  <si>
    <t xml:space="preserve">yes</t>
  </si>
  <si>
    <t xml:space="preserve">EMP-0063</t>
  </si>
  <si>
    <t xml:space="preserve">EMP-0064</t>
  </si>
  <si>
    <t xml:space="preserve">EMP-0065</t>
  </si>
  <si>
    <t xml:space="preserve">EMP-0066</t>
  </si>
  <si>
    <t xml:space="preserve">EMP-0067</t>
  </si>
  <si>
    <t xml:space="preserve">EMP-0068</t>
  </si>
  <si>
    <t xml:space="preserve">EMP-0069</t>
  </si>
  <si>
    <t xml:space="preserve">no</t>
  </si>
  <si>
    <t xml:space="preserve">EMP-0070</t>
  </si>
  <si>
    <t xml:space="preserve">EMP-0071</t>
  </si>
  <si>
    <t xml:space="preserve">EMP-0072</t>
  </si>
  <si>
    <t xml:space="preserve">EMP-0073</t>
  </si>
  <si>
    <t xml:space="preserve">EMP-0074</t>
  </si>
  <si>
    <t xml:space="preserve">EMP-0075</t>
  </si>
  <si>
    <t xml:space="preserve">EMP-0076</t>
  </si>
  <si>
    <t xml:space="preserve">EMP-0077</t>
  </si>
  <si>
    <t xml:space="preserve">EMP-0078</t>
  </si>
  <si>
    <t xml:space="preserve">EMP-0079</t>
  </si>
  <si>
    <t xml:space="preserve">EMP-0080</t>
  </si>
  <si>
    <t xml:space="preserve">EMP-0081</t>
  </si>
  <si>
    <t xml:space="preserve">EMP-0082</t>
  </si>
  <si>
    <t xml:space="preserve">EMP-0083</t>
  </si>
  <si>
    <t xml:space="preserve">EMP-0084</t>
  </si>
  <si>
    <t xml:space="preserve">EMP-0085</t>
  </si>
  <si>
    <t xml:space="preserve">EMP-0086</t>
  </si>
  <si>
    <t xml:space="preserve">EMP-0087</t>
  </si>
  <si>
    <t xml:space="preserve">EMP-0088</t>
  </si>
  <si>
    <t xml:space="preserve">EMP-0089</t>
  </si>
  <si>
    <t xml:space="preserve">EMP-0090</t>
  </si>
  <si>
    <t xml:space="preserve">EMP-0091</t>
  </si>
  <si>
    <t xml:space="preserve">EMP-0092</t>
  </si>
  <si>
    <t xml:space="preserve">EMP-0093</t>
  </si>
  <si>
    <t xml:space="preserve">EMP-0094</t>
  </si>
  <si>
    <t xml:space="preserve">EMP-0095</t>
  </si>
  <si>
    <t xml:space="preserve">EMP-0096</t>
  </si>
  <si>
    <t xml:space="preserve">EMP-0097</t>
  </si>
  <si>
    <t xml:space="preserve">EMP-0098</t>
  </si>
  <si>
    <t xml:space="preserve">EMP-0099</t>
  </si>
  <si>
    <t xml:space="preserve">EMP-0100</t>
  </si>
  <si>
    <t xml:space="preserve">EMP-0101</t>
  </si>
  <si>
    <t xml:space="preserve">EMP-0102</t>
  </si>
  <si>
    <t xml:space="preserve">EMP-0103</t>
  </si>
  <si>
    <t xml:space="preserve">EMP-0104</t>
  </si>
  <si>
    <t xml:space="preserve">EMP-0105</t>
  </si>
  <si>
    <t xml:space="preserve">EMP-0106</t>
  </si>
  <si>
    <t xml:space="preserve">EMP-0107</t>
  </si>
  <si>
    <t xml:space="preserve">EMP-0108</t>
  </si>
  <si>
    <t xml:space="preserve">EMP-0109</t>
  </si>
  <si>
    <t xml:space="preserve">EMP-0110</t>
  </si>
  <si>
    <t xml:space="preserve">EMP-0111</t>
  </si>
  <si>
    <t xml:space="preserve">EMP-0112</t>
  </si>
  <si>
    <t xml:space="preserve">EMP-0113</t>
  </si>
  <si>
    <t xml:space="preserve">EMP-0114</t>
  </si>
  <si>
    <t xml:space="preserve">EMP-0115</t>
  </si>
  <si>
    <t xml:space="preserve">EMP-0116</t>
  </si>
  <si>
    <t xml:space="preserve">EMP-0117</t>
  </si>
  <si>
    <t xml:space="preserve">EMP-0118</t>
  </si>
  <si>
    <t xml:space="preserve">EMP-0119</t>
  </si>
  <si>
    <t xml:space="preserve">EMP-0120</t>
  </si>
  <si>
    <t xml:space="preserve">EMP-0121</t>
  </si>
  <si>
    <t xml:space="preserve">EMP-0122</t>
  </si>
  <si>
    <t xml:space="preserve">EMP-0123</t>
  </si>
  <si>
    <t xml:space="preserve">EMP-0124</t>
  </si>
  <si>
    <t xml:space="preserve">EMP-0125</t>
  </si>
  <si>
    <t xml:space="preserve">EMP-0126</t>
  </si>
  <si>
    <t xml:space="preserve">EMP-0127</t>
  </si>
  <si>
    <t xml:space="preserve">EMP-0128</t>
  </si>
  <si>
    <t xml:space="preserve">EMP-0129</t>
  </si>
  <si>
    <t xml:space="preserve">EMP-0130</t>
  </si>
  <si>
    <t xml:space="preserve">EMP-0131</t>
  </si>
  <si>
    <t xml:space="preserve">EMP-0132</t>
  </si>
  <si>
    <t xml:space="preserve">EMP-0133</t>
  </si>
  <si>
    <t xml:space="preserve">EMP-0134</t>
  </si>
  <si>
    <t xml:space="preserve">EMP-0135</t>
  </si>
  <si>
    <t xml:space="preserve">EMP-0136</t>
  </si>
  <si>
    <t xml:space="preserve">EMP-0137</t>
  </si>
  <si>
    <t xml:space="preserve">EMP-0138</t>
  </si>
  <si>
    <t xml:space="preserve">EMP-0139</t>
  </si>
  <si>
    <t xml:space="preserve">EMP-0140</t>
  </si>
  <si>
    <t xml:space="preserve">EMP-0141</t>
  </si>
  <si>
    <t xml:space="preserve">EMP-0142</t>
  </si>
  <si>
    <t xml:space="preserve">EMP-0143</t>
  </si>
  <si>
    <t xml:space="preserve">EMP-0144</t>
  </si>
  <si>
    <t xml:space="preserve">EMP-0145</t>
  </si>
  <si>
    <t xml:space="preserve">EMP-0146</t>
  </si>
  <si>
    <t xml:space="preserve">EMP-0147</t>
  </si>
  <si>
    <t xml:space="preserve">EMP-0148</t>
  </si>
  <si>
    <t xml:space="preserve">EMP-0149</t>
  </si>
  <si>
    <t xml:space="preserve">EMP-0150</t>
  </si>
  <si>
    <t xml:space="preserve">EMP-0151</t>
  </si>
  <si>
    <t xml:space="preserve">EMP-0152</t>
  </si>
  <si>
    <t xml:space="preserve">EMP-0153</t>
  </si>
  <si>
    <t xml:space="preserve">EMP-0154</t>
  </si>
  <si>
    <t xml:space="preserve">EMP-0155</t>
  </si>
  <si>
    <t xml:space="preserve">EMP-0156</t>
  </si>
  <si>
    <t xml:space="preserve">EMP-0157</t>
  </si>
  <si>
    <t xml:space="preserve">EMP-0158</t>
  </si>
  <si>
    <t xml:space="preserve">EMP-0159</t>
  </si>
  <si>
    <t xml:space="preserve">EMP-0160</t>
  </si>
  <si>
    <t xml:space="preserve">EMP-0161</t>
  </si>
  <si>
    <t xml:space="preserve">EMP-0162</t>
  </si>
  <si>
    <t xml:space="preserve">EMP-0163</t>
  </si>
  <si>
    <t xml:space="preserve">EMP-0164</t>
  </si>
  <si>
    <t xml:space="preserve">EMP-0165</t>
  </si>
  <si>
    <t xml:space="preserve">EMP-0166</t>
  </si>
  <si>
    <t xml:space="preserve">EMP-0167</t>
  </si>
  <si>
    <t xml:space="preserve">EMP-0168</t>
  </si>
  <si>
    <t xml:space="preserve">EMP-0169</t>
  </si>
  <si>
    <t xml:space="preserve">EMP-0170</t>
  </si>
  <si>
    <t xml:space="preserve">EMP-0171</t>
  </si>
  <si>
    <t xml:space="preserve">EMP-0172</t>
  </si>
  <si>
    <t xml:space="preserve">EMP-0173</t>
  </si>
  <si>
    <t xml:space="preserve">EMP-0174</t>
  </si>
  <si>
    <t xml:space="preserve">EMP-0175</t>
  </si>
  <si>
    <t xml:space="preserve">EMP-0176</t>
  </si>
  <si>
    <t xml:space="preserve">EMP-0177</t>
  </si>
  <si>
    <t xml:space="preserve">EMP-0178</t>
  </si>
  <si>
    <t xml:space="preserve">EMP-0179</t>
  </si>
  <si>
    <t xml:space="preserve">EMP-0180</t>
  </si>
  <si>
    <t xml:space="preserve">EMP-0181</t>
  </si>
  <si>
    <t xml:space="preserve">EMP-0182</t>
  </si>
  <si>
    <t xml:space="preserve">EMP-0183</t>
  </si>
  <si>
    <t xml:space="preserve">EMP-0184</t>
  </si>
  <si>
    <t xml:space="preserve">EMP-0185</t>
  </si>
  <si>
    <t xml:space="preserve">EMP-0186</t>
  </si>
  <si>
    <t xml:space="preserve">EMP-0187</t>
  </si>
  <si>
    <t xml:space="preserve">EMP-0188</t>
  </si>
  <si>
    <t xml:space="preserve">EMP-0189</t>
  </si>
  <si>
    <t xml:space="preserve">EMP-0190</t>
  </si>
  <si>
    <t xml:space="preserve">EMP-0191</t>
  </si>
  <si>
    <t xml:space="preserve">EMP-0192</t>
  </si>
  <si>
    <t xml:space="preserve">EMP-0193</t>
  </si>
  <si>
    <t xml:space="preserve">EMP-0194</t>
  </si>
  <si>
    <t xml:space="preserve">EMP-0195</t>
  </si>
  <si>
    <t xml:space="preserve">EMP-0196</t>
  </si>
  <si>
    <t xml:space="preserve">EMP-0197</t>
  </si>
  <si>
    <t xml:space="preserve">EMP-0198</t>
  </si>
  <si>
    <t xml:space="preserve">EMP-0199</t>
  </si>
  <si>
    <t xml:space="preserve">EMP-0200</t>
  </si>
  <si>
    <t xml:space="preserve">EMP-0201</t>
  </si>
  <si>
    <t xml:space="preserve">EMP-0202</t>
  </si>
  <si>
    <t xml:space="preserve">EMP-0203</t>
  </si>
  <si>
    <t xml:space="preserve">EMP-0204</t>
  </si>
  <si>
    <t xml:space="preserve">EMP-0205</t>
  </si>
  <si>
    <t xml:space="preserve">EMP-0206</t>
  </si>
  <si>
    <t xml:space="preserve">EMP-0207</t>
  </si>
  <si>
    <t xml:space="preserve">EMP-0208</t>
  </si>
  <si>
    <t xml:space="preserve">EMP-0209</t>
  </si>
  <si>
    <t xml:space="preserve">EMP-0210</t>
  </si>
  <si>
    <t xml:space="preserve">EMP-0211</t>
  </si>
  <si>
    <t xml:space="preserve">EMP-0212</t>
  </si>
  <si>
    <t xml:space="preserve">EMP-0213</t>
  </si>
  <si>
    <t xml:space="preserve">EMP-0214</t>
  </si>
  <si>
    <t xml:space="preserve">EMP-0215</t>
  </si>
  <si>
    <t xml:space="preserve">EMP-0216</t>
  </si>
  <si>
    <t xml:space="preserve">EMP-0217</t>
  </si>
  <si>
    <t xml:space="preserve">EMP-0218</t>
  </si>
  <si>
    <t xml:space="preserve">EMP-0219</t>
  </si>
  <si>
    <t xml:space="preserve">EMP-0220</t>
  </si>
  <si>
    <t xml:space="preserve">EMP-0221</t>
  </si>
  <si>
    <t xml:space="preserve">EMP-0222</t>
  </si>
  <si>
    <t xml:space="preserve">EMP-0223</t>
  </si>
  <si>
    <t xml:space="preserve">EMP-0224</t>
  </si>
  <si>
    <t xml:space="preserve">EMP-0225</t>
  </si>
  <si>
    <t xml:space="preserve">EMP-0226</t>
  </si>
  <si>
    <t xml:space="preserve">EMP-0227</t>
  </si>
  <si>
    <t xml:space="preserve">EMP-0228</t>
  </si>
  <si>
    <t xml:space="preserve">EMP-0229</t>
  </si>
  <si>
    <t xml:space="preserve">EMP-0230</t>
  </si>
  <si>
    <t xml:space="preserve">EMP-0231</t>
  </si>
  <si>
    <t xml:space="preserve">EMP-0232</t>
  </si>
  <si>
    <t xml:space="preserve">EMP-0233</t>
  </si>
  <si>
    <t xml:space="preserve">EMP-0234</t>
  </si>
  <si>
    <t xml:space="preserve">EMP-0235</t>
  </si>
  <si>
    <t xml:space="preserve">EMP-0236</t>
  </si>
  <si>
    <t xml:space="preserve">EMP-0237</t>
  </si>
  <si>
    <t xml:space="preserve">EMP-0238</t>
  </si>
  <si>
    <t xml:space="preserve">EMP-0239</t>
  </si>
  <si>
    <t xml:space="preserve">EMP-0240</t>
  </si>
  <si>
    <t xml:space="preserve">EMP-0241</t>
  </si>
  <si>
    <t xml:space="preserve">EMP-0242</t>
  </si>
  <si>
    <t xml:space="preserve">EMP-0243</t>
  </si>
  <si>
    <t xml:space="preserve">EMP-0244</t>
  </si>
  <si>
    <t xml:space="preserve">EMP-0245</t>
  </si>
  <si>
    <t xml:space="preserve">EMP-0246</t>
  </si>
  <si>
    <t xml:space="preserve">EMP-0247</t>
  </si>
  <si>
    <t xml:space="preserve">EMP-0248</t>
  </si>
  <si>
    <t xml:space="preserve">EMP-0249</t>
  </si>
  <si>
    <t xml:space="preserve">EMP-0250</t>
  </si>
  <si>
    <t xml:space="preserve">EMP-0251</t>
  </si>
  <si>
    <t xml:space="preserve">EMP-0252</t>
  </si>
  <si>
    <t xml:space="preserve">EMP-0253</t>
  </si>
  <si>
    <t xml:space="preserve">EMP-0254</t>
  </si>
  <si>
    <t xml:space="preserve">EMP-0255</t>
  </si>
  <si>
    <t xml:space="preserve">EMP-0256</t>
  </si>
  <si>
    <t xml:space="preserve">EMP-0257</t>
  </si>
  <si>
    <t xml:space="preserve">EMP-0258</t>
  </si>
  <si>
    <t xml:space="preserve">EMP-0259</t>
  </si>
  <si>
    <t xml:space="preserve">EMP-0260</t>
  </si>
  <si>
    <t xml:space="preserve">EMP-0261</t>
  </si>
  <si>
    <t xml:space="preserve">EMP-0262</t>
  </si>
  <si>
    <t xml:space="preserve">EMP-0263</t>
  </si>
  <si>
    <t xml:space="preserve">EMP-0264</t>
  </si>
  <si>
    <t xml:space="preserve">EMP-0265</t>
  </si>
  <si>
    <t xml:space="preserve">EMP-0266</t>
  </si>
  <si>
    <t xml:space="preserve">EMP-0267</t>
  </si>
  <si>
    <t xml:space="preserve">EMP-0268</t>
  </si>
  <si>
    <t xml:space="preserve">EMP-0269</t>
  </si>
  <si>
    <t xml:space="preserve">EMP-0270</t>
  </si>
  <si>
    <t xml:space="preserve">EMP-0271</t>
  </si>
  <si>
    <t xml:space="preserve">EMP-0272</t>
  </si>
  <si>
    <t xml:space="preserve">EMP-0273</t>
  </si>
  <si>
    <t xml:space="preserve">EMP-0274</t>
  </si>
  <si>
    <t xml:space="preserve">EMP-0275</t>
  </si>
  <si>
    <t xml:space="preserve">EMP-0276</t>
  </si>
  <si>
    <t xml:space="preserve">EMP-0277</t>
  </si>
  <si>
    <t xml:space="preserve">EMP-0278</t>
  </si>
  <si>
    <t xml:space="preserve">EMP-0279</t>
  </si>
  <si>
    <t xml:space="preserve">EMP-0280</t>
  </si>
  <si>
    <t xml:space="preserve">EMP-0281</t>
  </si>
  <si>
    <t xml:space="preserve">EMP-0282</t>
  </si>
  <si>
    <t xml:space="preserve">EMP-0283</t>
  </si>
  <si>
    <t xml:space="preserve">EMP-0284</t>
  </si>
  <si>
    <t xml:space="preserve">EMP-0285</t>
  </si>
  <si>
    <t xml:space="preserve">EMP-0286</t>
  </si>
  <si>
    <t xml:space="preserve">EMP-0287</t>
  </si>
  <si>
    <t xml:space="preserve">EMP-0288</t>
  </si>
  <si>
    <t xml:space="preserve">EMP-0289</t>
  </si>
  <si>
    <t xml:space="preserve">EMP-0290</t>
  </si>
  <si>
    <t xml:space="preserve">EMP-0291</t>
  </si>
  <si>
    <t xml:space="preserve">EMP-0292</t>
  </si>
  <si>
    <t xml:space="preserve">EMP-0293</t>
  </si>
  <si>
    <t xml:space="preserve">EMP-0294</t>
  </si>
  <si>
    <t xml:space="preserve">EMP-0295</t>
  </si>
  <si>
    <t xml:space="preserve">EMP-0296</t>
  </si>
  <si>
    <t xml:space="preserve">EMP-0297</t>
  </si>
  <si>
    <t xml:space="preserve">EMP-0298</t>
  </si>
  <si>
    <t xml:space="preserve">EMP-0299</t>
  </si>
  <si>
    <t xml:space="preserve">EMP-0300</t>
  </si>
  <si>
    <t xml:space="preserve">EMP-0301</t>
  </si>
  <si>
    <t xml:space="preserve">EMP-0302</t>
  </si>
  <si>
    <t xml:space="preserve">EMP-0303</t>
  </si>
  <si>
    <t xml:space="preserve">EMP-0304</t>
  </si>
  <si>
    <t xml:space="preserve">EMP-0305</t>
  </si>
  <si>
    <t xml:space="preserve">EMP-0306</t>
  </si>
  <si>
    <t xml:space="preserve">EMP-0307</t>
  </si>
  <si>
    <t xml:space="preserve">EMP-0308</t>
  </si>
  <si>
    <t xml:space="preserve">EMP-0309</t>
  </si>
  <si>
    <t xml:space="preserve">EMP-0310</t>
  </si>
  <si>
    <t xml:space="preserve">EMP-0311</t>
  </si>
  <si>
    <t xml:space="preserve">EMP-0312</t>
  </si>
  <si>
    <t xml:space="preserve">EMP-0313</t>
  </si>
  <si>
    <t xml:space="preserve">EMP-0314</t>
  </si>
  <si>
    <t xml:space="preserve">EMP-0315</t>
  </si>
  <si>
    <t xml:space="preserve">EMP-0316</t>
  </si>
  <si>
    <t xml:space="preserve">EMP-0317</t>
  </si>
  <si>
    <t xml:space="preserve">EMP-0318</t>
  </si>
  <si>
    <t xml:space="preserve">EMP-0319</t>
  </si>
  <si>
    <t xml:space="preserve">EMP-0320</t>
  </si>
  <si>
    <t xml:space="preserve">EMP-0321</t>
  </si>
  <si>
    <t xml:space="preserve">EMP-0322</t>
  </si>
  <si>
    <t xml:space="preserve">EMP-0323</t>
  </si>
  <si>
    <t xml:space="preserve">EMP-0324</t>
  </si>
  <si>
    <t xml:space="preserve">EMP-0325</t>
  </si>
  <si>
    <t xml:space="preserve">EMP-0326</t>
  </si>
  <si>
    <t xml:space="preserve">EMP-0327</t>
  </si>
  <si>
    <t xml:space="preserve">EMP-0328</t>
  </si>
  <si>
    <t xml:space="preserve">EMP-0329</t>
  </si>
  <si>
    <t xml:space="preserve">EMP-0330</t>
  </si>
  <si>
    <t xml:space="preserve">EMP-0331</t>
  </si>
  <si>
    <t xml:space="preserve">EMP-0332</t>
  </si>
  <si>
    <t xml:space="preserve">EMP-0333</t>
  </si>
  <si>
    <t xml:space="preserve">EMP-0334</t>
  </si>
  <si>
    <t xml:space="preserve">EMP-0335</t>
  </si>
  <si>
    <t xml:space="preserve">EMP-0336</t>
  </si>
  <si>
    <t xml:space="preserve">EMP-0337</t>
  </si>
  <si>
    <t xml:space="preserve">EMP-0338</t>
  </si>
  <si>
    <t xml:space="preserve">EMP-0339</t>
  </si>
  <si>
    <t xml:space="preserve">EMP-0340</t>
  </si>
  <si>
    <t xml:space="preserve">EMP-0341</t>
  </si>
  <si>
    <t xml:space="preserve">EMP-0342</t>
  </si>
  <si>
    <t xml:space="preserve">EMP-0343</t>
  </si>
  <si>
    <t xml:space="preserve">EMP-0344</t>
  </si>
  <si>
    <t xml:space="preserve">EMP-0345</t>
  </si>
  <si>
    <t xml:space="preserve">EMP-0346</t>
  </si>
  <si>
    <t xml:space="preserve">EMP-0347</t>
  </si>
  <si>
    <t xml:space="preserve">EMP-0348</t>
  </si>
  <si>
    <t xml:space="preserve">EMP-0349</t>
  </si>
  <si>
    <t xml:space="preserve">EMP-0350</t>
  </si>
  <si>
    <t xml:space="preserve">EMP-0351</t>
  </si>
  <si>
    <t xml:space="preserve">EMP-0352</t>
  </si>
  <si>
    <t xml:space="preserve">EMP-0353</t>
  </si>
  <si>
    <t xml:space="preserve">EMP-0354</t>
  </si>
  <si>
    <t xml:space="preserve">EMP-0355</t>
  </si>
  <si>
    <t xml:space="preserve">EMP-0356</t>
  </si>
  <si>
    <t xml:space="preserve">EMP-0357</t>
  </si>
  <si>
    <t xml:space="preserve">EMP-0358</t>
  </si>
  <si>
    <t xml:space="preserve">EMP-0359</t>
  </si>
  <si>
    <t xml:space="preserve">EMP-0360</t>
  </si>
  <si>
    <t xml:space="preserve">EMP-0361</t>
  </si>
  <si>
    <t xml:space="preserve">EMP-0362</t>
  </si>
  <si>
    <t xml:space="preserve">EMP-0363</t>
  </si>
  <si>
    <t xml:space="preserve">EMP-0364</t>
  </si>
  <si>
    <t xml:space="preserve">EMP-0365</t>
  </si>
  <si>
    <t xml:space="preserve">EMP-0366</t>
  </si>
  <si>
    <t xml:space="preserve">EMP-0367</t>
  </si>
  <si>
    <t xml:space="preserve">EMP-0368</t>
  </si>
  <si>
    <t xml:space="preserve">EMP-0369</t>
  </si>
  <si>
    <t xml:space="preserve">EMP-0370</t>
  </si>
  <si>
    <t xml:space="preserve">EMP-0371</t>
  </si>
  <si>
    <t xml:space="preserve">EMP-0372</t>
  </si>
  <si>
    <t xml:space="preserve">EMP-0373</t>
  </si>
  <si>
    <t xml:space="preserve">EMP-0374</t>
  </si>
  <si>
    <t xml:space="preserve">EMP-0375</t>
  </si>
  <si>
    <t xml:space="preserve">EMP-0376</t>
  </si>
  <si>
    <t xml:space="preserve">EMP-0377</t>
  </si>
  <si>
    <t xml:space="preserve">EMP-0378</t>
  </si>
  <si>
    <t xml:space="preserve">EMP-0379</t>
  </si>
  <si>
    <t xml:space="preserve">EMP-0380</t>
  </si>
  <si>
    <t xml:space="preserve">EMP-0381</t>
  </si>
  <si>
    <t xml:space="preserve">EMP-0382</t>
  </si>
  <si>
    <t xml:space="preserve">EMP-0383</t>
  </si>
  <si>
    <t xml:space="preserve">EMP-0384</t>
  </si>
  <si>
    <t xml:space="preserve">EMP-0385</t>
  </si>
  <si>
    <t xml:space="preserve">EMP-0386</t>
  </si>
  <si>
    <t xml:space="preserve">EMP-0387</t>
  </si>
  <si>
    <t xml:space="preserve">EMP-0388</t>
  </si>
  <si>
    <t xml:space="preserve">EMP-0389</t>
  </si>
  <si>
    <t xml:space="preserve">EMP-0390</t>
  </si>
  <si>
    <t xml:space="preserve">EMP-0391</t>
  </si>
  <si>
    <t xml:space="preserve">EMP-0392</t>
  </si>
  <si>
    <t xml:space="preserve">EMP-0393</t>
  </si>
  <si>
    <t xml:space="preserve">EMP-0394</t>
  </si>
  <si>
    <t xml:space="preserve">EMP-0395</t>
  </si>
  <si>
    <t xml:space="preserve">EMP-0396</t>
  </si>
  <si>
    <t xml:space="preserve">EMP-0397</t>
  </si>
  <si>
    <t xml:space="preserve">EMP-0398</t>
  </si>
  <si>
    <t xml:space="preserve">EMP-0399</t>
  </si>
  <si>
    <t xml:space="preserve">EMP-0400</t>
  </si>
  <si>
    <t xml:space="preserve">EMP-0401</t>
  </si>
  <si>
    <t xml:space="preserve">EMP-0402</t>
  </si>
  <si>
    <t xml:space="preserve">EMP-0403</t>
  </si>
  <si>
    <t xml:space="preserve">EMP-0404</t>
  </si>
  <si>
    <t xml:space="preserve">EMP-0405</t>
  </si>
  <si>
    <t xml:space="preserve">EMP-0406</t>
  </si>
  <si>
    <t xml:space="preserve">EMP-0407</t>
  </si>
  <si>
    <t xml:space="preserve">EMP-0408</t>
  </si>
  <si>
    <t xml:space="preserve">EMP-0409</t>
  </si>
  <si>
    <t xml:space="preserve">EMP-0410</t>
  </si>
  <si>
    <t xml:space="preserve">EMP-0411</t>
  </si>
  <si>
    <t xml:space="preserve">EMP-0412</t>
  </si>
  <si>
    <t xml:space="preserve">EMP-0413</t>
  </si>
  <si>
    <t xml:space="preserve">EMP-0414</t>
  </si>
  <si>
    <t xml:space="preserve">EMP-0415</t>
  </si>
  <si>
    <t xml:space="preserve">EMP-0416</t>
  </si>
  <si>
    <t xml:space="preserve">EMP-0417</t>
  </si>
  <si>
    <t xml:space="preserve">EMP-0418</t>
  </si>
  <si>
    <t xml:space="preserve">EMP-0419</t>
  </si>
  <si>
    <t xml:space="preserve">EMP-0420</t>
  </si>
  <si>
    <t xml:space="preserve">EMP-0421</t>
  </si>
  <si>
    <t xml:space="preserve">EMP-0422</t>
  </si>
  <si>
    <t xml:space="preserve">EMP-0423</t>
  </si>
  <si>
    <t xml:space="preserve">EMP-0424</t>
  </si>
  <si>
    <t xml:space="preserve">EMP-0425</t>
  </si>
  <si>
    <t xml:space="preserve">EMP-0426</t>
  </si>
  <si>
    <t xml:space="preserve">EMP-0427</t>
  </si>
  <si>
    <t xml:space="preserve">EMP-0428</t>
  </si>
  <si>
    <t xml:space="preserve">EMP-0429</t>
  </si>
  <si>
    <t xml:space="preserve">EMP-0430</t>
  </si>
  <si>
    <t xml:space="preserve">EMP-0431</t>
  </si>
  <si>
    <t xml:space="preserve">EMP-0432</t>
  </si>
  <si>
    <t xml:space="preserve">EMP-0433</t>
  </si>
  <si>
    <t xml:space="preserve">EMP-0434</t>
  </si>
  <si>
    <t xml:space="preserve">EMP-0435</t>
  </si>
  <si>
    <t xml:space="preserve">EMP-0436</t>
  </si>
  <si>
    <t xml:space="preserve">EMP-0437</t>
  </si>
  <si>
    <t xml:space="preserve">EMP-0438</t>
  </si>
  <si>
    <t xml:space="preserve">EMP-0439</t>
  </si>
  <si>
    <t xml:space="preserve">EMP-0440</t>
  </si>
  <si>
    <t xml:space="preserve">EMP-0441</t>
  </si>
  <si>
    <t xml:space="preserve">EMP-0442</t>
  </si>
  <si>
    <t xml:space="preserve">EMP-0443</t>
  </si>
  <si>
    <t xml:space="preserve">EMP-0444</t>
  </si>
  <si>
    <t xml:space="preserve">EMP-0445</t>
  </si>
  <si>
    <t xml:space="preserve">EMP-0446</t>
  </si>
  <si>
    <t xml:space="preserve">EMP-0447</t>
  </si>
  <si>
    <t xml:space="preserve">EMP-0448</t>
  </si>
  <si>
    <t xml:space="preserve">EMP-0449</t>
  </si>
  <si>
    <t xml:space="preserve">EMP-0450</t>
  </si>
  <si>
    <t xml:space="preserve">EMP-0451</t>
  </si>
  <si>
    <t xml:space="preserve">EMP-0452</t>
  </si>
  <si>
    <t xml:space="preserve">EMP-0453</t>
  </si>
  <si>
    <t xml:space="preserve">EMP-0454</t>
  </si>
  <si>
    <t xml:space="preserve">EMP-0455</t>
  </si>
  <si>
    <t xml:space="preserve">EMP-0456</t>
  </si>
  <si>
    <t xml:space="preserve">EMP-0457</t>
  </si>
  <si>
    <t xml:space="preserve">EMP-0458</t>
  </si>
  <si>
    <t xml:space="preserve">EMP-0459</t>
  </si>
  <si>
    <t xml:space="preserve">EMP-0460</t>
  </si>
  <si>
    <t xml:space="preserve">EMP-0461</t>
  </si>
  <si>
    <t xml:space="preserve">EMP-0462</t>
  </si>
  <si>
    <t xml:space="preserve">EMP-0463</t>
  </si>
  <si>
    <t xml:space="preserve">EMP-0464</t>
  </si>
  <si>
    <t xml:space="preserve">EMP-0465</t>
  </si>
  <si>
    <t xml:space="preserve">EMP-0466</t>
  </si>
  <si>
    <t xml:space="preserve">EMP-0467</t>
  </si>
  <si>
    <t xml:space="preserve">EMP-0468</t>
  </si>
  <si>
    <t xml:space="preserve">EMP-0469</t>
  </si>
  <si>
    <t xml:space="preserve">EMP-0470</t>
  </si>
  <si>
    <t xml:space="preserve">EMP-0471</t>
  </si>
  <si>
    <t xml:space="preserve">EMP-0472</t>
  </si>
  <si>
    <t xml:space="preserve">EMP-0473</t>
  </si>
  <si>
    <t xml:space="preserve">EMP-0474</t>
  </si>
  <si>
    <t xml:space="preserve">EMP-0475</t>
  </si>
  <si>
    <t xml:space="preserve">EMP-0476</t>
  </si>
  <si>
    <t xml:space="preserve">EMP-0477</t>
  </si>
  <si>
    <t xml:space="preserve">EMP-0478</t>
  </si>
  <si>
    <t xml:space="preserve">EMP-0479</t>
  </si>
  <si>
    <t xml:space="preserve">EMP-0480</t>
  </si>
  <si>
    <t xml:space="preserve">EMP-0481</t>
  </si>
  <si>
    <t xml:space="preserve">EMP-0482</t>
  </si>
  <si>
    <t xml:space="preserve">EMP-0483</t>
  </si>
  <si>
    <t xml:space="preserve">EMP-0484</t>
  </si>
  <si>
    <t xml:space="preserve">EMP-0485</t>
  </si>
  <si>
    <t xml:space="preserve">EMP-0486</t>
  </si>
  <si>
    <t xml:space="preserve">EMP-0487</t>
  </si>
  <si>
    <t xml:space="preserve">EMP-0488</t>
  </si>
  <si>
    <t xml:space="preserve">EMP-0489</t>
  </si>
  <si>
    <t xml:space="preserve">EMP-0490</t>
  </si>
  <si>
    <t xml:space="preserve">EMP-0491</t>
  </si>
  <si>
    <t xml:space="preserve">EMP-0492</t>
  </si>
  <si>
    <t xml:space="preserve">EMP-0493</t>
  </si>
  <si>
    <t xml:space="preserve">EMP-0494</t>
  </si>
  <si>
    <t xml:space="preserve">EMP-0495</t>
  </si>
  <si>
    <t xml:space="preserve">EMP-0496</t>
  </si>
  <si>
    <t xml:space="preserve">EMP-0497</t>
  </si>
  <si>
    <t xml:space="preserve">EMP-0498</t>
  </si>
  <si>
    <t xml:space="preserve">EMP-0499</t>
  </si>
  <si>
    <t xml:space="preserve">EMP-0500</t>
  </si>
  <si>
    <t xml:space="preserve">EMP-0501</t>
  </si>
  <si>
    <t xml:space="preserve">EMP-0502</t>
  </si>
  <si>
    <t xml:space="preserve">EMP-0503</t>
  </si>
  <si>
    <t xml:space="preserve">EMP-0504</t>
  </si>
  <si>
    <t xml:space="preserve">EMP-0505</t>
  </si>
  <si>
    <t xml:space="preserve">EMP-0506</t>
  </si>
  <si>
    <t xml:space="preserve">EMP-0507</t>
  </si>
  <si>
    <t xml:space="preserve">EMP-0508</t>
  </si>
  <si>
    <t xml:space="preserve">EMP-0509</t>
  </si>
  <si>
    <t xml:space="preserve">EMP-0510</t>
  </si>
  <si>
    <t xml:space="preserve">EMP-0511</t>
  </si>
  <si>
    <t xml:space="preserve">EMP-0512</t>
  </si>
  <si>
    <t xml:space="preserve">EMP-0513</t>
  </si>
  <si>
    <t xml:space="preserve">EMP-0514</t>
  </si>
  <si>
    <t xml:space="preserve">EMP-0515</t>
  </si>
  <si>
    <t xml:space="preserve">EMP-0516</t>
  </si>
  <si>
    <t xml:space="preserve">EMP-0517</t>
  </si>
  <si>
    <t xml:space="preserve">EMP-0518</t>
  </si>
  <si>
    <t xml:space="preserve">EMP-0519</t>
  </si>
  <si>
    <t xml:space="preserve">EMP-0520</t>
  </si>
  <si>
    <t xml:space="preserve">EMP-0521</t>
  </si>
  <si>
    <t xml:space="preserve">EMP-0522</t>
  </si>
  <si>
    <t xml:space="preserve">EMP-0523</t>
  </si>
  <si>
    <t xml:space="preserve">EMP-0524</t>
  </si>
  <si>
    <t xml:space="preserve">EMP-0525</t>
  </si>
  <si>
    <t xml:space="preserve">EMP-0526</t>
  </si>
  <si>
    <t xml:space="preserve">EMP-0527</t>
  </si>
  <si>
    <t xml:space="preserve">EMP-0528</t>
  </si>
  <si>
    <t xml:space="preserve">EMP-0529</t>
  </si>
  <si>
    <t xml:space="preserve">EMP-0530</t>
  </si>
  <si>
    <t xml:space="preserve">EMP-0531</t>
  </si>
  <si>
    <t xml:space="preserve">EMP-0532</t>
  </si>
  <si>
    <t xml:space="preserve">EMP-0533</t>
  </si>
  <si>
    <t xml:space="preserve">EMP-0534</t>
  </si>
  <si>
    <t xml:space="preserve">EMP-0535</t>
  </si>
  <si>
    <t xml:space="preserve">EMP-0536</t>
  </si>
  <si>
    <t xml:space="preserve">EMP-0537</t>
  </si>
  <si>
    <t xml:space="preserve">EMP-0538</t>
  </si>
  <si>
    <t xml:space="preserve">EMP-0539</t>
  </si>
  <si>
    <t xml:space="preserve">EMP-0540</t>
  </si>
  <si>
    <t xml:space="preserve">EMP-0541</t>
  </si>
  <si>
    <t xml:space="preserve">EMP-0542</t>
  </si>
  <si>
    <t xml:space="preserve">EMP-0543</t>
  </si>
  <si>
    <t xml:space="preserve">EMP-0544</t>
  </si>
  <si>
    <t xml:space="preserve">EMP-0545</t>
  </si>
  <si>
    <t xml:space="preserve">EMP-0546</t>
  </si>
  <si>
    <t xml:space="preserve">EMP-0547</t>
  </si>
  <si>
    <t xml:space="preserve">EMP-0548</t>
  </si>
  <si>
    <t xml:space="preserve">EMP-0549</t>
  </si>
  <si>
    <t xml:space="preserve">EMP-0550</t>
  </si>
  <si>
    <t xml:space="preserve">EMP-0551</t>
  </si>
  <si>
    <t xml:space="preserve">EMP-0552</t>
  </si>
  <si>
    <t xml:space="preserve">EMP-0553</t>
  </si>
  <si>
    <t xml:space="preserve">EMP-0554</t>
  </si>
  <si>
    <t xml:space="preserve">EMP-0555</t>
  </si>
  <si>
    <t xml:space="preserve">EMP-0556</t>
  </si>
  <si>
    <t xml:space="preserve">EMP-0557</t>
  </si>
  <si>
    <t xml:space="preserve">EMP-0558</t>
  </si>
  <si>
    <t xml:space="preserve">EMP-0559</t>
  </si>
  <si>
    <t xml:space="preserve">EMP-0560</t>
  </si>
  <si>
    <t xml:space="preserve">EMP-0561</t>
  </si>
  <si>
    <t xml:space="preserve">EMP-0562</t>
  </si>
  <si>
    <t xml:space="preserve">EMP-0563</t>
  </si>
  <si>
    <t xml:space="preserve">EMP-0564</t>
  </si>
  <si>
    <t xml:space="preserve">EMP-0565</t>
  </si>
  <si>
    <t xml:space="preserve">EMP-0566</t>
  </si>
  <si>
    <t xml:space="preserve">EMP-0567</t>
  </si>
  <si>
    <t xml:space="preserve">EMP-0568</t>
  </si>
  <si>
    <t xml:space="preserve">EMP-0569</t>
  </si>
  <si>
    <t xml:space="preserve">EMP-0570</t>
  </si>
  <si>
    <t xml:space="preserve">EMP-0571</t>
  </si>
  <si>
    <t xml:space="preserve">EMP-0572</t>
  </si>
  <si>
    <t xml:space="preserve">EMP-0573</t>
  </si>
  <si>
    <t xml:space="preserve">EMP-0574</t>
  </si>
  <si>
    <t xml:space="preserve">EMP-0575</t>
  </si>
  <si>
    <t xml:space="preserve">EMP-0576</t>
  </si>
  <si>
    <t xml:space="preserve">EMP-0577</t>
  </si>
  <si>
    <t xml:space="preserve">EMP-0578</t>
  </si>
  <si>
    <t xml:space="preserve">EMP-0579</t>
  </si>
  <si>
    <t xml:space="preserve">EMP-0580</t>
  </si>
  <si>
    <t xml:space="preserve">EMP-0581</t>
  </si>
  <si>
    <t xml:space="preserve">EMP-0582</t>
  </si>
  <si>
    <t xml:space="preserve">EMP-0583</t>
  </si>
  <si>
    <t xml:space="preserve">EMP-0584</t>
  </si>
  <si>
    <t xml:space="preserve">EMP-0585</t>
  </si>
  <si>
    <t xml:space="preserve">EMP-0586</t>
  </si>
  <si>
    <t xml:space="preserve">EMP-0587</t>
  </si>
  <si>
    <t xml:space="preserve">EMP-0588</t>
  </si>
  <si>
    <t xml:space="preserve">EMP-0589</t>
  </si>
  <si>
    <t xml:space="preserve">EMP-0590</t>
  </si>
  <si>
    <t xml:space="preserve">EMP-0591</t>
  </si>
  <si>
    <t xml:space="preserve">EMP-0592</t>
  </si>
  <si>
    <t xml:space="preserve">EMP-0593</t>
  </si>
  <si>
    <t xml:space="preserve">EMP-0594</t>
  </si>
  <si>
    <t xml:space="preserve">EMP-0595</t>
  </si>
  <si>
    <t xml:space="preserve">EMP-0596</t>
  </si>
  <si>
    <t xml:space="preserve">EMP-0597</t>
  </si>
  <si>
    <t xml:space="preserve">EMP-0598</t>
  </si>
  <si>
    <t xml:space="preserve">EMP-0599</t>
  </si>
  <si>
    <t xml:space="preserve">EMP-0600</t>
  </si>
  <si>
    <t xml:space="preserve">EMP-0601</t>
  </si>
  <si>
    <t xml:space="preserve">EMP-0602</t>
  </si>
  <si>
    <t xml:space="preserve">EMP-0603</t>
  </si>
  <si>
    <t xml:space="preserve">EMP-0604</t>
  </si>
  <si>
    <t xml:space="preserve">EMP-0605</t>
  </si>
  <si>
    <t xml:space="preserve">EMP-0606</t>
  </si>
  <si>
    <t xml:space="preserve">EMP-0607</t>
  </si>
  <si>
    <t xml:space="preserve">EMP-0608</t>
  </si>
  <si>
    <t xml:space="preserve">EMP-0609</t>
  </si>
  <si>
    <t xml:space="preserve">EMP-0610</t>
  </si>
  <si>
    <t xml:space="preserve">EMP-0611</t>
  </si>
  <si>
    <t xml:space="preserve">EMP-0612</t>
  </si>
  <si>
    <t xml:space="preserve">EMP-0613</t>
  </si>
  <si>
    <t xml:space="preserve">EMP-0614</t>
  </si>
  <si>
    <t xml:space="preserve">EMP-0615</t>
  </si>
  <si>
    <t xml:space="preserve">EMP-0616</t>
  </si>
  <si>
    <t xml:space="preserve">EMP-0617</t>
  </si>
  <si>
    <t xml:space="preserve">EMP-0618</t>
  </si>
  <si>
    <t xml:space="preserve">EMP-0619</t>
  </si>
  <si>
    <t xml:space="preserve">EMP-0620</t>
  </si>
  <si>
    <t xml:space="preserve">EMP-0621</t>
  </si>
  <si>
    <t xml:space="preserve">EMP-0622</t>
  </si>
  <si>
    <t xml:space="preserve">EMP-0623</t>
  </si>
  <si>
    <t xml:space="preserve">EMP-0624</t>
  </si>
  <si>
    <t xml:space="preserve">EMP-0625</t>
  </si>
  <si>
    <t xml:space="preserve">EMP-0626</t>
  </si>
  <si>
    <t xml:space="preserve">EMP-0627</t>
  </si>
  <si>
    <t xml:space="preserve">EMP-0628</t>
  </si>
  <si>
    <t xml:space="preserve">EMP-0629</t>
  </si>
  <si>
    <t xml:space="preserve">EMP-0630</t>
  </si>
  <si>
    <t xml:space="preserve">EMP-0631</t>
  </si>
  <si>
    <t xml:space="preserve">EMP-0632</t>
  </si>
  <si>
    <t xml:space="preserve">EMP-0633</t>
  </si>
  <si>
    <t xml:space="preserve">EMP-0634</t>
  </si>
  <si>
    <t xml:space="preserve">EMP-0635</t>
  </si>
  <si>
    <t xml:space="preserve">EMP-0636</t>
  </si>
  <si>
    <t xml:space="preserve">EMP-0637</t>
  </si>
  <si>
    <t xml:space="preserve">EMP-0638</t>
  </si>
  <si>
    <t xml:space="preserve">EMP-0639</t>
  </si>
  <si>
    <t xml:space="preserve">EMP-0640</t>
  </si>
  <si>
    <t xml:space="preserve">EMP-0641</t>
  </si>
  <si>
    <t xml:space="preserve">EMP-0642</t>
  </si>
  <si>
    <t xml:space="preserve">EMP-0643</t>
  </si>
  <si>
    <t xml:space="preserve">EMP-0644</t>
  </si>
  <si>
    <t xml:space="preserve">EMP-0645</t>
  </si>
  <si>
    <t xml:space="preserve">EMP-0646</t>
  </si>
  <si>
    <t xml:space="preserve">EMP-0647</t>
  </si>
  <si>
    <t xml:space="preserve">EMP-0648</t>
  </si>
  <si>
    <t xml:space="preserve">EMP-0649</t>
  </si>
  <si>
    <t xml:space="preserve">EMP-0650</t>
  </si>
  <si>
    <t xml:space="preserve">EMP-0651</t>
  </si>
  <si>
    <t xml:space="preserve">EMP-0652</t>
  </si>
  <si>
    <t xml:space="preserve">EMP-0653</t>
  </si>
  <si>
    <t xml:space="preserve">EMP-0654</t>
  </si>
  <si>
    <t xml:space="preserve">EMP-0655</t>
  </si>
  <si>
    <t xml:space="preserve">EMP-0656</t>
  </si>
  <si>
    <t xml:space="preserve">EMP-0657</t>
  </si>
  <si>
    <t xml:space="preserve">EMP-0658</t>
  </si>
  <si>
    <t xml:space="preserve">EMP-0659</t>
  </si>
  <si>
    <t xml:space="preserve">EMP-0660</t>
  </si>
  <si>
    <t xml:space="preserve">EMP-0661</t>
  </si>
  <si>
    <t xml:space="preserve">EMP-0662</t>
  </si>
  <si>
    <t xml:space="preserve">EMP-0663</t>
  </si>
  <si>
    <t xml:space="preserve">EMP-0664</t>
  </si>
  <si>
    <t xml:space="preserve">EMP-0665</t>
  </si>
  <si>
    <t xml:space="preserve">EMP-0666</t>
  </si>
  <si>
    <t xml:space="preserve">EMP-0667</t>
  </si>
  <si>
    <t xml:space="preserve">EMP-0668</t>
  </si>
  <si>
    <t xml:space="preserve">EMP-0669</t>
  </si>
  <si>
    <t xml:space="preserve">EMP-0670</t>
  </si>
  <si>
    <t xml:space="preserve">EMP-0671</t>
  </si>
  <si>
    <t xml:space="preserve">EMP-0672</t>
  </si>
  <si>
    <t xml:space="preserve">EMP-0673</t>
  </si>
  <si>
    <t xml:space="preserve">EMP-0674</t>
  </si>
  <si>
    <t xml:space="preserve">EMP-0675</t>
  </si>
  <si>
    <t xml:space="preserve">EMP-0676</t>
  </si>
  <si>
    <t xml:space="preserve">EMP-0677</t>
  </si>
  <si>
    <t xml:space="preserve">EMP-0678</t>
  </si>
  <si>
    <t xml:space="preserve">EMP-0679</t>
  </si>
  <si>
    <t xml:space="preserve">EMP-0680</t>
  </si>
  <si>
    <t xml:space="preserve">EMP-0681</t>
  </si>
  <si>
    <t xml:space="preserve">EMP-0682</t>
  </si>
  <si>
    <t xml:space="preserve">EMP-0683</t>
  </si>
  <si>
    <t xml:space="preserve">EMP-0684</t>
  </si>
  <si>
    <t xml:space="preserve">EMP-0685</t>
  </si>
  <si>
    <t xml:space="preserve">EMP-0686</t>
  </si>
  <si>
    <t xml:space="preserve">EMP-0687</t>
  </si>
  <si>
    <t xml:space="preserve">EMP-0688</t>
  </si>
  <si>
    <t xml:space="preserve">EMP-0689</t>
  </si>
  <si>
    <t xml:space="preserve">EMP-0690</t>
  </si>
  <si>
    <t xml:space="preserve">EMP-0691</t>
  </si>
  <si>
    <t xml:space="preserve">EMP-0692</t>
  </si>
  <si>
    <t xml:space="preserve">EMP-0693</t>
  </si>
  <si>
    <t xml:space="preserve">EMP-0694</t>
  </si>
  <si>
    <t xml:space="preserve">EMP-0695</t>
  </si>
  <si>
    <t xml:space="preserve">EMP-0696</t>
  </si>
  <si>
    <t xml:space="preserve">EMP-0697</t>
  </si>
  <si>
    <t xml:space="preserve">EMP-0698</t>
  </si>
  <si>
    <t xml:space="preserve">EMP-0699</t>
  </si>
  <si>
    <t xml:space="preserve">EMP-0700</t>
  </si>
  <si>
    <t xml:space="preserve">EMP-0701</t>
  </si>
  <si>
    <t xml:space="preserve">EMP-0702</t>
  </si>
  <si>
    <t xml:space="preserve">EMP-0703</t>
  </si>
  <si>
    <t xml:space="preserve">EMP-0704</t>
  </si>
  <si>
    <t xml:space="preserve">EMP-0705</t>
  </si>
  <si>
    <t xml:space="preserve">EMP-0706</t>
  </si>
  <si>
    <t xml:space="preserve">EMP-0707</t>
  </si>
  <si>
    <t xml:space="preserve">EMP-0708</t>
  </si>
  <si>
    <t xml:space="preserve">EMP-0709</t>
  </si>
  <si>
    <t xml:space="preserve">EMP-0710</t>
  </si>
  <si>
    <t xml:space="preserve">EMP-0711</t>
  </si>
  <si>
    <t xml:space="preserve">EMP-0712</t>
  </si>
  <si>
    <t xml:space="preserve">EMP-0713</t>
  </si>
  <si>
    <t xml:space="preserve">EMP-0714</t>
  </si>
  <si>
    <t xml:space="preserve">EMP-0715</t>
  </si>
  <si>
    <t xml:space="preserve">EMP-0716</t>
  </si>
  <si>
    <t xml:space="preserve">EMP-0717</t>
  </si>
  <si>
    <t xml:space="preserve">EMP-0718</t>
  </si>
  <si>
    <t xml:space="preserve">EMP-0719</t>
  </si>
  <si>
    <t xml:space="preserve">EMP-0720</t>
  </si>
  <si>
    <t xml:space="preserve">EMP-0721</t>
  </si>
  <si>
    <t xml:space="preserve">EMP-0722</t>
  </si>
  <si>
    <t xml:space="preserve">EMP-0723</t>
  </si>
  <si>
    <t xml:space="preserve">EMP-0724</t>
  </si>
  <si>
    <t xml:space="preserve">EMP-0725</t>
  </si>
  <si>
    <t xml:space="preserve">EMP-0726</t>
  </si>
  <si>
    <t xml:space="preserve">EMP-0727</t>
  </si>
  <si>
    <t xml:space="preserve">EMP-0728</t>
  </si>
  <si>
    <t xml:space="preserve">EMP-0729</t>
  </si>
  <si>
    <t xml:space="preserve">EMP-0730</t>
  </si>
  <si>
    <t xml:space="preserve">EMP-0731</t>
  </si>
  <si>
    <t xml:space="preserve">EMP-0732</t>
  </si>
  <si>
    <t xml:space="preserve">EMP-0733</t>
  </si>
  <si>
    <t xml:space="preserve">EMP-0734</t>
  </si>
  <si>
    <t xml:space="preserve">EMP-0735</t>
  </si>
  <si>
    <t xml:space="preserve">EMP-0736</t>
  </si>
  <si>
    <t xml:space="preserve">EMP-0737</t>
  </si>
  <si>
    <t xml:space="preserve">EMP-0738</t>
  </si>
  <si>
    <t xml:space="preserve">EMP-0739</t>
  </si>
  <si>
    <t xml:space="preserve">EMP-0740</t>
  </si>
  <si>
    <t xml:space="preserve">EMP-0741</t>
  </si>
  <si>
    <t xml:space="preserve">EMP-0742</t>
  </si>
  <si>
    <t xml:space="preserve">EMP-0743</t>
  </si>
  <si>
    <t xml:space="preserve">EMP-0744</t>
  </si>
  <si>
    <t xml:space="preserve">EMP-0745</t>
  </si>
  <si>
    <t xml:space="preserve">EMP-0746</t>
  </si>
  <si>
    <t xml:space="preserve">EMP-0747</t>
  </si>
  <si>
    <t xml:space="preserve">EMP-0748</t>
  </si>
  <si>
    <t xml:space="preserve">EMP-0749</t>
  </si>
  <si>
    <t xml:space="preserve">EMP-0750</t>
  </si>
  <si>
    <t xml:space="preserve">EMP-0751</t>
  </si>
  <si>
    <t xml:space="preserve">EMP-0752</t>
  </si>
  <si>
    <t xml:space="preserve">EMP-0753</t>
  </si>
  <si>
    <t xml:space="preserve">EMP-0754</t>
  </si>
  <si>
    <t xml:space="preserve">EMP-0755</t>
  </si>
  <si>
    <t xml:space="preserve">EMP-0756</t>
  </si>
  <si>
    <t xml:space="preserve">EMP-0757</t>
  </si>
  <si>
    <t xml:space="preserve">EMP-0758</t>
  </si>
  <si>
    <t xml:space="preserve">EMP-0759</t>
  </si>
  <si>
    <t xml:space="preserve">EMP-0760</t>
  </si>
  <si>
    <t xml:space="preserve">EMP-0761</t>
  </si>
  <si>
    <t xml:space="preserve">EMP-0762</t>
  </si>
  <si>
    <t xml:space="preserve">EMP-0763</t>
  </si>
  <si>
    <t xml:space="preserve">EMP-0764</t>
  </si>
  <si>
    <t xml:space="preserve">EMP-0765</t>
  </si>
  <si>
    <t xml:space="preserve">EMP-0766</t>
  </si>
  <si>
    <t xml:space="preserve">EMP-0767</t>
  </si>
  <si>
    <t xml:space="preserve">EMP-0768</t>
  </si>
  <si>
    <t xml:space="preserve">EMP-0769</t>
  </si>
  <si>
    <t xml:space="preserve">EMP-0770</t>
  </si>
  <si>
    <t xml:space="preserve">EMP-0771</t>
  </si>
  <si>
    <t xml:space="preserve">EMP-0772</t>
  </si>
  <si>
    <t xml:space="preserve">EMP-0773</t>
  </si>
  <si>
    <t xml:space="preserve">EMP-0774</t>
  </si>
  <si>
    <t xml:space="preserve">EMP-0775</t>
  </si>
  <si>
    <t xml:space="preserve">EMP-0776</t>
  </si>
  <si>
    <t xml:space="preserve">EMP-0777</t>
  </si>
  <si>
    <t xml:space="preserve">EMP-0778</t>
  </si>
  <si>
    <t xml:space="preserve">EMP-0779</t>
  </si>
  <si>
    <t xml:space="preserve">EMP-0780</t>
  </si>
  <si>
    <t xml:space="preserve">EMP-0781</t>
  </si>
  <si>
    <t xml:space="preserve">EMP-0782</t>
  </si>
  <si>
    <t xml:space="preserve">EMP-0783</t>
  </si>
  <si>
    <t xml:space="preserve">EMP-0784</t>
  </si>
  <si>
    <t xml:space="preserve">EMP-0785</t>
  </si>
  <si>
    <t xml:space="preserve">EMP-0786</t>
  </si>
  <si>
    <t xml:space="preserve">EMP-0787</t>
  </si>
  <si>
    <t xml:space="preserve">EMP-0788</t>
  </si>
  <si>
    <t xml:space="preserve">EMP-0789</t>
  </si>
  <si>
    <t xml:space="preserve">EMP-0790</t>
  </si>
  <si>
    <t xml:space="preserve">EMP-0791</t>
  </si>
  <si>
    <t xml:space="preserve">EMP-0792</t>
  </si>
  <si>
    <t xml:space="preserve">EMP-0793</t>
  </si>
  <si>
    <t xml:space="preserve">EMP-0794</t>
  </si>
  <si>
    <t xml:space="preserve">EMP-0795</t>
  </si>
  <si>
    <t xml:space="preserve">EMP-0796</t>
  </si>
  <si>
    <t xml:space="preserve">EMP-0797</t>
  </si>
  <si>
    <t xml:space="preserve">EMP-0798</t>
  </si>
  <si>
    <t xml:space="preserve">EMP-0799</t>
  </si>
  <si>
    <t xml:space="preserve">EMP-0800</t>
  </si>
  <si>
    <t xml:space="preserve">EMP-0801</t>
  </si>
  <si>
    <t xml:space="preserve">EMP-0802</t>
  </si>
  <si>
    <t xml:space="preserve">EMP-0803</t>
  </si>
  <si>
    <t xml:space="preserve">EMP-0804</t>
  </si>
  <si>
    <t xml:space="preserve">EMP-0805</t>
  </si>
  <si>
    <t xml:space="preserve">EMP-0806</t>
  </si>
  <si>
    <t xml:space="preserve">EMP-0807</t>
  </si>
  <si>
    <t xml:space="preserve">EMP-0808</t>
  </si>
  <si>
    <t xml:space="preserve">EMP-0809</t>
  </si>
  <si>
    <t xml:space="preserve">EMP-0810</t>
  </si>
  <si>
    <t xml:space="preserve">EMP-0811</t>
  </si>
  <si>
    <t xml:space="preserve">EMP-0812</t>
  </si>
  <si>
    <t xml:space="preserve">EMP-0813</t>
  </si>
  <si>
    <t xml:space="preserve">EMP-0814</t>
  </si>
  <si>
    <t xml:space="preserve">EMP-0815</t>
  </si>
  <si>
    <t xml:space="preserve">EMP-0816</t>
  </si>
  <si>
    <t xml:space="preserve">EMP-0817</t>
  </si>
  <si>
    <t xml:space="preserve">EMP-0818</t>
  </si>
  <si>
    <t xml:space="preserve">EMP-0819</t>
  </si>
  <si>
    <t xml:space="preserve">EMP-0820</t>
  </si>
  <si>
    <t xml:space="preserve">EMP-0821</t>
  </si>
  <si>
    <t xml:space="preserve">EMP-0822</t>
  </si>
  <si>
    <t xml:space="preserve">EMP-0823</t>
  </si>
  <si>
    <t xml:space="preserve">EMP-0824</t>
  </si>
  <si>
    <t xml:space="preserve">EMP-0825</t>
  </si>
  <si>
    <t xml:space="preserve">EMP-0826</t>
  </si>
  <si>
    <t xml:space="preserve">EMP-0827</t>
  </si>
  <si>
    <t xml:space="preserve">EMP-0828</t>
  </si>
  <si>
    <t xml:space="preserve">EMP-0829</t>
  </si>
  <si>
    <t xml:space="preserve">EMP-0830</t>
  </si>
  <si>
    <t xml:space="preserve">EMP-0831</t>
  </si>
  <si>
    <t xml:space="preserve">EMP-0832</t>
  </si>
  <si>
    <t xml:space="preserve">EMP-0833</t>
  </si>
  <si>
    <t xml:space="preserve">EMP-0834</t>
  </si>
  <si>
    <t xml:space="preserve">EMP-0835</t>
  </si>
  <si>
    <t xml:space="preserve">EMP-0836</t>
  </si>
  <si>
    <t xml:space="preserve">EMP-0837</t>
  </si>
  <si>
    <t xml:space="preserve">EMP-0838</t>
  </si>
  <si>
    <t xml:space="preserve">EMP-0839</t>
  </si>
  <si>
    <t xml:space="preserve">EMP-0840</t>
  </si>
  <si>
    <t xml:space="preserve">EMP-0841</t>
  </si>
  <si>
    <t xml:space="preserve">EMP-0842</t>
  </si>
  <si>
    <t xml:space="preserve">EMP-0843</t>
  </si>
  <si>
    <t xml:space="preserve">EMP-0844</t>
  </si>
  <si>
    <t xml:space="preserve">EMP-0845</t>
  </si>
  <si>
    <t xml:space="preserve">EMP-0846</t>
  </si>
  <si>
    <t xml:space="preserve">EMP-0847</t>
  </si>
  <si>
    <t xml:space="preserve">EMP-0848</t>
  </si>
  <si>
    <t xml:space="preserve">EMP-0849</t>
  </si>
  <si>
    <t xml:space="preserve">EMP-0850</t>
  </si>
  <si>
    <t xml:space="preserve">EMP-0851</t>
  </si>
  <si>
    <t xml:space="preserve">EMP-0852</t>
  </si>
  <si>
    <t xml:space="preserve">EMP-0853</t>
  </si>
  <si>
    <t xml:space="preserve">EMP-0854</t>
  </si>
  <si>
    <t xml:space="preserve">EMP-0855</t>
  </si>
  <si>
    <t xml:space="preserve">EMP-0856</t>
  </si>
  <si>
    <t xml:space="preserve">EMP-0857</t>
  </si>
  <si>
    <t xml:space="preserve">EMP-0858</t>
  </si>
  <si>
    <t xml:space="preserve">EMP-0859</t>
  </si>
  <si>
    <t xml:space="preserve">EMP-0860</t>
  </si>
  <si>
    <t xml:space="preserve">EMP-0861</t>
  </si>
  <si>
    <t xml:space="preserve">EMP-0862</t>
  </si>
  <si>
    <t xml:space="preserve">EMP-0863</t>
  </si>
  <si>
    <t xml:space="preserve">EMP-0864</t>
  </si>
  <si>
    <t xml:space="preserve">EMP-0865</t>
  </si>
  <si>
    <t xml:space="preserve">EMP-0866</t>
  </si>
  <si>
    <t xml:space="preserve">EMP-0867</t>
  </si>
  <si>
    <t xml:space="preserve">EMP-0868</t>
  </si>
  <si>
    <t xml:space="preserve">EMP-0869</t>
  </si>
  <si>
    <t xml:space="preserve">EMP-0870</t>
  </si>
  <si>
    <t xml:space="preserve">EMP-0871</t>
  </si>
  <si>
    <t xml:space="preserve">EMP-0872</t>
  </si>
  <si>
    <t xml:space="preserve">EMP-0873</t>
  </si>
  <si>
    <t xml:space="preserve">EMP-0874</t>
  </si>
  <si>
    <t xml:space="preserve">EMP-0875</t>
  </si>
  <si>
    <t xml:space="preserve">EMP-0876</t>
  </si>
  <si>
    <t xml:space="preserve">EMP-0877</t>
  </si>
  <si>
    <t xml:space="preserve">EMP-0878</t>
  </si>
  <si>
    <t xml:space="preserve">EMP-0879</t>
  </si>
  <si>
    <t xml:space="preserve">EMP-0880</t>
  </si>
  <si>
    <t xml:space="preserve">EMP-0881</t>
  </si>
  <si>
    <t xml:space="preserve">EMP-0882</t>
  </si>
  <si>
    <t xml:space="preserve">EMP-0883</t>
  </si>
  <si>
    <t xml:space="preserve">EMP-0884</t>
  </si>
  <si>
    <t xml:space="preserve">EMP-0885</t>
  </si>
  <si>
    <t xml:space="preserve">EMP-0886</t>
  </si>
  <si>
    <t xml:space="preserve">EMP-0887</t>
  </si>
  <si>
    <t xml:space="preserve">EMP-0888</t>
  </si>
  <si>
    <t xml:space="preserve">EMP-0889</t>
  </si>
  <si>
    <t xml:space="preserve">EMP-0890</t>
  </si>
  <si>
    <t xml:space="preserve">EMP-0891</t>
  </si>
  <si>
    <t xml:space="preserve">EMP-0892</t>
  </si>
  <si>
    <t xml:space="preserve">EMP-0893</t>
  </si>
  <si>
    <t xml:space="preserve">EMP-0894</t>
  </si>
  <si>
    <t xml:space="preserve">EMP-0895</t>
  </si>
  <si>
    <t xml:space="preserve">EMP-0896</t>
  </si>
  <si>
    <t xml:space="preserve">EMP-0897</t>
  </si>
  <si>
    <t xml:space="preserve">EMP-0898</t>
  </si>
  <si>
    <t xml:space="preserve">EMP-0899</t>
  </si>
  <si>
    <t xml:space="preserve">EMP-0900</t>
  </si>
  <si>
    <t xml:space="preserve">EMP-0901</t>
  </si>
  <si>
    <t xml:space="preserve">EMP-0902</t>
  </si>
  <si>
    <t xml:space="preserve">EMP-0903</t>
  </si>
  <si>
    <t xml:space="preserve">EMP-0904</t>
  </si>
  <si>
    <t xml:space="preserve">EMP-0905</t>
  </si>
  <si>
    <t xml:space="preserve">EMP-0906</t>
  </si>
  <si>
    <t xml:space="preserve">EMP-0907</t>
  </si>
  <si>
    <t xml:space="preserve">EMP-0908</t>
  </si>
  <si>
    <t xml:space="preserve">EMP-0909</t>
  </si>
  <si>
    <t xml:space="preserve">EMP-0910</t>
  </si>
  <si>
    <t xml:space="preserve">EMP-0911</t>
  </si>
  <si>
    <t xml:space="preserve">EMP-0912</t>
  </si>
  <si>
    <t xml:space="preserve">EMP-0913</t>
  </si>
  <si>
    <t xml:space="preserve">EMP-0914</t>
  </si>
  <si>
    <t xml:space="preserve">EMP-0915</t>
  </si>
  <si>
    <t xml:space="preserve">EMP-0916</t>
  </si>
  <si>
    <t xml:space="preserve">EMP-0917</t>
  </si>
  <si>
    <t xml:space="preserve">EMP-0918</t>
  </si>
  <si>
    <t xml:space="preserve">EMP-0919</t>
  </si>
  <si>
    <t xml:space="preserve">EMP-0920</t>
  </si>
  <si>
    <t xml:space="preserve">EMP-0921</t>
  </si>
  <si>
    <t xml:space="preserve">EMP-0922</t>
  </si>
  <si>
    <t xml:space="preserve">EMP-0923</t>
  </si>
  <si>
    <t xml:space="preserve">EMP-0924</t>
  </si>
  <si>
    <t xml:space="preserve">EMP-0925</t>
  </si>
  <si>
    <t xml:space="preserve">EMP-0926</t>
  </si>
  <si>
    <t xml:space="preserve">EMP-0927</t>
  </si>
  <si>
    <t xml:space="preserve">EMP-0928</t>
  </si>
  <si>
    <t xml:space="preserve">EMP-0929</t>
  </si>
  <si>
    <t xml:space="preserve">EMP-0930</t>
  </si>
  <si>
    <t xml:space="preserve">EMP-0931</t>
  </si>
  <si>
    <t xml:space="preserve">EMP-0932</t>
  </si>
  <si>
    <t xml:space="preserve">EMP-0933</t>
  </si>
  <si>
    <t xml:space="preserve">EMP-0934</t>
  </si>
  <si>
    <t xml:space="preserve">EMP-0935</t>
  </si>
  <si>
    <t xml:space="preserve">EMP-0936</t>
  </si>
  <si>
    <t xml:space="preserve">EMP-0937</t>
  </si>
  <si>
    <t xml:space="preserve">EMP-0938</t>
  </si>
  <si>
    <t xml:space="preserve">EMP-0939</t>
  </si>
  <si>
    <t xml:space="preserve">EMP-0940</t>
  </si>
  <si>
    <t xml:space="preserve">EMP-0941</t>
  </si>
  <si>
    <t xml:space="preserve">EMP-0942</t>
  </si>
  <si>
    <t xml:space="preserve">EMP-0943</t>
  </si>
  <si>
    <t xml:space="preserve">EMP-0944</t>
  </si>
  <si>
    <t xml:space="preserve">EMP-0945</t>
  </si>
  <si>
    <t xml:space="preserve">EMP-0946</t>
  </si>
  <si>
    <t xml:space="preserve">EMP-0947</t>
  </si>
  <si>
    <t xml:space="preserve">EMP-0948</t>
  </si>
  <si>
    <t xml:space="preserve">EMP-0949</t>
  </si>
  <si>
    <t xml:space="preserve">EMP-0950</t>
  </si>
  <si>
    <t xml:space="preserve">EMP-0951</t>
  </si>
  <si>
    <t xml:space="preserve">EMP-0952</t>
  </si>
  <si>
    <t xml:space="preserve">EMP-0953</t>
  </si>
  <si>
    <t xml:space="preserve">EMP-0954</t>
  </si>
  <si>
    <t xml:space="preserve">EMP-0955</t>
  </si>
  <si>
    <t xml:space="preserve">EMP-0956</t>
  </si>
  <si>
    <t xml:space="preserve">EMP-0957</t>
  </si>
  <si>
    <t xml:space="preserve">EMP-0958</t>
  </si>
  <si>
    <t xml:space="preserve">EMP-0959</t>
  </si>
  <si>
    <t xml:space="preserve">EMP-0960</t>
  </si>
  <si>
    <t xml:space="preserve">EMP-0961</t>
  </si>
  <si>
    <t xml:space="preserve">EMP-0962</t>
  </si>
  <si>
    <t xml:space="preserve">EMP-0963</t>
  </si>
  <si>
    <t xml:space="preserve">EMP-0964</t>
  </si>
  <si>
    <t xml:space="preserve">EMP-0965</t>
  </si>
  <si>
    <t xml:space="preserve">EMP-0966</t>
  </si>
  <si>
    <t xml:space="preserve">EMP-0967</t>
  </si>
  <si>
    <t xml:space="preserve">EMP-0968</t>
  </si>
  <si>
    <t xml:space="preserve">EMP-0969</t>
  </si>
  <si>
    <t xml:space="preserve">EMP-0970</t>
  </si>
  <si>
    <t xml:space="preserve">EMP-0971</t>
  </si>
  <si>
    <t xml:space="preserve">EMP-0972</t>
  </si>
  <si>
    <t xml:space="preserve">EMP-0973</t>
  </si>
  <si>
    <t xml:space="preserve">EMP-0974</t>
  </si>
  <si>
    <t xml:space="preserve">EMP-0975</t>
  </si>
  <si>
    <t xml:space="preserve">EMP-0976</t>
  </si>
  <si>
    <t xml:space="preserve">EMP-0977</t>
  </si>
  <si>
    <t xml:space="preserve">EMP-0978</t>
  </si>
  <si>
    <t xml:space="preserve">EMP-0979</t>
  </si>
  <si>
    <t xml:space="preserve">EMP-0980</t>
  </si>
  <si>
    <t xml:space="preserve">EMP-0981</t>
  </si>
  <si>
    <t xml:space="preserve">EMP-0982</t>
  </si>
  <si>
    <t xml:space="preserve">EMP-0983</t>
  </si>
  <si>
    <t xml:space="preserve">EMP-0984</t>
  </si>
  <si>
    <t xml:space="preserve">EMP-0985</t>
  </si>
  <si>
    <t xml:space="preserve">EMP-0986</t>
  </si>
  <si>
    <t xml:space="preserve">EMP-0987</t>
  </si>
  <si>
    <t xml:space="preserve">EMP-0988</t>
  </si>
  <si>
    <t xml:space="preserve">EMP-0989</t>
  </si>
  <si>
    <t xml:space="preserve">EMP-0990</t>
  </si>
  <si>
    <t xml:space="preserve">EMP-0991</t>
  </si>
  <si>
    <t xml:space="preserve">EMP-0992</t>
  </si>
  <si>
    <t xml:space="preserve">EMP-0993</t>
  </si>
  <si>
    <t xml:space="preserve">EMP-0994</t>
  </si>
  <si>
    <t xml:space="preserve">EMP-0995</t>
  </si>
  <si>
    <t xml:space="preserve">EMP-0996</t>
  </si>
  <si>
    <t xml:space="preserve">EMP-0997</t>
  </si>
  <si>
    <t xml:space="preserve">EMP-0998</t>
  </si>
  <si>
    <t xml:space="preserve">EMP-0999</t>
  </si>
  <si>
    <t xml:space="preserve">EMP-1000</t>
  </si>
  <si>
    <t xml:space="preserve">EMP-1001</t>
  </si>
  <si>
    <t xml:space="preserve">EMP-1002</t>
  </si>
  <si>
    <t xml:space="preserve">EMP-1003</t>
  </si>
  <si>
    <t xml:space="preserve">EMP-1004</t>
  </si>
  <si>
    <t xml:space="preserve">EMP-1005</t>
  </si>
  <si>
    <t xml:space="preserve">EMP-1006</t>
  </si>
  <si>
    <t xml:space="preserve">EMP-1007</t>
  </si>
  <si>
    <t xml:space="preserve">EMP-1008</t>
  </si>
  <si>
    <t xml:space="preserve">EMP-1009</t>
  </si>
  <si>
    <t xml:space="preserve">EMP-1010</t>
  </si>
  <si>
    <t xml:space="preserve">EMP-1011</t>
  </si>
  <si>
    <t xml:space="preserve">EMP-1012</t>
  </si>
  <si>
    <t xml:space="preserve">EMP-1013</t>
  </si>
  <si>
    <t xml:space="preserve">EMP-1014</t>
  </si>
  <si>
    <t xml:space="preserve">EMP-1015</t>
  </si>
  <si>
    <t xml:space="preserve">EMP-1016</t>
  </si>
  <si>
    <t xml:space="preserve">EMP-1017</t>
  </si>
  <si>
    <t xml:space="preserve">EMP-1018</t>
  </si>
  <si>
    <t xml:space="preserve">EMP-1019</t>
  </si>
  <si>
    <t xml:space="preserve">EMP-1020</t>
  </si>
  <si>
    <t xml:space="preserve">EMP-1021</t>
  </si>
  <si>
    <t xml:space="preserve">EMP-1022</t>
  </si>
  <si>
    <t xml:space="preserve">EMP-1023</t>
  </si>
  <si>
    <t xml:space="preserve">EMP-1024</t>
  </si>
  <si>
    <t xml:space="preserve">EMP-1025</t>
  </si>
  <si>
    <t xml:space="preserve">EMP-1026</t>
  </si>
  <si>
    <t xml:space="preserve">EMP-1027</t>
  </si>
  <si>
    <t xml:space="preserve">EMP-1028</t>
  </si>
  <si>
    <t xml:space="preserve">EMP-1029</t>
  </si>
  <si>
    <t xml:space="preserve">EMP-1030</t>
  </si>
  <si>
    <t xml:space="preserve">EMP-1031</t>
  </si>
  <si>
    <t xml:space="preserve">EMP-1032</t>
  </si>
  <si>
    <t xml:space="preserve">EMP-1033</t>
  </si>
  <si>
    <t xml:space="preserve">EMP-1034</t>
  </si>
  <si>
    <t xml:space="preserve">EMP-1035</t>
  </si>
  <si>
    <t xml:space="preserve">EMP-1036</t>
  </si>
  <si>
    <t xml:space="preserve">EMP-1037</t>
  </si>
  <si>
    <t xml:space="preserve">EMP-1038</t>
  </si>
  <si>
    <t xml:space="preserve">EMP-1039</t>
  </si>
  <si>
    <t xml:space="preserve">EMP-1040</t>
  </si>
  <si>
    <t xml:space="preserve">EMP-1041</t>
  </si>
  <si>
    <t xml:space="preserve">EMP-1042</t>
  </si>
  <si>
    <t xml:space="preserve">EMP-1043</t>
  </si>
  <si>
    <t xml:space="preserve">EMP-1044</t>
  </si>
  <si>
    <t xml:space="preserve">EMP-1045</t>
  </si>
  <si>
    <t xml:space="preserve">EMP-1046</t>
  </si>
  <si>
    <t xml:space="preserve">EMP-1047</t>
  </si>
  <si>
    <t xml:space="preserve">EMP-1048</t>
  </si>
  <si>
    <t xml:space="preserve">EMP-1049</t>
  </si>
  <si>
    <t xml:space="preserve">EMP-1050</t>
  </si>
  <si>
    <t xml:space="preserve">EMP-1051</t>
  </si>
  <si>
    <t xml:space="preserve">EMP-1052</t>
  </si>
  <si>
    <t xml:space="preserve">EMP-1053</t>
  </si>
  <si>
    <t xml:space="preserve">EMP-1054</t>
  </si>
  <si>
    <t xml:space="preserve">EMP-1055</t>
  </si>
  <si>
    <t xml:space="preserve">EMP-1056</t>
  </si>
  <si>
    <t xml:space="preserve">EMP-1057</t>
  </si>
  <si>
    <t xml:space="preserve">EMP-1058</t>
  </si>
  <si>
    <t xml:space="preserve">EMP-1059</t>
  </si>
  <si>
    <t xml:space="preserve">EMP-1060</t>
  </si>
  <si>
    <t xml:space="preserve">EMP-1061</t>
  </si>
  <si>
    <t xml:space="preserve">EMP-1062</t>
  </si>
  <si>
    <t xml:space="preserve">EMP-1063</t>
  </si>
  <si>
    <t xml:space="preserve">EMP-1064</t>
  </si>
  <si>
    <t xml:space="preserve">EMP-1065</t>
  </si>
  <si>
    <t xml:space="preserve">EMP-1066</t>
  </si>
  <si>
    <t xml:space="preserve">EMP-1067</t>
  </si>
  <si>
    <t xml:space="preserve">EMP-1068</t>
  </si>
  <si>
    <t xml:space="preserve">EMP-1069</t>
  </si>
  <si>
    <t xml:space="preserve">EMP-1070</t>
  </si>
  <si>
    <t xml:space="preserve">EMP-1071</t>
  </si>
  <si>
    <t xml:space="preserve">EMP-1072</t>
  </si>
  <si>
    <t xml:space="preserve">EMP-1073</t>
  </si>
  <si>
    <t xml:space="preserve">EMP-1074</t>
  </si>
  <si>
    <t xml:space="preserve">EMP-1075</t>
  </si>
  <si>
    <t xml:space="preserve">EMP-1076</t>
  </si>
  <si>
    <t xml:space="preserve">EMP-1077</t>
  </si>
  <si>
    <t xml:space="preserve">EMP-1078</t>
  </si>
  <si>
    <t xml:space="preserve">EMP-1079</t>
  </si>
  <si>
    <t xml:space="preserve">EMP-1080</t>
  </si>
  <si>
    <t xml:space="preserve">EMP-1081</t>
  </si>
  <si>
    <t xml:space="preserve">EMP-1082</t>
  </si>
  <si>
    <t xml:space="preserve">EMP-1083</t>
  </si>
  <si>
    <t xml:space="preserve">EMP-1084</t>
  </si>
  <si>
    <t xml:space="preserve">EMP-1085</t>
  </si>
  <si>
    <t xml:space="preserve">EMP-1086</t>
  </si>
  <si>
    <t xml:space="preserve">EMP-1087</t>
  </si>
  <si>
    <t xml:space="preserve">EMP-1088</t>
  </si>
  <si>
    <t xml:space="preserve">EMP-1089</t>
  </si>
  <si>
    <t xml:space="preserve">EMP-1090</t>
  </si>
  <si>
    <t xml:space="preserve">EMP-1091</t>
  </si>
  <si>
    <t xml:space="preserve">EMP-1092</t>
  </si>
  <si>
    <t xml:space="preserve">EMP-1093</t>
  </si>
  <si>
    <t xml:space="preserve">EMP-1094</t>
  </si>
  <si>
    <t xml:space="preserve">EMP-1095</t>
  </si>
  <si>
    <t xml:space="preserve">EMP-1096</t>
  </si>
  <si>
    <t xml:space="preserve">EMP-1097</t>
  </si>
  <si>
    <t xml:space="preserve">EMP-1098</t>
  </si>
  <si>
    <t xml:space="preserve">EMP-1099</t>
  </si>
  <si>
    <t xml:space="preserve">EMP-1100</t>
  </si>
  <si>
    <t xml:space="preserve">EMP-1101</t>
  </si>
  <si>
    <t xml:space="preserve">EMP-1102</t>
  </si>
  <si>
    <t xml:space="preserve">EMP-1103</t>
  </si>
  <si>
    <t xml:space="preserve">EMP-1104</t>
  </si>
  <si>
    <t xml:space="preserve">EMP-1105</t>
  </si>
  <si>
    <t xml:space="preserve">EMP-1106</t>
  </si>
  <si>
    <t xml:space="preserve">EMP-1107</t>
  </si>
  <si>
    <t xml:space="preserve">EMP-1108</t>
  </si>
  <si>
    <t xml:space="preserve">EMP-1109</t>
  </si>
  <si>
    <t xml:space="preserve">EMP-1110</t>
  </si>
  <si>
    <t xml:space="preserve">EMP-1111</t>
  </si>
  <si>
    <t xml:space="preserve">EMP-1112</t>
  </si>
  <si>
    <t xml:space="preserve">EMP-1113</t>
  </si>
  <si>
    <t xml:space="preserve">EMP-1114</t>
  </si>
  <si>
    <t xml:space="preserve">EMP-1115</t>
  </si>
  <si>
    <t xml:space="preserve">EMP-1116</t>
  </si>
  <si>
    <t xml:space="preserve">EMP-1117</t>
  </si>
  <si>
    <t xml:space="preserve">EMP-1118</t>
  </si>
  <si>
    <t xml:space="preserve">EMP-1119</t>
  </si>
  <si>
    <t xml:space="preserve">EMP-1120</t>
  </si>
  <si>
    <t xml:space="preserve">EMP-1121</t>
  </si>
  <si>
    <t xml:space="preserve">EMP-1122</t>
  </si>
  <si>
    <t xml:space="preserve">EMP-1123</t>
  </si>
  <si>
    <t xml:space="preserve">EMP-1124</t>
  </si>
  <si>
    <t xml:space="preserve">EMP-1125</t>
  </si>
  <si>
    <t xml:space="preserve">EMP-1126</t>
  </si>
  <si>
    <t xml:space="preserve">EMP-1127</t>
  </si>
  <si>
    <t xml:space="preserve">EMP-1128</t>
  </si>
  <si>
    <t xml:space="preserve">EMP-1129</t>
  </si>
  <si>
    <t xml:space="preserve">EMP-1130</t>
  </si>
  <si>
    <t xml:space="preserve">EMP-1131</t>
  </si>
  <si>
    <t xml:space="preserve">EMP-1132</t>
  </si>
  <si>
    <t xml:space="preserve">EMP-1133</t>
  </si>
  <si>
    <t xml:space="preserve">EMP-1134</t>
  </si>
  <si>
    <t xml:space="preserve">EMP-1135</t>
  </si>
  <si>
    <t xml:space="preserve">EMP-1136</t>
  </si>
  <si>
    <t xml:space="preserve">EMP-1137</t>
  </si>
  <si>
    <t xml:space="preserve">EMP-1138</t>
  </si>
  <si>
    <t xml:space="preserve">EMP-1139</t>
  </si>
  <si>
    <t xml:space="preserve">EMP-1140</t>
  </si>
  <si>
    <t xml:space="preserve">EMP-1141</t>
  </si>
  <si>
    <t xml:space="preserve">EMP-1142</t>
  </si>
  <si>
    <t xml:space="preserve">EMP-1143</t>
  </si>
  <si>
    <t xml:space="preserve">EMP-1144</t>
  </si>
  <si>
    <t xml:space="preserve">EMP-1145</t>
  </si>
  <si>
    <t xml:space="preserve">EMP-1146</t>
  </si>
  <si>
    <t xml:space="preserve">EMP-1147</t>
  </si>
  <si>
    <t xml:space="preserve">EMP-1148</t>
  </si>
  <si>
    <t xml:space="preserve">EMP-1149</t>
  </si>
  <si>
    <t xml:space="preserve">EMP-1150</t>
  </si>
  <si>
    <t xml:space="preserve">EMP-1151</t>
  </si>
  <si>
    <t xml:space="preserve">EMP-1152</t>
  </si>
  <si>
    <t xml:space="preserve">EMP-1153</t>
  </si>
  <si>
    <t xml:space="preserve">EMP-1154</t>
  </si>
  <si>
    <t xml:space="preserve">EMP-1155</t>
  </si>
  <si>
    <t xml:space="preserve">EMP-1156</t>
  </si>
  <si>
    <t xml:space="preserve">EMP-1157</t>
  </si>
  <si>
    <t xml:space="preserve">EMP-1158</t>
  </si>
  <si>
    <t xml:space="preserve">EMP-1159</t>
  </si>
  <si>
    <t xml:space="preserve">EMP-1160</t>
  </si>
  <si>
    <t xml:space="preserve">EMP-1161</t>
  </si>
  <si>
    <t xml:space="preserve">EMP-1162</t>
  </si>
  <si>
    <t xml:space="preserve">EMP-1163</t>
  </si>
  <si>
    <t xml:space="preserve">EMP-1164</t>
  </si>
  <si>
    <t xml:space="preserve">EMP-1165</t>
  </si>
  <si>
    <t xml:space="preserve">EMP-1166</t>
  </si>
  <si>
    <t xml:space="preserve">EMP-1167</t>
  </si>
  <si>
    <t xml:space="preserve">EMP-1168</t>
  </si>
  <si>
    <t xml:space="preserve">EMP-1169</t>
  </si>
  <si>
    <t xml:space="preserve">EMP-1170</t>
  </si>
  <si>
    <t xml:space="preserve">EMP-1171</t>
  </si>
  <si>
    <t xml:space="preserve">EMP-1172</t>
  </si>
  <si>
    <t xml:space="preserve">EMP-1173</t>
  </si>
  <si>
    <t xml:space="preserve">EMP-1174</t>
  </si>
  <si>
    <t xml:space="preserve">EMP-1175</t>
  </si>
  <si>
    <t xml:space="preserve">EMP-1176</t>
  </si>
  <si>
    <t xml:space="preserve">EMP-1177</t>
  </si>
  <si>
    <t xml:space="preserve">EMP-1178</t>
  </si>
  <si>
    <t xml:space="preserve">EMP-1179</t>
  </si>
  <si>
    <t xml:space="preserve">EMP-1180</t>
  </si>
  <si>
    <t xml:space="preserve">EMP-1181</t>
  </si>
  <si>
    <t xml:space="preserve">EMP-1182</t>
  </si>
  <si>
    <t xml:space="preserve">EMP-1183</t>
  </si>
  <si>
    <t xml:space="preserve">EMP-1184</t>
  </si>
  <si>
    <t xml:space="preserve">EMP-1185</t>
  </si>
  <si>
    <t xml:space="preserve">EMP-1186</t>
  </si>
  <si>
    <t xml:space="preserve">EMP-1187</t>
  </si>
  <si>
    <t xml:space="preserve">EMP-1188</t>
  </si>
  <si>
    <t xml:space="preserve">EMP-1189</t>
  </si>
  <si>
    <t xml:space="preserve">EMP-1190</t>
  </si>
  <si>
    <t xml:space="preserve">EMP-1191</t>
  </si>
  <si>
    <t xml:space="preserve">EMP-1192</t>
  </si>
  <si>
    <t xml:space="preserve">EMP-1193</t>
  </si>
  <si>
    <t xml:space="preserve">EMP-1194</t>
  </si>
  <si>
    <t xml:space="preserve">EMP-1195</t>
  </si>
  <si>
    <t xml:space="preserve">EMP-1196</t>
  </si>
  <si>
    <t xml:space="preserve">EMP-1197</t>
  </si>
  <si>
    <t xml:space="preserve">EMP-1198</t>
  </si>
  <si>
    <t xml:space="preserve">EMP-1199</t>
  </si>
  <si>
    <t xml:space="preserve">EMP-1200</t>
  </si>
  <si>
    <t xml:space="preserve">Cleaning applied: (1) overtime standardised to Yes/No, (2) missing income filled with department+level average</t>
  </si>
  <si>
    <t xml:space="preserve">HR Attrition Analysis — Summary (built from Cleaned Data tab)</t>
  </si>
  <si>
    <t xml:space="preserve">Attrition Rate by Department</t>
  </si>
  <si>
    <t xml:space="preserve">Department</t>
  </si>
  <si>
    <t xml:space="preserve">Headcount</t>
  </si>
  <si>
    <t xml:space="preserve">Leavers</t>
  </si>
  <si>
    <t xml:space="preserve">Attrition Rate</t>
  </si>
  <si>
    <t xml:space="preserve">Avg Tenure (yrs)</t>
  </si>
  <si>
    <t xml:space="preserve">Avg Monthly Income</t>
  </si>
  <si>
    <t xml:space="preserve">Company-wide</t>
  </si>
  <si>
    <t xml:space="preserve">Attrition Rate by Overtime</t>
  </si>
  <si>
    <t xml:space="preserve">Value</t>
  </si>
  <si>
    <t xml:space="preserve">Attrition Rate by Job Satisfaction (1=Low, 4=Very High)</t>
  </si>
  <si>
    <t xml:space="preserve">Attrition Rate by Work-Life Balance (1=Bad, 4=Best)</t>
  </si>
  <si>
    <t xml:space="preserve">Key Insights</t>
  </si>
  <si>
    <t xml:space="preserve">1. Customer Support has the highest attrition rate at 39.3%, nearly double the company-wide rate and well above every other department.</t>
  </si>
  <si>
    <t xml:space="preserve">2. Employees working overtime leave at 35.4%, vs 19.7% for those who don't - the single strongest driver in the dataset.</t>
  </si>
  <si>
    <t xml:space="preserve">3. Low job satisfaction (score 1-2) correlates with ~37% attrition, vs ~19% for scores 3-4.</t>
  </si>
  <si>
    <t xml:space="preserve">4. Within Customer Support specifically, employees on overtime AND with low satisfaction leave at the highest rate of any segment (47.7%).</t>
  </si>
  <si>
    <t xml:space="preserve">5. Recommendation: prioritize a retention intervention (workload review, overtime caps, or a pay/role review) for Customer Support staff currently working overtime, since this segment drives a disproportionate share of total attrition.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</si>
</sst>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\$#,##0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20"/>
    <col collapsed="false" customWidth="true" hidden="false" outlineLevel="0" max="13" min="11" style="0" width="22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</row>
    <row r="2" customFormat="false" ht="15" hidden="false" customHeight="false" outlineLevel="0" collapsed="false">
      <c r="A2" s="3" t="s">
        <v>15</v>
      </c>
      <c r="B2" s="3" t="n">
        <v>47</v>
      </c>
      <c r="C2" s="3" t="s">
        <v>16</v>
      </c>
      <c r="D2" s="3" t="s">
        <v>17</v>
      </c>
      <c r="E2" s="3" t="s">
        <v>18</v>
      </c>
      <c r="F2" s="3" t="n">
        <v>11.4</v>
      </c>
      <c r="G2" s="3" t="n">
        <v>3323.12</v>
      </c>
      <c r="H2" s="3" t="s">
        <v>19</v>
      </c>
      <c r="I2" s="3" t="n">
        <v>1</v>
      </c>
      <c r="J2" s="3" t="n">
        <v>2</v>
      </c>
      <c r="K2" s="3" t="n">
        <v>5</v>
      </c>
      <c r="L2" s="3" t="n">
        <v>2</v>
      </c>
      <c r="M2" s="3" t="n">
        <v>2</v>
      </c>
      <c r="N2" s="3" t="s">
        <v>20</v>
      </c>
    </row>
    <row r="3" customFormat="false" ht="15" hidden="false" customHeight="false" outlineLevel="0" collapsed="false">
      <c r="A3" s="3" t="s">
        <v>21</v>
      </c>
      <c r="B3" s="3" t="n">
        <v>30</v>
      </c>
      <c r="C3" s="3" t="s">
        <v>22</v>
      </c>
      <c r="D3" s="3" t="s">
        <v>23</v>
      </c>
      <c r="E3" s="3" t="s">
        <v>24</v>
      </c>
      <c r="F3" s="3" t="n">
        <v>7.2</v>
      </c>
      <c r="G3" s="3" t="n">
        <v>4438.49</v>
      </c>
      <c r="H3" s="3" t="s">
        <v>19</v>
      </c>
      <c r="I3" s="3" t="n">
        <v>4</v>
      </c>
      <c r="J3" s="3" t="n">
        <v>1</v>
      </c>
      <c r="K3" s="3" t="n">
        <v>7</v>
      </c>
      <c r="L3" s="3" t="n">
        <v>5</v>
      </c>
      <c r="M3" s="3" t="n">
        <v>1</v>
      </c>
      <c r="N3" s="3" t="s">
        <v>19</v>
      </c>
    </row>
    <row r="4" customFormat="false" ht="15" hidden="false" customHeight="false" outlineLevel="0" collapsed="false">
      <c r="A4" s="3" t="s">
        <v>25</v>
      </c>
      <c r="B4" s="3" t="n">
        <v>34</v>
      </c>
      <c r="C4" s="3" t="s">
        <v>26</v>
      </c>
      <c r="D4" s="3" t="s">
        <v>27</v>
      </c>
      <c r="E4" s="3" t="s">
        <v>28</v>
      </c>
      <c r="F4" s="3" t="n">
        <v>4.2</v>
      </c>
      <c r="G4" s="3" t="n">
        <v>7805.91</v>
      </c>
      <c r="H4" s="3" t="s">
        <v>20</v>
      </c>
      <c r="I4" s="3" t="n">
        <v>2</v>
      </c>
      <c r="J4" s="3" t="n">
        <v>3</v>
      </c>
      <c r="K4" s="3" t="n">
        <v>3</v>
      </c>
      <c r="L4" s="3" t="n">
        <v>1</v>
      </c>
      <c r="M4" s="3" t="n">
        <v>3</v>
      </c>
      <c r="N4" s="3" t="s">
        <v>19</v>
      </c>
    </row>
    <row r="5" customFormat="false" ht="15" hidden="false" customHeight="false" outlineLevel="0" collapsed="false">
      <c r="A5" s="3" t="s">
        <v>29</v>
      </c>
      <c r="B5" s="3" t="n">
        <v>25</v>
      </c>
      <c r="C5" s="3" t="s">
        <v>22</v>
      </c>
      <c r="D5" s="3" t="s">
        <v>23</v>
      </c>
      <c r="E5" s="3" t="s">
        <v>18</v>
      </c>
      <c r="F5" s="3" t="n">
        <v>1</v>
      </c>
      <c r="G5" s="3" t="n">
        <v>4840.78</v>
      </c>
      <c r="H5" s="3" t="s">
        <v>20</v>
      </c>
      <c r="I5" s="3" t="n">
        <v>3</v>
      </c>
      <c r="J5" s="3" t="n">
        <v>3</v>
      </c>
      <c r="K5" s="3" t="n">
        <v>4</v>
      </c>
      <c r="L5" s="3" t="n">
        <v>1</v>
      </c>
      <c r="M5" s="3" t="n">
        <v>2</v>
      </c>
      <c r="N5" s="3" t="s">
        <v>19</v>
      </c>
    </row>
    <row r="6" customFormat="false" ht="15" hidden="false" customHeight="false" outlineLevel="0" collapsed="false">
      <c r="A6" s="3" t="s">
        <v>30</v>
      </c>
      <c r="B6" s="3" t="n">
        <v>21</v>
      </c>
      <c r="C6" s="3" t="s">
        <v>22</v>
      </c>
      <c r="D6" s="3" t="s">
        <v>23</v>
      </c>
      <c r="E6" s="3" t="s">
        <v>18</v>
      </c>
      <c r="F6" s="3" t="n">
        <v>0</v>
      </c>
      <c r="G6" s="3" t="n">
        <v>4958.48</v>
      </c>
      <c r="H6" s="3" t="s">
        <v>19</v>
      </c>
      <c r="I6" s="3" t="n">
        <v>1</v>
      </c>
      <c r="J6" s="3" t="n">
        <v>1</v>
      </c>
      <c r="K6" s="3" t="n">
        <v>9</v>
      </c>
      <c r="L6" s="3" t="n">
        <v>0</v>
      </c>
      <c r="M6" s="3" t="n">
        <v>3</v>
      </c>
      <c r="N6" s="3" t="s">
        <v>20</v>
      </c>
    </row>
    <row r="7" customFormat="false" ht="15" hidden="false" customHeight="false" outlineLevel="0" collapsed="false">
      <c r="A7" s="3" t="s">
        <v>31</v>
      </c>
      <c r="B7" s="3" t="n">
        <v>21</v>
      </c>
      <c r="C7" s="3" t="s">
        <v>32</v>
      </c>
      <c r="D7" s="3" t="s">
        <v>17</v>
      </c>
      <c r="E7" s="3" t="s">
        <v>28</v>
      </c>
      <c r="F7" s="3" t="n">
        <v>0</v>
      </c>
      <c r="G7" s="3" t="n">
        <v>2983.33</v>
      </c>
      <c r="H7" s="3" t="s">
        <v>19</v>
      </c>
      <c r="I7" s="3" t="n">
        <v>4</v>
      </c>
      <c r="J7" s="3" t="n">
        <v>4</v>
      </c>
      <c r="K7" s="3" t="n">
        <v>5</v>
      </c>
      <c r="L7" s="3" t="n">
        <v>0</v>
      </c>
      <c r="M7" s="3" t="n">
        <v>0</v>
      </c>
      <c r="N7" s="3" t="s">
        <v>19</v>
      </c>
    </row>
    <row r="8" customFormat="false" ht="15" hidden="false" customHeight="false" outlineLevel="0" collapsed="false">
      <c r="A8" s="3" t="s">
        <v>33</v>
      </c>
      <c r="B8" s="3" t="n">
        <v>47</v>
      </c>
      <c r="C8" s="3" t="s">
        <v>26</v>
      </c>
      <c r="D8" s="3" t="s">
        <v>23</v>
      </c>
      <c r="E8" s="3" t="s">
        <v>18</v>
      </c>
      <c r="F8" s="3" t="n">
        <v>2</v>
      </c>
      <c r="G8" s="3" t="n">
        <v>4309.95</v>
      </c>
      <c r="H8" s="3" t="s">
        <v>20</v>
      </c>
      <c r="I8" s="3" t="n">
        <v>3</v>
      </c>
      <c r="J8" s="3" t="n">
        <v>2</v>
      </c>
      <c r="K8" s="3" t="n">
        <v>1</v>
      </c>
      <c r="L8" s="3" t="n">
        <v>1</v>
      </c>
      <c r="M8" s="3" t="n">
        <v>4</v>
      </c>
      <c r="N8" s="3" t="s">
        <v>19</v>
      </c>
    </row>
    <row r="9" customFormat="false" ht="15" hidden="false" customHeight="false" outlineLevel="0" collapsed="false">
      <c r="A9" s="3" t="s">
        <v>34</v>
      </c>
      <c r="B9" s="3" t="n">
        <v>31</v>
      </c>
      <c r="C9" s="3" t="s">
        <v>26</v>
      </c>
      <c r="D9" s="3" t="s">
        <v>23</v>
      </c>
      <c r="E9" s="3" t="s">
        <v>28</v>
      </c>
      <c r="F9" s="3" t="n">
        <v>6.5</v>
      </c>
      <c r="G9" s="3" t="n">
        <v>5213.86</v>
      </c>
      <c r="H9" s="3" t="s">
        <v>19</v>
      </c>
      <c r="I9" s="3" t="n">
        <v>4</v>
      </c>
      <c r="J9" s="3" t="n">
        <v>1</v>
      </c>
      <c r="K9" s="3" t="n">
        <v>16</v>
      </c>
      <c r="L9" s="3" t="n">
        <v>0</v>
      </c>
      <c r="M9" s="3" t="n">
        <v>3</v>
      </c>
      <c r="N9" s="3" t="s">
        <v>19</v>
      </c>
    </row>
    <row r="10" customFormat="false" ht="15" hidden="false" customHeight="false" outlineLevel="0" collapsed="false">
      <c r="A10" s="3" t="s">
        <v>35</v>
      </c>
      <c r="B10" s="3" t="n">
        <v>32</v>
      </c>
      <c r="C10" s="3" t="s">
        <v>22</v>
      </c>
      <c r="D10" s="3" t="s">
        <v>27</v>
      </c>
      <c r="E10" s="3" t="s">
        <v>24</v>
      </c>
      <c r="F10" s="3" t="n">
        <v>5</v>
      </c>
      <c r="G10" s="3" t="n">
        <v>7197.82</v>
      </c>
      <c r="H10" s="3" t="s">
        <v>19</v>
      </c>
      <c r="I10" s="3" t="n">
        <v>4</v>
      </c>
      <c r="J10" s="3" t="n">
        <v>4</v>
      </c>
      <c r="K10" s="3" t="n">
        <v>11</v>
      </c>
      <c r="L10" s="3" t="n">
        <v>0</v>
      </c>
      <c r="M10" s="3" t="n">
        <v>2</v>
      </c>
      <c r="N10" s="3" t="s">
        <v>19</v>
      </c>
    </row>
    <row r="11" customFormat="false" ht="15" hidden="false" customHeight="false" outlineLevel="0" collapsed="false">
      <c r="A11" s="3" t="s">
        <v>36</v>
      </c>
      <c r="B11" s="3" t="n">
        <v>29</v>
      </c>
      <c r="C11" s="3" t="s">
        <v>16</v>
      </c>
      <c r="D11" s="3" t="s">
        <v>23</v>
      </c>
      <c r="E11" s="3" t="s">
        <v>24</v>
      </c>
      <c r="F11" s="3" t="n">
        <v>2.8</v>
      </c>
      <c r="G11" s="3" t="n">
        <v>5471.8</v>
      </c>
      <c r="H11" s="3" t="s">
        <v>19</v>
      </c>
      <c r="I11" s="3" t="n">
        <v>2</v>
      </c>
      <c r="J11" s="3" t="n">
        <v>2</v>
      </c>
      <c r="K11" s="3" t="n">
        <v>8</v>
      </c>
      <c r="L11" s="3" t="n">
        <v>0</v>
      </c>
      <c r="M11" s="3" t="n">
        <v>1</v>
      </c>
      <c r="N11" s="3" t="s">
        <v>20</v>
      </c>
    </row>
    <row r="12" customFormat="false" ht="15" hidden="false" customHeight="false" outlineLevel="0" collapsed="false">
      <c r="A12" s="3" t="s">
        <v>37</v>
      </c>
      <c r="B12" s="3" t="n">
        <v>37</v>
      </c>
      <c r="C12" s="3" t="s">
        <v>26</v>
      </c>
      <c r="D12" s="3" t="s">
        <v>23</v>
      </c>
      <c r="E12" s="3" t="s">
        <v>18</v>
      </c>
      <c r="F12" s="3" t="n">
        <v>0.1</v>
      </c>
      <c r="G12" s="3" t="n">
        <v>4974.84</v>
      </c>
      <c r="H12" s="3" t="s">
        <v>19</v>
      </c>
      <c r="I12" s="3" t="n">
        <v>4</v>
      </c>
      <c r="J12" s="3" t="n">
        <v>2</v>
      </c>
      <c r="K12" s="3" t="n">
        <v>1</v>
      </c>
      <c r="L12" s="3" t="n">
        <v>0</v>
      </c>
      <c r="M12" s="3" t="n">
        <v>2</v>
      </c>
      <c r="N12" s="3" t="s">
        <v>19</v>
      </c>
    </row>
    <row r="13" customFormat="false" ht="15" hidden="false" customHeight="false" outlineLevel="0" collapsed="false">
      <c r="A13" s="3" t="s">
        <v>38</v>
      </c>
      <c r="B13" s="3" t="n">
        <v>37</v>
      </c>
      <c r="C13" s="3" t="s">
        <v>26</v>
      </c>
      <c r="D13" s="3" t="s">
        <v>23</v>
      </c>
      <c r="E13" s="3" t="s">
        <v>24</v>
      </c>
      <c r="F13" s="3" t="n">
        <v>5.6</v>
      </c>
      <c r="G13" s="3" t="n">
        <v>4362.7</v>
      </c>
      <c r="H13" s="3" t="s">
        <v>19</v>
      </c>
      <c r="I13" s="3" t="n">
        <v>4</v>
      </c>
      <c r="J13" s="3" t="n">
        <v>3</v>
      </c>
      <c r="K13" s="3" t="n">
        <v>1</v>
      </c>
      <c r="L13" s="3" t="n">
        <v>0</v>
      </c>
      <c r="M13" s="3" t="n">
        <v>2</v>
      </c>
      <c r="N13" s="3" t="s">
        <v>20</v>
      </c>
    </row>
    <row r="14" customFormat="false" ht="15" hidden="false" customHeight="false" outlineLevel="0" collapsed="false">
      <c r="A14" s="3" t="s">
        <v>39</v>
      </c>
      <c r="B14" s="3" t="n">
        <v>29</v>
      </c>
      <c r="C14" s="3" t="s">
        <v>22</v>
      </c>
      <c r="D14" s="3" t="s">
        <v>27</v>
      </c>
      <c r="E14" s="3" t="s">
        <v>18</v>
      </c>
      <c r="F14" s="3" t="n">
        <v>0.5</v>
      </c>
      <c r="G14" s="3" t="n">
        <v>6178.44</v>
      </c>
      <c r="H14" s="3" t="s">
        <v>19</v>
      </c>
      <c r="I14" s="3" t="n">
        <v>3</v>
      </c>
      <c r="J14" s="3" t="n">
        <v>3</v>
      </c>
      <c r="K14" s="3" t="n">
        <v>1</v>
      </c>
      <c r="L14" s="3" t="n">
        <v>0</v>
      </c>
      <c r="M14" s="3" t="n">
        <v>3</v>
      </c>
      <c r="N14" s="3" t="s">
        <v>20</v>
      </c>
    </row>
    <row r="15" customFormat="false" ht="15" hidden="false" customHeight="false" outlineLevel="0" collapsed="false">
      <c r="A15" s="3" t="s">
        <v>40</v>
      </c>
      <c r="B15" s="3" t="n">
        <v>32</v>
      </c>
      <c r="C15" s="3" t="s">
        <v>26</v>
      </c>
      <c r="D15" s="3" t="s">
        <v>23</v>
      </c>
      <c r="E15" s="3" t="s">
        <v>41</v>
      </c>
      <c r="F15" s="3" t="n">
        <v>5.3</v>
      </c>
      <c r="G15" s="3" t="n">
        <v>5636.71</v>
      </c>
      <c r="H15" s="3" t="s">
        <v>20</v>
      </c>
      <c r="I15" s="3" t="n">
        <v>4</v>
      </c>
      <c r="J15" s="3" t="n">
        <v>4</v>
      </c>
      <c r="K15" s="3" t="n">
        <v>7</v>
      </c>
      <c r="L15" s="3" t="n">
        <v>4</v>
      </c>
      <c r="M15" s="3" t="n">
        <v>0</v>
      </c>
      <c r="N15" s="3" t="s">
        <v>20</v>
      </c>
    </row>
    <row r="16" customFormat="false" ht="15" hidden="false" customHeight="false" outlineLevel="0" collapsed="false">
      <c r="A16" s="3" t="s">
        <v>42</v>
      </c>
      <c r="B16" s="3" t="n">
        <v>29</v>
      </c>
      <c r="C16" s="3" t="s">
        <v>32</v>
      </c>
      <c r="D16" s="3" t="s">
        <v>23</v>
      </c>
      <c r="E16" s="3" t="s">
        <v>41</v>
      </c>
      <c r="F16" s="3" t="n">
        <v>7.2</v>
      </c>
      <c r="G16" s="3" t="n">
        <v>4131.14</v>
      </c>
      <c r="H16" s="3" t="s">
        <v>19</v>
      </c>
      <c r="I16" s="3" t="n">
        <v>1</v>
      </c>
      <c r="J16" s="3" t="n">
        <v>3</v>
      </c>
      <c r="K16" s="3" t="n">
        <v>4</v>
      </c>
      <c r="L16" s="3" t="n">
        <v>0</v>
      </c>
      <c r="M16" s="3" t="n">
        <v>2</v>
      </c>
      <c r="N16" s="3" t="s">
        <v>19</v>
      </c>
    </row>
    <row r="17" customFormat="false" ht="15" hidden="false" customHeight="false" outlineLevel="0" collapsed="false">
      <c r="A17" s="3" t="s">
        <v>43</v>
      </c>
      <c r="B17" s="3" t="n">
        <v>31</v>
      </c>
      <c r="C17" s="3" t="s">
        <v>16</v>
      </c>
      <c r="D17" s="3" t="s">
        <v>17</v>
      </c>
      <c r="E17" s="3" t="s">
        <v>28</v>
      </c>
      <c r="F17" s="3" t="n">
        <v>0.5</v>
      </c>
      <c r="G17" s="3" t="n">
        <v>2935.61</v>
      </c>
      <c r="H17" s="3" t="s">
        <v>19</v>
      </c>
      <c r="I17" s="3" t="n">
        <v>3</v>
      </c>
      <c r="J17" s="3" t="n">
        <v>2</v>
      </c>
      <c r="K17" s="3" t="n">
        <v>20</v>
      </c>
      <c r="L17" s="3" t="n">
        <v>0</v>
      </c>
      <c r="M17" s="3" t="n">
        <v>0</v>
      </c>
      <c r="N17" s="3" t="s">
        <v>19</v>
      </c>
    </row>
    <row r="18" customFormat="false" ht="15" hidden="false" customHeight="false" outlineLevel="0" collapsed="false">
      <c r="A18" s="3" t="s">
        <v>44</v>
      </c>
      <c r="B18" s="3" t="n">
        <v>31</v>
      </c>
      <c r="C18" s="3" t="s">
        <v>45</v>
      </c>
      <c r="D18" s="3" t="s">
        <v>17</v>
      </c>
      <c r="E18" s="3" t="s">
        <v>24</v>
      </c>
      <c r="F18" s="3" t="n">
        <v>1</v>
      </c>
      <c r="G18" s="3" t="n">
        <v>3282.02</v>
      </c>
      <c r="H18" s="3" t="s">
        <v>19</v>
      </c>
      <c r="I18" s="3" t="n">
        <v>3</v>
      </c>
      <c r="J18" s="3" t="n">
        <v>3</v>
      </c>
      <c r="K18" s="3" t="n">
        <v>7</v>
      </c>
      <c r="L18" s="3" t="n">
        <v>1</v>
      </c>
      <c r="M18" s="3" t="n">
        <v>0</v>
      </c>
      <c r="N18" s="3" t="s">
        <v>19</v>
      </c>
    </row>
    <row r="19" customFormat="false" ht="15" hidden="false" customHeight="false" outlineLevel="0" collapsed="false">
      <c r="A19" s="3" t="s">
        <v>46</v>
      </c>
      <c r="B19" s="3" t="n">
        <v>21</v>
      </c>
      <c r="C19" s="3" t="s">
        <v>26</v>
      </c>
      <c r="D19" s="3" t="s">
        <v>27</v>
      </c>
      <c r="E19" s="3" t="s">
        <v>41</v>
      </c>
      <c r="F19" s="3" t="n">
        <v>0</v>
      </c>
      <c r="G19" s="3" t="n">
        <v>7640.97</v>
      </c>
      <c r="H19" s="3" t="s">
        <v>20</v>
      </c>
      <c r="I19" s="3" t="n">
        <v>3</v>
      </c>
      <c r="J19" s="3" t="n">
        <v>3</v>
      </c>
      <c r="K19" s="3" t="n">
        <v>8</v>
      </c>
      <c r="L19" s="3" t="n">
        <v>0</v>
      </c>
      <c r="M19" s="3" t="n">
        <v>4</v>
      </c>
      <c r="N19" s="3" t="s">
        <v>19</v>
      </c>
    </row>
    <row r="20" customFormat="false" ht="15" hidden="false" customHeight="false" outlineLevel="0" collapsed="false">
      <c r="A20" s="3" t="s">
        <v>47</v>
      </c>
      <c r="B20" s="3" t="n">
        <v>37</v>
      </c>
      <c r="C20" s="3" t="s">
        <v>16</v>
      </c>
      <c r="D20" s="3" t="s">
        <v>48</v>
      </c>
      <c r="E20" s="3" t="s">
        <v>18</v>
      </c>
      <c r="F20" s="3" t="n">
        <v>4.3</v>
      </c>
      <c r="G20" s="3" t="n">
        <v>8700.2</v>
      </c>
      <c r="H20" s="3" t="s">
        <v>19</v>
      </c>
      <c r="I20" s="3" t="n">
        <v>2</v>
      </c>
      <c r="J20" s="3" t="n">
        <v>3</v>
      </c>
      <c r="K20" s="3" t="n">
        <v>1</v>
      </c>
      <c r="L20" s="3" t="n">
        <v>4</v>
      </c>
      <c r="M20" s="3" t="n">
        <v>2</v>
      </c>
      <c r="N20" s="3" t="s">
        <v>19</v>
      </c>
    </row>
    <row r="21" customFormat="false" ht="15" hidden="false" customHeight="false" outlineLevel="0" collapsed="false">
      <c r="A21" s="3" t="s">
        <v>49</v>
      </c>
      <c r="B21" s="3" t="n">
        <v>42</v>
      </c>
      <c r="C21" s="3" t="s">
        <v>26</v>
      </c>
      <c r="D21" s="3" t="s">
        <v>17</v>
      </c>
      <c r="E21" s="3" t="s">
        <v>24</v>
      </c>
      <c r="F21" s="3" t="n">
        <v>5.1</v>
      </c>
      <c r="G21" s="3" t="n">
        <v>3425.1</v>
      </c>
      <c r="H21" s="3" t="s">
        <v>20</v>
      </c>
      <c r="I21" s="3" t="n">
        <v>4</v>
      </c>
      <c r="J21" s="3" t="n">
        <v>2</v>
      </c>
      <c r="K21" s="3" t="n">
        <v>14</v>
      </c>
      <c r="L21" s="3" t="n">
        <v>1</v>
      </c>
      <c r="M21" s="3" t="n">
        <v>2</v>
      </c>
      <c r="N21" s="3" t="s">
        <v>20</v>
      </c>
    </row>
    <row r="22" customFormat="false" ht="15" hidden="false" customHeight="false" outlineLevel="0" collapsed="false">
      <c r="A22" s="3" t="s">
        <v>50</v>
      </c>
      <c r="B22" s="3" t="n">
        <v>31</v>
      </c>
      <c r="C22" s="3" t="s">
        <v>22</v>
      </c>
      <c r="D22" s="3" t="s">
        <v>23</v>
      </c>
      <c r="E22" s="3" t="s">
        <v>18</v>
      </c>
      <c r="F22" s="3" t="n">
        <v>6.7</v>
      </c>
      <c r="G22" s="3" t="n">
        <v>5483.59</v>
      </c>
      <c r="H22" s="3" t="s">
        <v>20</v>
      </c>
      <c r="I22" s="3" t="n">
        <v>3</v>
      </c>
      <c r="J22" s="3" t="n">
        <v>2</v>
      </c>
      <c r="K22" s="3" t="n">
        <v>11</v>
      </c>
      <c r="L22" s="3" t="n">
        <v>1</v>
      </c>
      <c r="M22" s="3" t="n">
        <v>2</v>
      </c>
      <c r="N22" s="3" t="s">
        <v>19</v>
      </c>
    </row>
    <row r="23" customFormat="false" ht="15" hidden="false" customHeight="false" outlineLevel="0" collapsed="false">
      <c r="A23" s="3" t="s">
        <v>51</v>
      </c>
      <c r="B23" s="3" t="n">
        <v>43</v>
      </c>
      <c r="C23" s="3" t="s">
        <v>24</v>
      </c>
      <c r="D23" s="3" t="s">
        <v>17</v>
      </c>
      <c r="E23" s="3" t="s">
        <v>24</v>
      </c>
      <c r="F23" s="3" t="n">
        <v>1.2</v>
      </c>
      <c r="G23" s="3" t="n">
        <v>2759.51</v>
      </c>
      <c r="H23" s="3" t="s">
        <v>19</v>
      </c>
      <c r="I23" s="3" t="n">
        <v>3</v>
      </c>
      <c r="J23" s="3" t="n">
        <v>4</v>
      </c>
      <c r="K23" s="3" t="n">
        <v>7</v>
      </c>
      <c r="L23" s="3" t="n">
        <v>0</v>
      </c>
      <c r="M23" s="3" t="n">
        <v>1</v>
      </c>
      <c r="N23" s="3" t="s">
        <v>20</v>
      </c>
    </row>
    <row r="24" customFormat="false" ht="15" hidden="false" customHeight="false" outlineLevel="0" collapsed="false">
      <c r="A24" s="3" t="s">
        <v>52</v>
      </c>
      <c r="B24" s="3" t="n">
        <v>27</v>
      </c>
      <c r="C24" s="3" t="s">
        <v>16</v>
      </c>
      <c r="D24" s="3" t="s">
        <v>23</v>
      </c>
      <c r="E24" s="3" t="s">
        <v>41</v>
      </c>
      <c r="F24" s="3" t="n">
        <v>1.3</v>
      </c>
      <c r="G24" s="3" t="n">
        <v>5552.57</v>
      </c>
      <c r="H24" s="3" t="s">
        <v>19</v>
      </c>
      <c r="I24" s="3" t="n">
        <v>4</v>
      </c>
      <c r="J24" s="3" t="n">
        <v>3</v>
      </c>
      <c r="K24" s="3" t="n">
        <v>3</v>
      </c>
      <c r="L24" s="3" t="n">
        <v>0</v>
      </c>
      <c r="M24" s="3" t="n">
        <v>2</v>
      </c>
      <c r="N24" s="3" t="s">
        <v>19</v>
      </c>
    </row>
    <row r="25" customFormat="false" ht="15" hidden="false" customHeight="false" outlineLevel="0" collapsed="false">
      <c r="A25" s="3" t="s">
        <v>53</v>
      </c>
      <c r="B25" s="3" t="n">
        <v>45</v>
      </c>
      <c r="C25" s="3" t="s">
        <v>26</v>
      </c>
      <c r="D25" s="3" t="s">
        <v>23</v>
      </c>
      <c r="E25" s="3" t="s">
        <v>18</v>
      </c>
      <c r="F25" s="3" t="n">
        <v>1.1</v>
      </c>
      <c r="G25" s="3" t="n">
        <v>5591.29</v>
      </c>
      <c r="H25" s="3" t="s">
        <v>20</v>
      </c>
      <c r="I25" s="3" t="n">
        <v>4</v>
      </c>
      <c r="J25" s="3" t="n">
        <v>2</v>
      </c>
      <c r="K25" s="3" t="n">
        <v>26</v>
      </c>
      <c r="L25" s="3" t="n">
        <v>1</v>
      </c>
      <c r="M25" s="3" t="n">
        <v>0</v>
      </c>
      <c r="N25" s="3" t="s">
        <v>19</v>
      </c>
    </row>
    <row r="26" customFormat="false" ht="15" hidden="false" customHeight="false" outlineLevel="0" collapsed="false">
      <c r="A26" s="3" t="s">
        <v>54</v>
      </c>
      <c r="B26" s="3" t="n">
        <v>44</v>
      </c>
      <c r="C26" s="3" t="s">
        <v>24</v>
      </c>
      <c r="D26" s="3" t="s">
        <v>23</v>
      </c>
      <c r="E26" s="3" t="s">
        <v>18</v>
      </c>
      <c r="F26" s="3" t="n">
        <v>2.2</v>
      </c>
      <c r="G26" s="3" t="n">
        <v>4235.54</v>
      </c>
      <c r="H26" s="3" t="s">
        <v>20</v>
      </c>
      <c r="I26" s="3" t="n">
        <v>2</v>
      </c>
      <c r="J26" s="3" t="n">
        <v>2</v>
      </c>
      <c r="K26" s="3" t="n">
        <v>1</v>
      </c>
      <c r="L26" s="3" t="n">
        <v>0</v>
      </c>
      <c r="M26" s="3" t="n">
        <v>1</v>
      </c>
      <c r="N26" s="3" t="s">
        <v>19</v>
      </c>
    </row>
    <row r="27" customFormat="false" ht="15" hidden="false" customHeight="false" outlineLevel="0" collapsed="false">
      <c r="A27" s="3" t="s">
        <v>55</v>
      </c>
      <c r="B27" s="3" t="n">
        <v>27</v>
      </c>
      <c r="C27" s="3" t="s">
        <v>22</v>
      </c>
      <c r="D27" s="3" t="s">
        <v>27</v>
      </c>
      <c r="E27" s="3" t="s">
        <v>41</v>
      </c>
      <c r="F27" s="3" t="n">
        <v>0.4</v>
      </c>
      <c r="G27" s="3" t="n">
        <v>6661.27</v>
      </c>
      <c r="H27" s="3" t="s">
        <v>19</v>
      </c>
      <c r="I27" s="3" t="n">
        <v>4</v>
      </c>
      <c r="J27" s="3" t="n">
        <v>3</v>
      </c>
      <c r="K27" s="3" t="n">
        <v>1</v>
      </c>
      <c r="L27" s="3" t="n">
        <v>0</v>
      </c>
      <c r="M27" s="3" t="n">
        <v>0</v>
      </c>
      <c r="N27" s="3" t="s">
        <v>19</v>
      </c>
    </row>
    <row r="28" customFormat="false" ht="15" hidden="false" customHeight="false" outlineLevel="0" collapsed="false">
      <c r="A28" s="3" t="s">
        <v>56</v>
      </c>
      <c r="B28" s="3" t="n">
        <v>41</v>
      </c>
      <c r="C28" s="3" t="s">
        <v>16</v>
      </c>
      <c r="D28" s="3" t="s">
        <v>23</v>
      </c>
      <c r="E28" s="3" t="s">
        <v>24</v>
      </c>
      <c r="F28" s="3" t="n">
        <v>5.2</v>
      </c>
      <c r="G28" s="3" t="n">
        <v>5103.77</v>
      </c>
      <c r="H28" s="3" t="s">
        <v>19</v>
      </c>
      <c r="I28" s="3" t="n">
        <v>4</v>
      </c>
      <c r="J28" s="3" t="n">
        <v>4</v>
      </c>
      <c r="K28" s="3" t="n">
        <v>16</v>
      </c>
      <c r="L28" s="3" t="n">
        <v>2</v>
      </c>
      <c r="M28" s="3" t="n">
        <v>0</v>
      </c>
      <c r="N28" s="3" t="s">
        <v>19</v>
      </c>
    </row>
    <row r="29" customFormat="false" ht="15" hidden="false" customHeight="false" outlineLevel="0" collapsed="false">
      <c r="A29" s="3" t="s">
        <v>57</v>
      </c>
      <c r="B29" s="3" t="n">
        <v>34</v>
      </c>
      <c r="C29" s="3" t="s">
        <v>22</v>
      </c>
      <c r="D29" s="3" t="s">
        <v>23</v>
      </c>
      <c r="E29" s="3" t="s">
        <v>28</v>
      </c>
      <c r="F29" s="3" t="n">
        <v>2</v>
      </c>
      <c r="G29" s="3" t="n">
        <v>4928.49</v>
      </c>
      <c r="H29" s="3" t="s">
        <v>19</v>
      </c>
      <c r="I29" s="3" t="n">
        <v>2</v>
      </c>
      <c r="J29" s="3" t="n">
        <v>3</v>
      </c>
      <c r="K29" s="3" t="n">
        <v>3</v>
      </c>
      <c r="L29" s="3" t="n">
        <v>2</v>
      </c>
      <c r="M29" s="3" t="n">
        <v>1</v>
      </c>
      <c r="N29" s="3" t="s">
        <v>20</v>
      </c>
    </row>
    <row r="30" customFormat="false" ht="15" hidden="false" customHeight="false" outlineLevel="0" collapsed="false">
      <c r="A30" s="3" t="s">
        <v>58</v>
      </c>
      <c r="B30" s="3" t="n">
        <v>39</v>
      </c>
      <c r="C30" s="3" t="s">
        <v>26</v>
      </c>
      <c r="D30" s="3" t="s">
        <v>23</v>
      </c>
      <c r="E30" s="3" t="s">
        <v>28</v>
      </c>
      <c r="F30" s="3" t="n">
        <v>2.2</v>
      </c>
      <c r="G30" s="3" t="n">
        <v>4145.58</v>
      </c>
      <c r="H30" s="3" t="s">
        <v>19</v>
      </c>
      <c r="I30" s="3" t="n">
        <v>1</v>
      </c>
      <c r="J30" s="3" t="n">
        <v>4</v>
      </c>
      <c r="K30" s="3" t="n">
        <v>1</v>
      </c>
      <c r="L30" s="3" t="n">
        <v>2</v>
      </c>
      <c r="M30" s="3" t="n">
        <v>1</v>
      </c>
      <c r="N30" s="3" t="s">
        <v>19</v>
      </c>
    </row>
    <row r="31" customFormat="false" ht="15" hidden="false" customHeight="false" outlineLevel="0" collapsed="false">
      <c r="A31" s="3" t="s">
        <v>59</v>
      </c>
      <c r="B31" s="3" t="n">
        <v>31</v>
      </c>
      <c r="C31" s="3" t="s">
        <v>32</v>
      </c>
      <c r="D31" s="3" t="s">
        <v>17</v>
      </c>
      <c r="E31" s="3" t="s">
        <v>28</v>
      </c>
      <c r="F31" s="3" t="n">
        <v>2</v>
      </c>
      <c r="G31" s="3" t="n">
        <v>3456.32</v>
      </c>
      <c r="H31" s="3" t="s">
        <v>19</v>
      </c>
      <c r="I31" s="3" t="n">
        <v>1</v>
      </c>
      <c r="J31" s="3" t="n">
        <v>4</v>
      </c>
      <c r="K31" s="3" t="n">
        <v>19</v>
      </c>
      <c r="L31" s="3" t="n">
        <v>0</v>
      </c>
      <c r="M31" s="3" t="n">
        <v>2</v>
      </c>
      <c r="N31" s="3" t="s">
        <v>20</v>
      </c>
    </row>
    <row r="32" customFormat="false" ht="15" hidden="false" customHeight="false" outlineLevel="0" collapsed="false">
      <c r="A32" s="3" t="s">
        <v>60</v>
      </c>
      <c r="B32" s="3" t="n">
        <v>45</v>
      </c>
      <c r="C32" s="3" t="s">
        <v>16</v>
      </c>
      <c r="D32" s="3" t="s">
        <v>27</v>
      </c>
      <c r="E32" s="3" t="s">
        <v>41</v>
      </c>
      <c r="F32" s="3" t="n">
        <v>4</v>
      </c>
      <c r="G32" s="3" t="n">
        <v>6392.62</v>
      </c>
      <c r="H32" s="3" t="s">
        <v>19</v>
      </c>
      <c r="I32" s="3" t="n">
        <v>2</v>
      </c>
      <c r="J32" s="3" t="n">
        <v>4</v>
      </c>
      <c r="K32" s="3" t="n">
        <v>5</v>
      </c>
      <c r="L32" s="3" t="n">
        <v>0</v>
      </c>
      <c r="M32" s="3" t="n">
        <v>4</v>
      </c>
      <c r="N32" s="3" t="s">
        <v>20</v>
      </c>
    </row>
    <row r="33" customFormat="false" ht="15" hidden="false" customHeight="false" outlineLevel="0" collapsed="false">
      <c r="A33" s="3" t="s">
        <v>61</v>
      </c>
      <c r="B33" s="3" t="n">
        <v>34</v>
      </c>
      <c r="C33" s="3" t="s">
        <v>22</v>
      </c>
      <c r="D33" s="3" t="s">
        <v>23</v>
      </c>
      <c r="E33" s="3" t="s">
        <v>24</v>
      </c>
      <c r="F33" s="3" t="n">
        <v>0.5</v>
      </c>
      <c r="G33" s="3" t="n">
        <v>4986.2</v>
      </c>
      <c r="H33" s="3" t="s">
        <v>20</v>
      </c>
      <c r="I33" s="3" t="n">
        <v>3</v>
      </c>
      <c r="J33" s="3" t="n">
        <v>3</v>
      </c>
      <c r="K33" s="3" t="n">
        <v>2</v>
      </c>
      <c r="L33" s="3" t="n">
        <v>0</v>
      </c>
      <c r="M33" s="3" t="n">
        <v>1</v>
      </c>
      <c r="N33" s="3" t="s">
        <v>19</v>
      </c>
    </row>
    <row r="34" customFormat="false" ht="15" hidden="false" customHeight="false" outlineLevel="0" collapsed="false">
      <c r="A34" s="3" t="s">
        <v>62</v>
      </c>
      <c r="B34" s="3" t="n">
        <v>45</v>
      </c>
      <c r="C34" s="3" t="s">
        <v>24</v>
      </c>
      <c r="D34" s="3" t="s">
        <v>27</v>
      </c>
      <c r="E34" s="3" t="s">
        <v>24</v>
      </c>
      <c r="F34" s="3" t="n">
        <v>1</v>
      </c>
      <c r="G34" s="3" t="n">
        <v>7306.64</v>
      </c>
      <c r="H34" s="3" t="s">
        <v>19</v>
      </c>
      <c r="I34" s="3" t="n">
        <v>3</v>
      </c>
      <c r="J34" s="3" t="n">
        <v>3</v>
      </c>
      <c r="K34" s="3" t="n">
        <v>14</v>
      </c>
      <c r="L34" s="3" t="n">
        <v>0</v>
      </c>
      <c r="M34" s="3" t="n">
        <v>4</v>
      </c>
      <c r="N34" s="3" t="s">
        <v>19</v>
      </c>
    </row>
    <row r="35" customFormat="false" ht="15" hidden="false" customHeight="false" outlineLevel="0" collapsed="false">
      <c r="A35" s="3" t="s">
        <v>63</v>
      </c>
      <c r="B35" s="3" t="n">
        <v>44</v>
      </c>
      <c r="C35" s="3" t="s">
        <v>45</v>
      </c>
      <c r="D35" s="3" t="s">
        <v>48</v>
      </c>
      <c r="E35" s="3" t="s">
        <v>41</v>
      </c>
      <c r="F35" s="3" t="n">
        <v>1</v>
      </c>
      <c r="G35" s="3" t="n">
        <v>11157.97</v>
      </c>
      <c r="H35" s="3" t="s">
        <v>19</v>
      </c>
      <c r="I35" s="3" t="n">
        <v>2</v>
      </c>
      <c r="J35" s="3" t="n">
        <v>3</v>
      </c>
      <c r="K35" s="3" t="n">
        <v>18</v>
      </c>
      <c r="L35" s="3" t="n">
        <v>1</v>
      </c>
      <c r="M35" s="3" t="n">
        <v>2</v>
      </c>
      <c r="N35" s="3" t="s">
        <v>19</v>
      </c>
    </row>
    <row r="36" customFormat="false" ht="15" hidden="false" customHeight="false" outlineLevel="0" collapsed="false">
      <c r="A36" s="3" t="s">
        <v>64</v>
      </c>
      <c r="B36" s="3" t="n">
        <v>30</v>
      </c>
      <c r="C36" s="3" t="s">
        <v>24</v>
      </c>
      <c r="D36" s="3" t="s">
        <v>17</v>
      </c>
      <c r="E36" s="3" t="s">
        <v>28</v>
      </c>
      <c r="F36" s="3" t="n">
        <v>1.3</v>
      </c>
      <c r="G36" s="3" t="n">
        <v>3357.91</v>
      </c>
      <c r="H36" s="3" t="s">
        <v>19</v>
      </c>
      <c r="I36" s="3" t="n">
        <v>4</v>
      </c>
      <c r="J36" s="3" t="n">
        <v>4</v>
      </c>
      <c r="K36" s="3" t="n">
        <v>2</v>
      </c>
      <c r="L36" s="3" t="n">
        <v>0</v>
      </c>
      <c r="M36" s="3" t="n">
        <v>3</v>
      </c>
      <c r="N36" s="3" t="s">
        <v>19</v>
      </c>
    </row>
    <row r="37" customFormat="false" ht="15" hidden="false" customHeight="false" outlineLevel="0" collapsed="false">
      <c r="A37" s="3" t="s">
        <v>65</v>
      </c>
      <c r="B37" s="3" t="n">
        <v>38</v>
      </c>
      <c r="C37" s="3" t="s">
        <v>22</v>
      </c>
      <c r="D37" s="3" t="s">
        <v>23</v>
      </c>
      <c r="E37" s="3" t="s">
        <v>18</v>
      </c>
      <c r="F37" s="3" t="n">
        <v>7.6</v>
      </c>
      <c r="G37" s="3" t="n">
        <v>5617.54</v>
      </c>
      <c r="H37" s="3" t="s">
        <v>19</v>
      </c>
      <c r="I37" s="3" t="n">
        <v>4</v>
      </c>
      <c r="J37" s="3" t="n">
        <v>4</v>
      </c>
      <c r="K37" s="3" t="n">
        <v>1</v>
      </c>
      <c r="L37" s="3" t="n">
        <v>4</v>
      </c>
      <c r="M37" s="3" t="n">
        <v>1</v>
      </c>
      <c r="N37" s="3" t="s">
        <v>19</v>
      </c>
    </row>
    <row r="38" customFormat="false" ht="15" hidden="false" customHeight="false" outlineLevel="0" collapsed="false">
      <c r="A38" s="3" t="s">
        <v>66</v>
      </c>
      <c r="B38" s="3" t="n">
        <v>34</v>
      </c>
      <c r="C38" s="3" t="s">
        <v>26</v>
      </c>
      <c r="D38" s="3" t="s">
        <v>23</v>
      </c>
      <c r="E38" s="3" t="s">
        <v>24</v>
      </c>
      <c r="F38" s="3" t="n">
        <v>1.3</v>
      </c>
      <c r="G38" s="3" t="n">
        <v>4708.58</v>
      </c>
      <c r="H38" s="3" t="s">
        <v>19</v>
      </c>
      <c r="I38" s="3" t="n">
        <v>4</v>
      </c>
      <c r="J38" s="3" t="n">
        <v>2</v>
      </c>
      <c r="K38" s="3" t="n">
        <v>2</v>
      </c>
      <c r="L38" s="3" t="n">
        <v>0</v>
      </c>
      <c r="M38" s="3" t="n">
        <v>1</v>
      </c>
      <c r="N38" s="3" t="s">
        <v>20</v>
      </c>
    </row>
    <row r="39" customFormat="false" ht="15" hidden="false" customHeight="false" outlineLevel="0" collapsed="false">
      <c r="A39" s="3" t="s">
        <v>67</v>
      </c>
      <c r="B39" s="3" t="n">
        <v>38</v>
      </c>
      <c r="C39" s="3" t="s">
        <v>16</v>
      </c>
      <c r="D39" s="3" t="s">
        <v>17</v>
      </c>
      <c r="E39" s="3" t="s">
        <v>24</v>
      </c>
      <c r="F39" s="3" t="n">
        <v>2.6</v>
      </c>
      <c r="G39" s="3" t="n">
        <v>3768.35</v>
      </c>
      <c r="H39" s="3" t="s">
        <v>19</v>
      </c>
      <c r="I39" s="3" t="n">
        <v>1</v>
      </c>
      <c r="J39" s="3" t="n">
        <v>2</v>
      </c>
      <c r="K39" s="3" t="n">
        <v>4</v>
      </c>
      <c r="L39" s="3" t="n">
        <v>2</v>
      </c>
      <c r="M39" s="3" t="n">
        <v>1</v>
      </c>
      <c r="N39" s="3" t="s">
        <v>19</v>
      </c>
    </row>
    <row r="40" customFormat="false" ht="15" hidden="false" customHeight="false" outlineLevel="0" collapsed="false">
      <c r="A40" s="3" t="s">
        <v>68</v>
      </c>
      <c r="B40" s="3" t="n">
        <v>37</v>
      </c>
      <c r="C40" s="3" t="s">
        <v>26</v>
      </c>
      <c r="D40" s="3" t="s">
        <v>17</v>
      </c>
      <c r="E40" s="3" t="s">
        <v>28</v>
      </c>
      <c r="F40" s="3" t="n">
        <v>3.6</v>
      </c>
      <c r="G40" s="3" t="n">
        <v>3180.35</v>
      </c>
      <c r="H40" s="3" t="s">
        <v>19</v>
      </c>
      <c r="I40" s="3" t="n">
        <v>3</v>
      </c>
      <c r="J40" s="3" t="n">
        <v>3</v>
      </c>
      <c r="K40" s="3" t="n">
        <v>3</v>
      </c>
      <c r="L40" s="3" t="n">
        <v>1</v>
      </c>
      <c r="M40" s="3" t="n">
        <v>3</v>
      </c>
      <c r="N40" s="3" t="s">
        <v>19</v>
      </c>
    </row>
    <row r="41" customFormat="false" ht="15" hidden="false" customHeight="false" outlineLevel="0" collapsed="false">
      <c r="A41" s="3" t="s">
        <v>69</v>
      </c>
      <c r="B41" s="3" t="n">
        <v>31</v>
      </c>
      <c r="C41" s="3" t="s">
        <v>45</v>
      </c>
      <c r="D41" s="3" t="s">
        <v>23</v>
      </c>
      <c r="E41" s="3" t="s">
        <v>18</v>
      </c>
      <c r="F41" s="3" t="n">
        <v>1.4</v>
      </c>
      <c r="G41" s="3" t="n">
        <v>4229.36</v>
      </c>
      <c r="H41" s="3" t="s">
        <v>19</v>
      </c>
      <c r="I41" s="3" t="n">
        <v>1</v>
      </c>
      <c r="J41" s="3" t="n">
        <v>2</v>
      </c>
      <c r="K41" s="3" t="n">
        <v>12</v>
      </c>
      <c r="L41" s="3" t="n">
        <v>1</v>
      </c>
      <c r="M41" s="3" t="n">
        <v>1</v>
      </c>
      <c r="N41" s="3" t="s">
        <v>20</v>
      </c>
    </row>
    <row r="42" customFormat="false" ht="15" hidden="false" customHeight="false" outlineLevel="0" collapsed="false">
      <c r="A42" s="3" t="s">
        <v>70</v>
      </c>
      <c r="B42" s="3" t="n">
        <v>32</v>
      </c>
      <c r="C42" s="3" t="s">
        <v>16</v>
      </c>
      <c r="D42" s="3" t="s">
        <v>27</v>
      </c>
      <c r="E42" s="3" t="s">
        <v>41</v>
      </c>
      <c r="F42" s="3" t="n">
        <v>0.9</v>
      </c>
      <c r="G42" s="3" t="n">
        <v>8541.41</v>
      </c>
      <c r="H42" s="3" t="s">
        <v>19</v>
      </c>
      <c r="I42" s="3" t="n">
        <v>3</v>
      </c>
      <c r="J42" s="3" t="n">
        <v>3</v>
      </c>
      <c r="K42" s="3" t="n">
        <v>2</v>
      </c>
      <c r="L42" s="3" t="n">
        <v>0</v>
      </c>
      <c r="M42" s="3" t="n">
        <v>3</v>
      </c>
      <c r="N42" s="3" t="s">
        <v>19</v>
      </c>
    </row>
    <row r="43" customFormat="false" ht="15" hidden="false" customHeight="false" outlineLevel="0" collapsed="false">
      <c r="A43" s="3" t="s">
        <v>71</v>
      </c>
      <c r="B43" s="3" t="n">
        <v>35</v>
      </c>
      <c r="C43" s="3" t="s">
        <v>16</v>
      </c>
      <c r="D43" s="3" t="s">
        <v>23</v>
      </c>
      <c r="E43" s="3" t="s">
        <v>41</v>
      </c>
      <c r="F43" s="3" t="n">
        <v>13.7</v>
      </c>
      <c r="G43" s="3" t="n">
        <v>4330.45</v>
      </c>
      <c r="H43" s="3" t="s">
        <v>19</v>
      </c>
      <c r="I43" s="3" t="n">
        <v>3</v>
      </c>
      <c r="J43" s="3" t="n">
        <v>2</v>
      </c>
      <c r="K43" s="3" t="n">
        <v>26</v>
      </c>
      <c r="L43" s="3" t="n">
        <v>1</v>
      </c>
      <c r="M43" s="3" t="n">
        <v>2</v>
      </c>
      <c r="N43" s="3" t="s">
        <v>19</v>
      </c>
    </row>
    <row r="44" customFormat="false" ht="15" hidden="false" customHeight="false" outlineLevel="0" collapsed="false">
      <c r="A44" s="3" t="s">
        <v>72</v>
      </c>
      <c r="B44" s="3" t="n">
        <v>31</v>
      </c>
      <c r="C44" s="3" t="s">
        <v>26</v>
      </c>
      <c r="D44" s="3" t="s">
        <v>17</v>
      </c>
      <c r="E44" s="3" t="s">
        <v>18</v>
      </c>
      <c r="F44" s="3" t="n">
        <v>2</v>
      </c>
      <c r="G44" s="3" t="n">
        <v>3253.75</v>
      </c>
      <c r="H44" s="3" t="s">
        <v>20</v>
      </c>
      <c r="I44" s="3" t="n">
        <v>2</v>
      </c>
      <c r="J44" s="3" t="n">
        <v>3</v>
      </c>
      <c r="K44" s="3" t="n">
        <v>25</v>
      </c>
      <c r="L44" s="3" t="n">
        <v>2</v>
      </c>
      <c r="M44" s="3" t="n">
        <v>4</v>
      </c>
      <c r="N44" s="3" t="s">
        <v>19</v>
      </c>
    </row>
    <row r="45" customFormat="false" ht="15" hidden="false" customHeight="false" outlineLevel="0" collapsed="false">
      <c r="A45" s="3" t="s">
        <v>73</v>
      </c>
      <c r="B45" s="3" t="n">
        <v>26</v>
      </c>
      <c r="C45" s="3" t="s">
        <v>24</v>
      </c>
      <c r="D45" s="3" t="s">
        <v>23</v>
      </c>
      <c r="E45" s="3" t="s">
        <v>18</v>
      </c>
      <c r="F45" s="3" t="n">
        <v>1.2</v>
      </c>
      <c r="G45" s="3" t="n">
        <v>4096.37</v>
      </c>
      <c r="H45" s="3" t="s">
        <v>19</v>
      </c>
      <c r="I45" s="3" t="n">
        <v>4</v>
      </c>
      <c r="J45" s="3" t="n">
        <v>3</v>
      </c>
      <c r="K45" s="3" t="n">
        <v>7</v>
      </c>
      <c r="L45" s="3" t="n">
        <v>1</v>
      </c>
      <c r="M45" s="3" t="n">
        <v>3</v>
      </c>
      <c r="N45" s="3" t="s">
        <v>19</v>
      </c>
    </row>
    <row r="46" customFormat="false" ht="15" hidden="false" customHeight="false" outlineLevel="0" collapsed="false">
      <c r="A46" s="3" t="s">
        <v>74</v>
      </c>
      <c r="B46" s="3" t="n">
        <v>21</v>
      </c>
      <c r="C46" s="3" t="s">
        <v>16</v>
      </c>
      <c r="D46" s="3" t="s">
        <v>17</v>
      </c>
      <c r="E46" s="3" t="s">
        <v>18</v>
      </c>
      <c r="F46" s="3" t="n">
        <v>0</v>
      </c>
      <c r="G46" s="3" t="n">
        <v>3132.62</v>
      </c>
      <c r="H46" s="3" t="s">
        <v>19</v>
      </c>
      <c r="I46" s="3" t="n">
        <v>2</v>
      </c>
      <c r="J46" s="3" t="n">
        <v>4</v>
      </c>
      <c r="K46" s="3" t="n">
        <v>9</v>
      </c>
      <c r="L46" s="3" t="n">
        <v>0</v>
      </c>
      <c r="M46" s="3" t="n">
        <v>1</v>
      </c>
      <c r="N46" s="3" t="s">
        <v>20</v>
      </c>
    </row>
    <row r="47" customFormat="false" ht="15" hidden="false" customHeight="false" outlineLevel="0" collapsed="false">
      <c r="A47" s="3" t="s">
        <v>75</v>
      </c>
      <c r="B47" s="3" t="n">
        <v>35</v>
      </c>
      <c r="C47" s="3" t="s">
        <v>26</v>
      </c>
      <c r="D47" s="3" t="s">
        <v>23</v>
      </c>
      <c r="E47" s="3" t="s">
        <v>24</v>
      </c>
      <c r="F47" s="3" t="n">
        <v>7.2</v>
      </c>
      <c r="G47" s="3" t="n">
        <v>5603.82</v>
      </c>
      <c r="H47" s="3" t="s">
        <v>20</v>
      </c>
      <c r="I47" s="3" t="n">
        <v>4</v>
      </c>
      <c r="J47" s="3" t="n">
        <v>1</v>
      </c>
      <c r="K47" s="3" t="n">
        <v>1</v>
      </c>
      <c r="L47" s="3" t="n">
        <v>0</v>
      </c>
      <c r="M47" s="3" t="n">
        <v>1</v>
      </c>
      <c r="N47" s="3" t="s">
        <v>19</v>
      </c>
    </row>
    <row r="48" customFormat="false" ht="15" hidden="false" customHeight="false" outlineLevel="0" collapsed="false">
      <c r="A48" s="3" t="s">
        <v>76</v>
      </c>
      <c r="B48" s="3" t="n">
        <v>25</v>
      </c>
      <c r="C48" s="3" t="s">
        <v>26</v>
      </c>
      <c r="D48" s="3" t="s">
        <v>17</v>
      </c>
      <c r="E48" s="3" t="s">
        <v>28</v>
      </c>
      <c r="F48" s="3" t="n">
        <v>1</v>
      </c>
      <c r="G48" s="3" t="n">
        <v>2727.14</v>
      </c>
      <c r="H48" s="3" t="s">
        <v>20</v>
      </c>
      <c r="I48" s="3" t="n">
        <v>3</v>
      </c>
      <c r="J48" s="3" t="n">
        <v>3</v>
      </c>
      <c r="K48" s="3" t="n">
        <v>2</v>
      </c>
      <c r="L48" s="3" t="n">
        <v>0</v>
      </c>
      <c r="M48" s="3" t="n">
        <v>0</v>
      </c>
      <c r="N48" s="3" t="s">
        <v>19</v>
      </c>
    </row>
    <row r="49" customFormat="false" ht="15" hidden="false" customHeight="false" outlineLevel="0" collapsed="false">
      <c r="A49" s="3" t="s">
        <v>77</v>
      </c>
      <c r="B49" s="3" t="n">
        <v>32</v>
      </c>
      <c r="C49" s="3" t="s">
        <v>26</v>
      </c>
      <c r="D49" s="3" t="s">
        <v>17</v>
      </c>
      <c r="E49" s="3" t="s">
        <v>24</v>
      </c>
      <c r="F49" s="3" t="n">
        <v>1.5</v>
      </c>
      <c r="G49" s="3" t="n">
        <v>2900.91</v>
      </c>
      <c r="H49" s="3" t="s">
        <v>20</v>
      </c>
      <c r="I49" s="3" t="n">
        <v>2</v>
      </c>
      <c r="J49" s="3" t="n">
        <v>2</v>
      </c>
      <c r="K49" s="3" t="n">
        <v>1</v>
      </c>
      <c r="L49" s="3" t="n">
        <v>1</v>
      </c>
      <c r="M49" s="3" t="n">
        <v>2</v>
      </c>
      <c r="N49" s="3" t="s">
        <v>20</v>
      </c>
    </row>
    <row r="50" customFormat="false" ht="15" hidden="false" customHeight="false" outlineLevel="0" collapsed="false">
      <c r="A50" s="3" t="s">
        <v>78</v>
      </c>
      <c r="B50" s="3" t="n">
        <v>42</v>
      </c>
      <c r="C50" s="3" t="s">
        <v>24</v>
      </c>
      <c r="D50" s="3" t="s">
        <v>23</v>
      </c>
      <c r="E50" s="3" t="s">
        <v>41</v>
      </c>
      <c r="F50" s="3" t="n">
        <v>6.4</v>
      </c>
      <c r="G50" s="3" t="n">
        <v>4300.94</v>
      </c>
      <c r="H50" s="3" t="s">
        <v>19</v>
      </c>
      <c r="I50" s="3" t="n">
        <v>4</v>
      </c>
      <c r="J50" s="3" t="n">
        <v>2</v>
      </c>
      <c r="K50" s="3" t="n">
        <v>4</v>
      </c>
      <c r="L50" s="3" t="n">
        <v>1</v>
      </c>
      <c r="M50" s="3" t="n">
        <v>3</v>
      </c>
      <c r="N50" s="3" t="s">
        <v>19</v>
      </c>
    </row>
    <row r="51" customFormat="false" ht="15" hidden="false" customHeight="false" outlineLevel="0" collapsed="false">
      <c r="A51" s="3" t="s">
        <v>79</v>
      </c>
      <c r="B51" s="3" t="n">
        <v>41</v>
      </c>
      <c r="C51" s="3" t="s">
        <v>22</v>
      </c>
      <c r="D51" s="3" t="s">
        <v>27</v>
      </c>
      <c r="E51" s="3" t="s">
        <v>41</v>
      </c>
      <c r="F51" s="3" t="n">
        <v>2.2</v>
      </c>
      <c r="G51" s="3" t="n">
        <v>6609.52</v>
      </c>
      <c r="H51" s="3" t="s">
        <v>20</v>
      </c>
      <c r="I51" s="3" t="n">
        <v>4</v>
      </c>
      <c r="J51" s="3" t="n">
        <v>4</v>
      </c>
      <c r="K51" s="3" t="n">
        <v>1</v>
      </c>
      <c r="L51" s="3" t="n">
        <v>0</v>
      </c>
      <c r="M51" s="3" t="n">
        <v>0</v>
      </c>
      <c r="N51" s="3" t="s">
        <v>19</v>
      </c>
    </row>
    <row r="52" customFormat="false" ht="15" hidden="false" customHeight="false" outlineLevel="0" collapsed="false">
      <c r="A52" s="3" t="s">
        <v>80</v>
      </c>
      <c r="B52" s="3" t="n">
        <v>28</v>
      </c>
      <c r="C52" s="3" t="s">
        <v>26</v>
      </c>
      <c r="D52" s="3" t="s">
        <v>17</v>
      </c>
      <c r="E52" s="3" t="s">
        <v>28</v>
      </c>
      <c r="F52" s="3" t="n">
        <v>1.9</v>
      </c>
      <c r="G52" s="3" t="n">
        <v>3297.25</v>
      </c>
      <c r="H52" s="3" t="s">
        <v>19</v>
      </c>
      <c r="I52" s="3" t="n">
        <v>2</v>
      </c>
      <c r="J52" s="3" t="n">
        <v>1</v>
      </c>
      <c r="K52" s="3" t="n">
        <v>5</v>
      </c>
      <c r="L52" s="3" t="n">
        <v>0</v>
      </c>
      <c r="M52" s="3" t="n">
        <v>3</v>
      </c>
      <c r="N52" s="3" t="s">
        <v>19</v>
      </c>
    </row>
    <row r="53" customFormat="false" ht="15" hidden="false" customHeight="false" outlineLevel="0" collapsed="false">
      <c r="A53" s="3" t="s">
        <v>81</v>
      </c>
      <c r="B53" s="3" t="n">
        <v>39</v>
      </c>
      <c r="C53" s="3" t="s">
        <v>22</v>
      </c>
      <c r="D53" s="3" t="s">
        <v>17</v>
      </c>
      <c r="E53" s="3" t="s">
        <v>24</v>
      </c>
      <c r="F53" s="3" t="n">
        <v>4.8</v>
      </c>
      <c r="G53" s="3" t="n">
        <v>3738.85</v>
      </c>
      <c r="H53" s="3" t="s">
        <v>20</v>
      </c>
      <c r="I53" s="3" t="n">
        <v>4</v>
      </c>
      <c r="J53" s="3" t="n">
        <v>1</v>
      </c>
      <c r="K53" s="3" t="n">
        <v>9</v>
      </c>
      <c r="L53" s="3" t="n">
        <v>1</v>
      </c>
      <c r="M53" s="3" t="n">
        <v>2</v>
      </c>
      <c r="N53" s="3" t="s">
        <v>19</v>
      </c>
    </row>
    <row r="54" customFormat="false" ht="15" hidden="false" customHeight="false" outlineLevel="0" collapsed="false">
      <c r="A54" s="3" t="s">
        <v>82</v>
      </c>
      <c r="B54" s="3" t="n">
        <v>39</v>
      </c>
      <c r="C54" s="3" t="s">
        <v>26</v>
      </c>
      <c r="D54" s="3" t="s">
        <v>23</v>
      </c>
      <c r="E54" s="3" t="s">
        <v>18</v>
      </c>
      <c r="F54" s="3" t="n">
        <v>0.1</v>
      </c>
      <c r="G54" s="3" t="n">
        <v>4624.55</v>
      </c>
      <c r="H54" s="3" t="s">
        <v>19</v>
      </c>
      <c r="I54" s="3" t="n">
        <v>2</v>
      </c>
      <c r="J54" s="3" t="n">
        <v>3</v>
      </c>
      <c r="K54" s="3" t="n">
        <v>9</v>
      </c>
      <c r="L54" s="3" t="n">
        <v>0</v>
      </c>
      <c r="M54" s="3" t="n">
        <v>2</v>
      </c>
      <c r="N54" s="3" t="s">
        <v>20</v>
      </c>
    </row>
    <row r="55" customFormat="false" ht="15" hidden="false" customHeight="false" outlineLevel="0" collapsed="false">
      <c r="A55" s="3" t="s">
        <v>83</v>
      </c>
      <c r="B55" s="3" t="n">
        <v>29</v>
      </c>
      <c r="C55" s="3" t="s">
        <v>22</v>
      </c>
      <c r="D55" s="3" t="s">
        <v>48</v>
      </c>
      <c r="E55" s="3" t="s">
        <v>24</v>
      </c>
      <c r="F55" s="3" t="n">
        <v>1.5</v>
      </c>
      <c r="G55" s="3" t="n">
        <v>8256.47</v>
      </c>
      <c r="H55" s="3" t="s">
        <v>19</v>
      </c>
      <c r="I55" s="3" t="n">
        <v>1</v>
      </c>
      <c r="J55" s="3" t="n">
        <v>1</v>
      </c>
      <c r="K55" s="3" t="n">
        <v>21</v>
      </c>
      <c r="L55" s="3" t="n">
        <v>1</v>
      </c>
      <c r="M55" s="3" t="n">
        <v>1</v>
      </c>
      <c r="N55" s="3" t="s">
        <v>19</v>
      </c>
    </row>
    <row r="56" customFormat="false" ht="15" hidden="false" customHeight="false" outlineLevel="0" collapsed="false">
      <c r="A56" s="3" t="s">
        <v>84</v>
      </c>
      <c r="B56" s="3" t="n">
        <v>22</v>
      </c>
      <c r="C56" s="3" t="s">
        <v>22</v>
      </c>
      <c r="D56" s="3" t="s">
        <v>23</v>
      </c>
      <c r="E56" s="3" t="s">
        <v>18</v>
      </c>
      <c r="F56" s="3" t="n">
        <v>1</v>
      </c>
      <c r="G56" s="3" t="n">
        <v>5517.34</v>
      </c>
      <c r="H56" s="3" t="s">
        <v>20</v>
      </c>
      <c r="I56" s="3" t="n">
        <v>4</v>
      </c>
      <c r="J56" s="3" t="n">
        <v>3</v>
      </c>
      <c r="K56" s="3" t="n">
        <v>1</v>
      </c>
      <c r="L56" s="3" t="n">
        <v>1</v>
      </c>
      <c r="M56" s="3" t="n">
        <v>0</v>
      </c>
      <c r="N56" s="3" t="s">
        <v>19</v>
      </c>
    </row>
    <row r="57" customFormat="false" ht="15" hidden="false" customHeight="false" outlineLevel="0" collapsed="false">
      <c r="A57" s="3" t="s">
        <v>85</v>
      </c>
      <c r="B57" s="3" t="n">
        <v>39</v>
      </c>
      <c r="C57" s="3" t="s">
        <v>32</v>
      </c>
      <c r="D57" s="3" t="s">
        <v>17</v>
      </c>
      <c r="E57" s="3" t="s">
        <v>18</v>
      </c>
      <c r="F57" s="3" t="n">
        <v>2.6</v>
      </c>
      <c r="G57" s="3" t="n">
        <v>2996.86</v>
      </c>
      <c r="H57" s="3" t="s">
        <v>19</v>
      </c>
      <c r="I57" s="3" t="n">
        <v>3</v>
      </c>
      <c r="J57" s="3" t="n">
        <v>2</v>
      </c>
      <c r="K57" s="3" t="n">
        <v>1</v>
      </c>
      <c r="L57" s="3" t="n">
        <v>0</v>
      </c>
      <c r="M57" s="3" t="n">
        <v>1</v>
      </c>
      <c r="N57" s="3" t="s">
        <v>19</v>
      </c>
    </row>
    <row r="58" customFormat="false" ht="15" hidden="false" customHeight="false" outlineLevel="0" collapsed="false">
      <c r="A58" s="3" t="s">
        <v>86</v>
      </c>
      <c r="B58" s="3" t="n">
        <v>35</v>
      </c>
      <c r="C58" s="3" t="s">
        <v>45</v>
      </c>
      <c r="D58" s="3" t="s">
        <v>17</v>
      </c>
      <c r="E58" s="3" t="s">
        <v>24</v>
      </c>
      <c r="F58" s="3" t="n">
        <v>0.4</v>
      </c>
      <c r="G58" s="3" t="n">
        <v>3092.11</v>
      </c>
      <c r="H58" s="3" t="s">
        <v>19</v>
      </c>
      <c r="I58" s="3" t="n">
        <v>3</v>
      </c>
      <c r="J58" s="3" t="n">
        <v>3</v>
      </c>
      <c r="K58" s="3" t="n">
        <v>4</v>
      </c>
      <c r="L58" s="3" t="n">
        <v>0</v>
      </c>
      <c r="M58" s="3" t="n">
        <v>1</v>
      </c>
      <c r="N58" s="3" t="s">
        <v>19</v>
      </c>
    </row>
    <row r="59" customFormat="false" ht="15" hidden="false" customHeight="false" outlineLevel="0" collapsed="false">
      <c r="A59" s="3" t="s">
        <v>87</v>
      </c>
      <c r="B59" s="3" t="n">
        <v>34</v>
      </c>
      <c r="C59" s="3" t="s">
        <v>24</v>
      </c>
      <c r="D59" s="3" t="s">
        <v>23</v>
      </c>
      <c r="E59" s="3" t="s">
        <v>28</v>
      </c>
      <c r="F59" s="3" t="n">
        <v>0.5</v>
      </c>
      <c r="G59" s="3" t="n">
        <v>5139.03</v>
      </c>
      <c r="H59" s="3" t="s">
        <v>19</v>
      </c>
      <c r="I59" s="3" t="n">
        <v>4</v>
      </c>
      <c r="J59" s="3" t="n">
        <v>4</v>
      </c>
      <c r="K59" s="3" t="n">
        <v>2</v>
      </c>
      <c r="L59" s="3" t="n">
        <v>0</v>
      </c>
      <c r="M59" s="3" t="n">
        <v>2</v>
      </c>
      <c r="N59" s="3" t="s">
        <v>19</v>
      </c>
    </row>
    <row r="60" customFormat="false" ht="15" hidden="false" customHeight="false" outlineLevel="0" collapsed="false">
      <c r="A60" s="3" t="s">
        <v>88</v>
      </c>
      <c r="B60" s="3" t="n">
        <v>44</v>
      </c>
      <c r="C60" s="3" t="s">
        <v>26</v>
      </c>
      <c r="D60" s="3" t="s">
        <v>27</v>
      </c>
      <c r="E60" s="3" t="s">
        <v>24</v>
      </c>
      <c r="F60" s="3" t="n">
        <v>4.1</v>
      </c>
      <c r="G60" s="3" t="n">
        <v>8444.27</v>
      </c>
      <c r="H60" s="3" t="s">
        <v>19</v>
      </c>
      <c r="I60" s="3" t="n">
        <v>4</v>
      </c>
      <c r="J60" s="3" t="n">
        <v>2</v>
      </c>
      <c r="K60" s="3" t="n">
        <v>3</v>
      </c>
      <c r="L60" s="3" t="n">
        <v>0</v>
      </c>
      <c r="M60" s="3" t="n">
        <v>1</v>
      </c>
      <c r="N60" s="3" t="s">
        <v>19</v>
      </c>
    </row>
    <row r="61" customFormat="false" ht="15" hidden="false" customHeight="false" outlineLevel="0" collapsed="false">
      <c r="A61" s="3" t="s">
        <v>89</v>
      </c>
      <c r="B61" s="3" t="n">
        <v>30</v>
      </c>
      <c r="C61" s="3" t="s">
        <v>26</v>
      </c>
      <c r="D61" s="3" t="s">
        <v>23</v>
      </c>
      <c r="E61" s="3" t="s">
        <v>28</v>
      </c>
      <c r="F61" s="3" t="n">
        <v>2.1</v>
      </c>
      <c r="G61" s="3" t="n">
        <v>5447.41</v>
      </c>
      <c r="H61" s="3" t="s">
        <v>20</v>
      </c>
      <c r="I61" s="3" t="n">
        <v>2</v>
      </c>
      <c r="J61" s="3" t="n">
        <v>3</v>
      </c>
      <c r="K61" s="3" t="n">
        <v>1</v>
      </c>
      <c r="L61" s="3" t="n">
        <v>0</v>
      </c>
      <c r="M61" s="3" t="n">
        <v>1</v>
      </c>
      <c r="N61" s="3" t="s">
        <v>19</v>
      </c>
    </row>
    <row r="62" customFormat="false" ht="15" hidden="false" customHeight="false" outlineLevel="0" collapsed="false">
      <c r="A62" s="3" t="s">
        <v>90</v>
      </c>
      <c r="B62" s="3" t="n">
        <v>21</v>
      </c>
      <c r="C62" s="3" t="s">
        <v>32</v>
      </c>
      <c r="D62" s="3" t="s">
        <v>27</v>
      </c>
      <c r="E62" s="3" t="s">
        <v>28</v>
      </c>
      <c r="F62" s="3" t="n">
        <v>0</v>
      </c>
      <c r="G62" s="3" t="n">
        <v>6466.41</v>
      </c>
      <c r="H62" s="3" t="s">
        <v>19</v>
      </c>
      <c r="I62" s="3" t="n">
        <v>4</v>
      </c>
      <c r="J62" s="3" t="n">
        <v>2</v>
      </c>
      <c r="K62" s="3" t="n">
        <v>10</v>
      </c>
      <c r="L62" s="3" t="n">
        <v>0</v>
      </c>
      <c r="M62" s="3" t="n">
        <v>2</v>
      </c>
      <c r="N62" s="3" t="s">
        <v>19</v>
      </c>
    </row>
    <row r="63" customFormat="false" ht="15" hidden="false" customHeight="false" outlineLevel="0" collapsed="false">
      <c r="A63" s="3" t="s">
        <v>91</v>
      </c>
      <c r="B63" s="3" t="n">
        <v>36</v>
      </c>
      <c r="C63" s="3" t="s">
        <v>22</v>
      </c>
      <c r="D63" s="3" t="s">
        <v>23</v>
      </c>
      <c r="E63" s="3" t="s">
        <v>18</v>
      </c>
      <c r="F63" s="3" t="n">
        <v>2.4</v>
      </c>
      <c r="G63" s="3" t="n">
        <v>5071.17</v>
      </c>
      <c r="H63" s="4" t="s">
        <v>92</v>
      </c>
      <c r="I63" s="3" t="n">
        <v>3</v>
      </c>
      <c r="J63" s="3" t="n">
        <v>4</v>
      </c>
      <c r="K63" s="3" t="n">
        <v>3</v>
      </c>
      <c r="L63" s="3" t="n">
        <v>2</v>
      </c>
      <c r="M63" s="3" t="n">
        <v>1</v>
      </c>
      <c r="N63" s="3" t="s">
        <v>19</v>
      </c>
    </row>
    <row r="64" customFormat="false" ht="15" hidden="false" customHeight="false" outlineLevel="0" collapsed="false">
      <c r="A64" s="3" t="s">
        <v>93</v>
      </c>
      <c r="B64" s="3" t="n">
        <v>46</v>
      </c>
      <c r="C64" s="3" t="s">
        <v>24</v>
      </c>
      <c r="D64" s="3" t="s">
        <v>27</v>
      </c>
      <c r="E64" s="3" t="s">
        <v>41</v>
      </c>
      <c r="F64" s="3" t="n">
        <v>4.8</v>
      </c>
      <c r="G64" s="3" t="n">
        <v>7884.42</v>
      </c>
      <c r="H64" s="3" t="s">
        <v>19</v>
      </c>
      <c r="I64" s="3" t="n">
        <v>4</v>
      </c>
      <c r="J64" s="3" t="n">
        <v>2</v>
      </c>
      <c r="K64" s="3" t="n">
        <v>14</v>
      </c>
      <c r="L64" s="3" t="n">
        <v>1</v>
      </c>
      <c r="M64" s="3" t="n">
        <v>1</v>
      </c>
      <c r="N64" s="3" t="s">
        <v>19</v>
      </c>
    </row>
    <row r="65" customFormat="false" ht="15" hidden="false" customHeight="false" outlineLevel="0" collapsed="false">
      <c r="A65" s="3" t="s">
        <v>94</v>
      </c>
      <c r="B65" s="3" t="n">
        <v>39</v>
      </c>
      <c r="C65" s="3" t="s">
        <v>16</v>
      </c>
      <c r="D65" s="3" t="s">
        <v>23</v>
      </c>
      <c r="E65" s="3" t="s">
        <v>24</v>
      </c>
      <c r="F65" s="3" t="n">
        <v>3</v>
      </c>
      <c r="G65" s="3" t="n">
        <v>4198.83</v>
      </c>
      <c r="H65" s="3" t="s">
        <v>19</v>
      </c>
      <c r="I65" s="3" t="n">
        <v>1</v>
      </c>
      <c r="J65" s="3" t="n">
        <v>3</v>
      </c>
      <c r="K65" s="3" t="n">
        <v>6</v>
      </c>
      <c r="L65" s="3" t="n">
        <v>2</v>
      </c>
      <c r="M65" s="3" t="n">
        <v>1</v>
      </c>
      <c r="N65" s="3" t="s">
        <v>19</v>
      </c>
    </row>
    <row r="66" customFormat="false" ht="15" hidden="false" customHeight="false" outlineLevel="0" collapsed="false">
      <c r="A66" s="3" t="s">
        <v>95</v>
      </c>
      <c r="B66" s="3" t="n">
        <v>38</v>
      </c>
      <c r="C66" s="3" t="s">
        <v>16</v>
      </c>
      <c r="D66" s="3" t="s">
        <v>48</v>
      </c>
      <c r="E66" s="3" t="s">
        <v>24</v>
      </c>
      <c r="F66" s="3" t="n">
        <v>1.3</v>
      </c>
      <c r="G66" s="3" t="n">
        <v>9993.36</v>
      </c>
      <c r="H66" s="3" t="s">
        <v>19</v>
      </c>
      <c r="I66" s="3" t="n">
        <v>4</v>
      </c>
      <c r="J66" s="3" t="n">
        <v>3</v>
      </c>
      <c r="K66" s="3" t="n">
        <v>16</v>
      </c>
      <c r="L66" s="3" t="n">
        <v>0</v>
      </c>
      <c r="M66" s="3" t="n">
        <v>1</v>
      </c>
      <c r="N66" s="3" t="s">
        <v>19</v>
      </c>
    </row>
    <row r="67" customFormat="false" ht="15" hidden="false" customHeight="false" outlineLevel="0" collapsed="false">
      <c r="A67" s="3" t="s">
        <v>96</v>
      </c>
      <c r="B67" s="3" t="n">
        <v>38</v>
      </c>
      <c r="C67" s="3" t="s">
        <v>24</v>
      </c>
      <c r="D67" s="3" t="s">
        <v>23</v>
      </c>
      <c r="E67" s="3" t="s">
        <v>28</v>
      </c>
      <c r="F67" s="3" t="n">
        <v>6.5</v>
      </c>
      <c r="G67" s="3" t="n">
        <v>4871.59</v>
      </c>
      <c r="H67" s="3" t="s">
        <v>19</v>
      </c>
      <c r="I67" s="3" t="n">
        <v>2</v>
      </c>
      <c r="J67" s="3" t="n">
        <v>3</v>
      </c>
      <c r="K67" s="3" t="n">
        <v>4</v>
      </c>
      <c r="L67" s="3" t="n">
        <v>1</v>
      </c>
      <c r="M67" s="3" t="n">
        <v>1</v>
      </c>
      <c r="N67" s="3" t="s">
        <v>19</v>
      </c>
    </row>
    <row r="68" customFormat="false" ht="15" hidden="false" customHeight="false" outlineLevel="0" collapsed="false">
      <c r="A68" s="3" t="s">
        <v>97</v>
      </c>
      <c r="B68" s="3" t="n">
        <v>44</v>
      </c>
      <c r="C68" s="3" t="s">
        <v>22</v>
      </c>
      <c r="D68" s="3" t="s">
        <v>23</v>
      </c>
      <c r="E68" s="3" t="s">
        <v>24</v>
      </c>
      <c r="F68" s="3" t="n">
        <v>1.8</v>
      </c>
      <c r="G68" s="3" t="n">
        <v>5512.37</v>
      </c>
      <c r="H68" s="3" t="s">
        <v>19</v>
      </c>
      <c r="I68" s="3" t="n">
        <v>4</v>
      </c>
      <c r="J68" s="3" t="n">
        <v>3</v>
      </c>
      <c r="K68" s="3" t="n">
        <v>9</v>
      </c>
      <c r="L68" s="3" t="n">
        <v>0</v>
      </c>
      <c r="M68" s="3" t="n">
        <v>0</v>
      </c>
      <c r="N68" s="3" t="s">
        <v>19</v>
      </c>
    </row>
    <row r="69" customFormat="false" ht="15" hidden="false" customHeight="false" outlineLevel="0" collapsed="false">
      <c r="A69" s="3" t="s">
        <v>98</v>
      </c>
      <c r="B69" s="3" t="n">
        <v>39</v>
      </c>
      <c r="C69" s="3" t="s">
        <v>22</v>
      </c>
      <c r="D69" s="3" t="s">
        <v>23</v>
      </c>
      <c r="E69" s="3" t="s">
        <v>18</v>
      </c>
      <c r="F69" s="3" t="n">
        <v>1.4</v>
      </c>
      <c r="G69" s="3" t="n">
        <v>4156.77</v>
      </c>
      <c r="H69" s="3" t="s">
        <v>19</v>
      </c>
      <c r="I69" s="3" t="n">
        <v>4</v>
      </c>
      <c r="J69" s="3" t="n">
        <v>4</v>
      </c>
      <c r="K69" s="3" t="n">
        <v>34</v>
      </c>
      <c r="L69" s="3" t="n">
        <v>1</v>
      </c>
      <c r="M69" s="3" t="n">
        <v>1</v>
      </c>
      <c r="N69" s="3" t="s">
        <v>20</v>
      </c>
    </row>
    <row r="70" customFormat="false" ht="15" hidden="false" customHeight="false" outlineLevel="0" collapsed="false">
      <c r="A70" s="3" t="s">
        <v>99</v>
      </c>
      <c r="B70" s="3" t="n">
        <v>40</v>
      </c>
      <c r="C70" s="3" t="s">
        <v>26</v>
      </c>
      <c r="D70" s="3" t="s">
        <v>23</v>
      </c>
      <c r="E70" s="3" t="s">
        <v>18</v>
      </c>
      <c r="F70" s="3" t="n">
        <v>7.3</v>
      </c>
      <c r="G70" s="3" t="n">
        <v>4082.87</v>
      </c>
      <c r="H70" s="4" t="s">
        <v>100</v>
      </c>
      <c r="I70" s="3" t="n">
        <v>4</v>
      </c>
      <c r="J70" s="3" t="n">
        <v>3</v>
      </c>
      <c r="K70" s="3" t="n">
        <v>1</v>
      </c>
      <c r="L70" s="3" t="n">
        <v>0</v>
      </c>
      <c r="M70" s="3" t="n">
        <v>3</v>
      </c>
      <c r="N70" s="3" t="s">
        <v>20</v>
      </c>
    </row>
    <row r="71" customFormat="false" ht="15" hidden="false" customHeight="false" outlineLevel="0" collapsed="false">
      <c r="A71" s="3" t="s">
        <v>101</v>
      </c>
      <c r="B71" s="3" t="n">
        <v>22</v>
      </c>
      <c r="C71" s="3" t="s">
        <v>32</v>
      </c>
      <c r="D71" s="3" t="s">
        <v>17</v>
      </c>
      <c r="E71" s="3" t="s">
        <v>41</v>
      </c>
      <c r="F71" s="3" t="n">
        <v>1</v>
      </c>
      <c r="G71" s="3" t="n">
        <v>3657.04</v>
      </c>
      <c r="H71" s="3" t="s">
        <v>19</v>
      </c>
      <c r="I71" s="3" t="n">
        <v>4</v>
      </c>
      <c r="J71" s="3" t="n">
        <v>3</v>
      </c>
      <c r="K71" s="3" t="n">
        <v>14</v>
      </c>
      <c r="L71" s="3" t="n">
        <v>0</v>
      </c>
      <c r="M71" s="3" t="n">
        <v>2</v>
      </c>
      <c r="N71" s="3" t="s">
        <v>19</v>
      </c>
    </row>
    <row r="72" customFormat="false" ht="15" hidden="false" customHeight="false" outlineLevel="0" collapsed="false">
      <c r="A72" s="3" t="s">
        <v>102</v>
      </c>
      <c r="B72" s="3" t="n">
        <v>41</v>
      </c>
      <c r="C72" s="3" t="s">
        <v>32</v>
      </c>
      <c r="D72" s="3" t="s">
        <v>27</v>
      </c>
      <c r="E72" s="3" t="s">
        <v>41</v>
      </c>
      <c r="F72" s="3" t="n">
        <v>2.7</v>
      </c>
      <c r="G72" s="3" t="n">
        <v>6860.24</v>
      </c>
      <c r="H72" s="3" t="s">
        <v>19</v>
      </c>
      <c r="I72" s="3" t="n">
        <v>1</v>
      </c>
      <c r="J72" s="3" t="n">
        <v>3</v>
      </c>
      <c r="K72" s="3" t="n">
        <v>14</v>
      </c>
      <c r="L72" s="3" t="n">
        <v>0</v>
      </c>
      <c r="M72" s="3" t="n">
        <v>5</v>
      </c>
      <c r="N72" s="3" t="s">
        <v>19</v>
      </c>
    </row>
    <row r="73" customFormat="false" ht="15" hidden="false" customHeight="false" outlineLevel="0" collapsed="false">
      <c r="A73" s="3" t="s">
        <v>103</v>
      </c>
      <c r="B73" s="3" t="n">
        <v>32</v>
      </c>
      <c r="C73" s="3" t="s">
        <v>24</v>
      </c>
      <c r="D73" s="3" t="s">
        <v>23</v>
      </c>
      <c r="E73" s="3" t="s">
        <v>24</v>
      </c>
      <c r="F73" s="3" t="n">
        <v>0.2</v>
      </c>
      <c r="G73" s="3" t="n">
        <v>4947.61</v>
      </c>
      <c r="H73" s="3" t="s">
        <v>19</v>
      </c>
      <c r="I73" s="3" t="n">
        <v>2</v>
      </c>
      <c r="J73" s="3" t="n">
        <v>1</v>
      </c>
      <c r="K73" s="3" t="n">
        <v>1</v>
      </c>
      <c r="L73" s="3" t="n">
        <v>0</v>
      </c>
      <c r="M73" s="3" t="n">
        <v>2</v>
      </c>
      <c r="N73" s="3" t="s">
        <v>19</v>
      </c>
    </row>
    <row r="74" customFormat="false" ht="15" hidden="false" customHeight="false" outlineLevel="0" collapsed="false">
      <c r="A74" s="3" t="s">
        <v>104</v>
      </c>
      <c r="B74" s="3" t="n">
        <v>24</v>
      </c>
      <c r="C74" s="3" t="s">
        <v>22</v>
      </c>
      <c r="D74" s="3" t="s">
        <v>48</v>
      </c>
      <c r="E74" s="3" t="s">
        <v>41</v>
      </c>
      <c r="F74" s="3" t="n">
        <v>2.4</v>
      </c>
      <c r="G74" s="3" t="n">
        <v>10554.75</v>
      </c>
      <c r="H74" s="3" t="s">
        <v>20</v>
      </c>
      <c r="I74" s="3" t="n">
        <v>3</v>
      </c>
      <c r="J74" s="3" t="n">
        <v>3</v>
      </c>
      <c r="K74" s="3" t="n">
        <v>25</v>
      </c>
      <c r="L74" s="3" t="n">
        <v>0</v>
      </c>
      <c r="M74" s="3" t="n">
        <v>2</v>
      </c>
      <c r="N74" s="3" t="s">
        <v>19</v>
      </c>
    </row>
    <row r="75" customFormat="false" ht="15" hidden="false" customHeight="false" outlineLevel="0" collapsed="false">
      <c r="A75" s="3" t="s">
        <v>105</v>
      </c>
      <c r="B75" s="3" t="n">
        <v>25</v>
      </c>
      <c r="C75" s="3" t="s">
        <v>16</v>
      </c>
      <c r="D75" s="3" t="s">
        <v>27</v>
      </c>
      <c r="E75" s="3" t="s">
        <v>18</v>
      </c>
      <c r="F75" s="3" t="n">
        <v>4</v>
      </c>
      <c r="G75" s="3" t="n">
        <v>6809.02</v>
      </c>
      <c r="H75" s="3" t="s">
        <v>19</v>
      </c>
      <c r="I75" s="3" t="n">
        <v>1</v>
      </c>
      <c r="J75" s="3" t="n">
        <v>3</v>
      </c>
      <c r="K75" s="3" t="n">
        <v>28</v>
      </c>
      <c r="L75" s="3" t="n">
        <v>1</v>
      </c>
      <c r="M75" s="3" t="n">
        <v>1</v>
      </c>
      <c r="N75" s="3" t="s">
        <v>19</v>
      </c>
    </row>
    <row r="76" customFormat="false" ht="15" hidden="false" customHeight="false" outlineLevel="0" collapsed="false">
      <c r="A76" s="3" t="s">
        <v>106</v>
      </c>
      <c r="B76" s="3" t="n">
        <v>32</v>
      </c>
      <c r="C76" s="3" t="s">
        <v>45</v>
      </c>
      <c r="D76" s="3" t="s">
        <v>17</v>
      </c>
      <c r="E76" s="3" t="s">
        <v>28</v>
      </c>
      <c r="F76" s="3" t="n">
        <v>2</v>
      </c>
      <c r="G76" s="3" t="n">
        <v>3626.48</v>
      </c>
      <c r="H76" s="3" t="s">
        <v>20</v>
      </c>
      <c r="I76" s="3" t="n">
        <v>4</v>
      </c>
      <c r="J76" s="3" t="n">
        <v>3</v>
      </c>
      <c r="K76" s="3" t="n">
        <v>3</v>
      </c>
      <c r="L76" s="3" t="n">
        <v>2</v>
      </c>
      <c r="M76" s="3" t="n">
        <v>1</v>
      </c>
      <c r="N76" s="3" t="s">
        <v>19</v>
      </c>
    </row>
    <row r="77" customFormat="false" ht="15" hidden="false" customHeight="false" outlineLevel="0" collapsed="false">
      <c r="A77" s="3" t="s">
        <v>107</v>
      </c>
      <c r="B77" s="3" t="n">
        <v>43</v>
      </c>
      <c r="C77" s="3" t="s">
        <v>22</v>
      </c>
      <c r="D77" s="3" t="s">
        <v>23</v>
      </c>
      <c r="E77" s="3" t="s">
        <v>41</v>
      </c>
      <c r="F77" s="3" t="n">
        <v>3.3</v>
      </c>
      <c r="G77" s="3" t="n">
        <v>4249.12</v>
      </c>
      <c r="H77" s="3" t="s">
        <v>19</v>
      </c>
      <c r="I77" s="3" t="n">
        <v>2</v>
      </c>
      <c r="J77" s="3" t="n">
        <v>3</v>
      </c>
      <c r="K77" s="3" t="n">
        <v>1</v>
      </c>
      <c r="L77" s="3" t="n">
        <v>2</v>
      </c>
      <c r="M77" s="3" t="n">
        <v>2</v>
      </c>
      <c r="N77" s="3" t="s">
        <v>19</v>
      </c>
    </row>
    <row r="78" customFormat="false" ht="15" hidden="false" customHeight="false" outlineLevel="0" collapsed="false">
      <c r="A78" s="3" t="s">
        <v>108</v>
      </c>
      <c r="B78" s="3" t="n">
        <v>42</v>
      </c>
      <c r="C78" s="3" t="s">
        <v>32</v>
      </c>
      <c r="D78" s="3" t="s">
        <v>17</v>
      </c>
      <c r="E78" s="3" t="s">
        <v>41</v>
      </c>
      <c r="F78" s="3" t="n">
        <v>4.7</v>
      </c>
      <c r="G78" s="3" t="n">
        <v>3211.23</v>
      </c>
      <c r="H78" s="3" t="s">
        <v>19</v>
      </c>
      <c r="I78" s="3" t="n">
        <v>3</v>
      </c>
      <c r="J78" s="3" t="n">
        <v>2</v>
      </c>
      <c r="K78" s="3" t="n">
        <v>2</v>
      </c>
      <c r="L78" s="3" t="n">
        <v>1</v>
      </c>
      <c r="M78" s="3" t="n">
        <v>3</v>
      </c>
      <c r="N78" s="3" t="s">
        <v>19</v>
      </c>
    </row>
    <row r="79" customFormat="false" ht="15" hidden="false" customHeight="false" outlineLevel="0" collapsed="false">
      <c r="A79" s="3" t="s">
        <v>109</v>
      </c>
      <c r="B79" s="3" t="n">
        <v>38</v>
      </c>
      <c r="C79" s="3" t="s">
        <v>26</v>
      </c>
      <c r="D79" s="3" t="s">
        <v>23</v>
      </c>
      <c r="E79" s="3" t="s">
        <v>28</v>
      </c>
      <c r="F79" s="3" t="n">
        <v>4.5</v>
      </c>
      <c r="G79" s="3" t="n">
        <v>4849.64</v>
      </c>
      <c r="H79" s="3" t="s">
        <v>20</v>
      </c>
      <c r="I79" s="3" t="n">
        <v>4</v>
      </c>
      <c r="J79" s="3" t="n">
        <v>3</v>
      </c>
      <c r="K79" s="3" t="n">
        <v>2</v>
      </c>
      <c r="L79" s="3" t="n">
        <v>1</v>
      </c>
      <c r="M79" s="3" t="n">
        <v>1</v>
      </c>
      <c r="N79" s="3" t="s">
        <v>19</v>
      </c>
    </row>
    <row r="80" customFormat="false" ht="15" hidden="false" customHeight="false" outlineLevel="0" collapsed="false">
      <c r="A80" s="3" t="s">
        <v>110</v>
      </c>
      <c r="B80" s="3" t="n">
        <v>30</v>
      </c>
      <c r="C80" s="3" t="s">
        <v>22</v>
      </c>
      <c r="D80" s="3" t="s">
        <v>27</v>
      </c>
      <c r="E80" s="3" t="s">
        <v>18</v>
      </c>
      <c r="F80" s="3" t="n">
        <v>0.5</v>
      </c>
      <c r="G80" s="3" t="n">
        <v>7319</v>
      </c>
      <c r="H80" s="3" t="s">
        <v>19</v>
      </c>
      <c r="I80" s="3" t="n">
        <v>3</v>
      </c>
      <c r="J80" s="3" t="n">
        <v>2</v>
      </c>
      <c r="K80" s="3" t="n">
        <v>11</v>
      </c>
      <c r="L80" s="3" t="n">
        <v>0</v>
      </c>
      <c r="M80" s="3" t="n">
        <v>0</v>
      </c>
      <c r="N80" s="3" t="s">
        <v>19</v>
      </c>
    </row>
    <row r="81" customFormat="false" ht="15" hidden="false" customHeight="false" outlineLevel="0" collapsed="false">
      <c r="A81" s="3" t="s">
        <v>111</v>
      </c>
      <c r="B81" s="3" t="n">
        <v>44</v>
      </c>
      <c r="C81" s="3" t="s">
        <v>26</v>
      </c>
      <c r="D81" s="3" t="s">
        <v>48</v>
      </c>
      <c r="E81" s="3" t="s">
        <v>41</v>
      </c>
      <c r="F81" s="3" t="n">
        <v>4.1</v>
      </c>
      <c r="G81" s="3" t="n">
        <v>8868.87</v>
      </c>
      <c r="H81" s="3" t="s">
        <v>20</v>
      </c>
      <c r="I81" s="3" t="n">
        <v>3</v>
      </c>
      <c r="J81" s="3" t="n">
        <v>4</v>
      </c>
      <c r="K81" s="3" t="n">
        <v>2</v>
      </c>
      <c r="L81" s="3" t="n">
        <v>1</v>
      </c>
      <c r="M81" s="3" t="n">
        <v>2</v>
      </c>
      <c r="N81" s="3" t="s">
        <v>19</v>
      </c>
    </row>
    <row r="82" customFormat="false" ht="15" hidden="false" customHeight="false" outlineLevel="0" collapsed="false">
      <c r="A82" s="3" t="s">
        <v>112</v>
      </c>
      <c r="B82" s="3" t="n">
        <v>37</v>
      </c>
      <c r="C82" s="3" t="s">
        <v>24</v>
      </c>
      <c r="D82" s="3" t="s">
        <v>17</v>
      </c>
      <c r="E82" s="3" t="s">
        <v>28</v>
      </c>
      <c r="F82" s="3" t="n">
        <v>0.7</v>
      </c>
      <c r="G82" s="3" t="n">
        <v>3186.16</v>
      </c>
      <c r="H82" s="3" t="s">
        <v>19</v>
      </c>
      <c r="I82" s="3" t="n">
        <v>4</v>
      </c>
      <c r="J82" s="3" t="n">
        <v>3</v>
      </c>
      <c r="K82" s="3" t="n">
        <v>8</v>
      </c>
      <c r="L82" s="3" t="n">
        <v>0</v>
      </c>
      <c r="M82" s="3" t="n">
        <v>2</v>
      </c>
      <c r="N82" s="3" t="s">
        <v>19</v>
      </c>
    </row>
    <row r="83" customFormat="false" ht="15" hidden="false" customHeight="false" outlineLevel="0" collapsed="false">
      <c r="A83" s="3" t="s">
        <v>113</v>
      </c>
      <c r="B83" s="3" t="n">
        <v>50</v>
      </c>
      <c r="C83" s="3" t="s">
        <v>22</v>
      </c>
      <c r="D83" s="3" t="s">
        <v>17</v>
      </c>
      <c r="E83" s="3" t="s">
        <v>28</v>
      </c>
      <c r="F83" s="3" t="n">
        <v>5.7</v>
      </c>
      <c r="G83" s="3" t="n">
        <v>3488.46</v>
      </c>
      <c r="H83" s="3" t="s">
        <v>20</v>
      </c>
      <c r="I83" s="3" t="n">
        <v>1</v>
      </c>
      <c r="J83" s="3" t="n">
        <v>2</v>
      </c>
      <c r="K83" s="3" t="n">
        <v>10</v>
      </c>
      <c r="L83" s="3" t="n">
        <v>1</v>
      </c>
      <c r="M83" s="3" t="n">
        <v>3</v>
      </c>
      <c r="N83" s="3" t="s">
        <v>19</v>
      </c>
    </row>
    <row r="84" customFormat="false" ht="15" hidden="false" customHeight="false" outlineLevel="0" collapsed="false">
      <c r="A84" s="3" t="s">
        <v>114</v>
      </c>
      <c r="B84" s="3" t="n">
        <v>28</v>
      </c>
      <c r="C84" s="3" t="s">
        <v>32</v>
      </c>
      <c r="D84" s="3" t="s">
        <v>17</v>
      </c>
      <c r="E84" s="3" t="s">
        <v>41</v>
      </c>
      <c r="F84" s="3" t="n">
        <v>0.2</v>
      </c>
      <c r="G84" s="3" t="n">
        <v>2777.46</v>
      </c>
      <c r="H84" s="3" t="s">
        <v>19</v>
      </c>
      <c r="I84" s="3" t="n">
        <v>3</v>
      </c>
      <c r="J84" s="3" t="n">
        <v>4</v>
      </c>
      <c r="K84" s="3" t="n">
        <v>2</v>
      </c>
      <c r="L84" s="3" t="n">
        <v>0</v>
      </c>
      <c r="M84" s="3" t="n">
        <v>2</v>
      </c>
      <c r="N84" s="3" t="s">
        <v>19</v>
      </c>
    </row>
    <row r="85" customFormat="false" ht="15" hidden="false" customHeight="false" outlineLevel="0" collapsed="false">
      <c r="A85" s="3" t="s">
        <v>115</v>
      </c>
      <c r="B85" s="3" t="n">
        <v>28</v>
      </c>
      <c r="C85" s="3" t="s">
        <v>32</v>
      </c>
      <c r="D85" s="3" t="s">
        <v>17</v>
      </c>
      <c r="E85" s="3" t="s">
        <v>24</v>
      </c>
      <c r="F85" s="3" t="n">
        <v>2.4</v>
      </c>
      <c r="G85" s="3" t="n">
        <v>2725.09</v>
      </c>
      <c r="H85" s="3" t="s">
        <v>19</v>
      </c>
      <c r="I85" s="3" t="n">
        <v>2</v>
      </c>
      <c r="J85" s="3" t="n">
        <v>3</v>
      </c>
      <c r="K85" s="3" t="n">
        <v>27</v>
      </c>
      <c r="L85" s="3" t="n">
        <v>2</v>
      </c>
      <c r="M85" s="3" t="n">
        <v>0</v>
      </c>
      <c r="N85" s="3" t="s">
        <v>19</v>
      </c>
    </row>
    <row r="86" customFormat="false" ht="15" hidden="false" customHeight="false" outlineLevel="0" collapsed="false">
      <c r="A86" s="3" t="s">
        <v>116</v>
      </c>
      <c r="B86" s="3" t="n">
        <v>47</v>
      </c>
      <c r="C86" s="3" t="s">
        <v>24</v>
      </c>
      <c r="D86" s="3" t="s">
        <v>23</v>
      </c>
      <c r="E86" s="3" t="s">
        <v>41</v>
      </c>
      <c r="F86" s="3" t="n">
        <v>0</v>
      </c>
      <c r="G86" s="3" t="n">
        <v>4220.76</v>
      </c>
      <c r="H86" s="3" t="s">
        <v>19</v>
      </c>
      <c r="I86" s="3" t="n">
        <v>3</v>
      </c>
      <c r="J86" s="3" t="n">
        <v>4</v>
      </c>
      <c r="K86" s="3" t="n">
        <v>2</v>
      </c>
      <c r="L86" s="3" t="n">
        <v>0</v>
      </c>
      <c r="M86" s="3" t="n">
        <v>0</v>
      </c>
      <c r="N86" s="3" t="s">
        <v>19</v>
      </c>
    </row>
    <row r="87" customFormat="false" ht="15" hidden="false" customHeight="false" outlineLevel="0" collapsed="false">
      <c r="A87" s="3" t="s">
        <v>117</v>
      </c>
      <c r="B87" s="3" t="n">
        <v>44</v>
      </c>
      <c r="C87" s="3" t="s">
        <v>32</v>
      </c>
      <c r="D87" s="3" t="s">
        <v>27</v>
      </c>
      <c r="E87" s="3" t="s">
        <v>28</v>
      </c>
      <c r="F87" s="3" t="n">
        <v>9.3</v>
      </c>
      <c r="G87" s="3" t="n">
        <v>6790.06</v>
      </c>
      <c r="H87" s="3" t="s">
        <v>19</v>
      </c>
      <c r="I87" s="3" t="n">
        <v>2</v>
      </c>
      <c r="J87" s="3" t="n">
        <v>4</v>
      </c>
      <c r="K87" s="3" t="n">
        <v>5</v>
      </c>
      <c r="L87" s="3" t="n">
        <v>0</v>
      </c>
      <c r="M87" s="3" t="n">
        <v>2</v>
      </c>
      <c r="N87" s="3" t="s">
        <v>20</v>
      </c>
    </row>
    <row r="88" customFormat="false" ht="15" hidden="false" customHeight="false" outlineLevel="0" collapsed="false">
      <c r="A88" s="3" t="s">
        <v>118</v>
      </c>
      <c r="B88" s="3" t="n">
        <v>34</v>
      </c>
      <c r="C88" s="3" t="s">
        <v>26</v>
      </c>
      <c r="D88" s="3" t="s">
        <v>23</v>
      </c>
      <c r="E88" s="3" t="s">
        <v>18</v>
      </c>
      <c r="F88" s="3" t="n">
        <v>9</v>
      </c>
      <c r="G88" s="3" t="n">
        <v>5525.81</v>
      </c>
      <c r="H88" s="3" t="s">
        <v>20</v>
      </c>
      <c r="I88" s="3" t="n">
        <v>1</v>
      </c>
      <c r="J88" s="3" t="n">
        <v>3</v>
      </c>
      <c r="K88" s="3" t="n">
        <v>6</v>
      </c>
      <c r="L88" s="3" t="n">
        <v>0</v>
      </c>
      <c r="M88" s="3" t="n">
        <v>2</v>
      </c>
      <c r="N88" s="3" t="s">
        <v>20</v>
      </c>
    </row>
    <row r="89" customFormat="false" ht="15" hidden="false" customHeight="false" outlineLevel="0" collapsed="false">
      <c r="A89" s="3" t="s">
        <v>119</v>
      </c>
      <c r="B89" s="3" t="n">
        <v>21</v>
      </c>
      <c r="C89" s="3" t="s">
        <v>24</v>
      </c>
      <c r="D89" s="3" t="s">
        <v>27</v>
      </c>
      <c r="E89" s="3" t="s">
        <v>18</v>
      </c>
      <c r="F89" s="3" t="n">
        <v>0</v>
      </c>
      <c r="G89" s="3" t="n">
        <v>6521.12</v>
      </c>
      <c r="H89" s="3" t="s">
        <v>20</v>
      </c>
      <c r="I89" s="3" t="n">
        <v>2</v>
      </c>
      <c r="J89" s="3" t="n">
        <v>4</v>
      </c>
      <c r="K89" s="3" t="n">
        <v>1</v>
      </c>
      <c r="L89" s="3" t="n">
        <v>0</v>
      </c>
      <c r="M89" s="3" t="n">
        <v>5</v>
      </c>
      <c r="N89" s="3" t="s">
        <v>19</v>
      </c>
    </row>
    <row r="90" customFormat="false" ht="15" hidden="false" customHeight="false" outlineLevel="0" collapsed="false">
      <c r="A90" s="3" t="s">
        <v>120</v>
      </c>
      <c r="B90" s="3" t="n">
        <v>40</v>
      </c>
      <c r="C90" s="3" t="s">
        <v>32</v>
      </c>
      <c r="D90" s="3" t="s">
        <v>17</v>
      </c>
      <c r="E90" s="3" t="s">
        <v>28</v>
      </c>
      <c r="F90" s="3" t="n">
        <v>0.6</v>
      </c>
      <c r="G90" s="3" t="n">
        <v>2884.78</v>
      </c>
      <c r="H90" s="3" t="s">
        <v>19</v>
      </c>
      <c r="I90" s="3" t="n">
        <v>2</v>
      </c>
      <c r="J90" s="3" t="n">
        <v>3</v>
      </c>
      <c r="K90" s="3" t="n">
        <v>19</v>
      </c>
      <c r="L90" s="3" t="n">
        <v>0</v>
      </c>
      <c r="M90" s="3" t="n">
        <v>2</v>
      </c>
      <c r="N90" s="3" t="s">
        <v>20</v>
      </c>
    </row>
    <row r="91" customFormat="false" ht="15" hidden="false" customHeight="false" outlineLevel="0" collapsed="false">
      <c r="A91" s="3" t="s">
        <v>121</v>
      </c>
      <c r="B91" s="3" t="n">
        <v>21</v>
      </c>
      <c r="C91" s="3" t="s">
        <v>26</v>
      </c>
      <c r="D91" s="3" t="s">
        <v>27</v>
      </c>
      <c r="E91" s="3" t="s">
        <v>18</v>
      </c>
      <c r="F91" s="3" t="n">
        <v>0</v>
      </c>
      <c r="G91" s="3" t="n">
        <v>7054.62</v>
      </c>
      <c r="H91" s="3" t="s">
        <v>20</v>
      </c>
      <c r="I91" s="3" t="n">
        <v>2</v>
      </c>
      <c r="J91" s="3" t="n">
        <v>3</v>
      </c>
      <c r="K91" s="3" t="n">
        <v>11</v>
      </c>
      <c r="L91" s="3" t="n">
        <v>0</v>
      </c>
      <c r="M91" s="3" t="n">
        <v>2</v>
      </c>
      <c r="N91" s="3" t="s">
        <v>19</v>
      </c>
    </row>
    <row r="92" customFormat="false" ht="15" hidden="false" customHeight="false" outlineLevel="0" collapsed="false">
      <c r="A92" s="3" t="s">
        <v>122</v>
      </c>
      <c r="B92" s="3" t="n">
        <v>34</v>
      </c>
      <c r="C92" s="3" t="s">
        <v>16</v>
      </c>
      <c r="D92" s="3" t="s">
        <v>23</v>
      </c>
      <c r="E92" s="3" t="s">
        <v>41</v>
      </c>
      <c r="F92" s="3" t="n">
        <v>1.7</v>
      </c>
      <c r="G92" s="3" t="n">
        <v>5042.6</v>
      </c>
      <c r="H92" s="3" t="s">
        <v>19</v>
      </c>
      <c r="I92" s="3" t="n">
        <v>3</v>
      </c>
      <c r="J92" s="3" t="n">
        <v>3</v>
      </c>
      <c r="K92" s="3" t="n">
        <v>1</v>
      </c>
      <c r="L92" s="3" t="n">
        <v>1</v>
      </c>
      <c r="M92" s="3" t="n">
        <v>4</v>
      </c>
      <c r="N92" s="3" t="s">
        <v>19</v>
      </c>
    </row>
    <row r="93" customFormat="false" ht="15" hidden="false" customHeight="false" outlineLevel="0" collapsed="false">
      <c r="A93" s="3" t="s">
        <v>123</v>
      </c>
      <c r="B93" s="3" t="n">
        <v>46</v>
      </c>
      <c r="C93" s="3" t="s">
        <v>32</v>
      </c>
      <c r="D93" s="3" t="s">
        <v>17</v>
      </c>
      <c r="E93" s="3" t="s">
        <v>18</v>
      </c>
      <c r="F93" s="3" t="n">
        <v>1.6</v>
      </c>
      <c r="G93" s="3" t="n">
        <v>3331.73</v>
      </c>
      <c r="H93" s="3" t="s">
        <v>19</v>
      </c>
      <c r="I93" s="3" t="n">
        <v>4</v>
      </c>
      <c r="J93" s="3" t="n">
        <v>2</v>
      </c>
      <c r="K93" s="3" t="n">
        <v>16</v>
      </c>
      <c r="L93" s="3" t="n">
        <v>1</v>
      </c>
      <c r="M93" s="3" t="n">
        <v>1</v>
      </c>
      <c r="N93" s="3" t="s">
        <v>19</v>
      </c>
    </row>
    <row r="94" customFormat="false" ht="15" hidden="false" customHeight="false" outlineLevel="0" collapsed="false">
      <c r="A94" s="3" t="s">
        <v>124</v>
      </c>
      <c r="B94" s="3" t="n">
        <v>34</v>
      </c>
      <c r="C94" s="3" t="s">
        <v>22</v>
      </c>
      <c r="D94" s="3" t="s">
        <v>17</v>
      </c>
      <c r="E94" s="3" t="s">
        <v>18</v>
      </c>
      <c r="F94" s="3" t="n">
        <v>1.3</v>
      </c>
      <c r="G94" s="3" t="n">
        <v>3810.74</v>
      </c>
      <c r="H94" s="3" t="s">
        <v>20</v>
      </c>
      <c r="I94" s="3" t="n">
        <v>1</v>
      </c>
      <c r="J94" s="3" t="n">
        <v>3</v>
      </c>
      <c r="K94" s="3" t="n">
        <v>7</v>
      </c>
      <c r="L94" s="3" t="n">
        <v>0</v>
      </c>
      <c r="M94" s="3" t="n">
        <v>1</v>
      </c>
      <c r="N94" s="3" t="s">
        <v>20</v>
      </c>
    </row>
    <row r="95" customFormat="false" ht="15" hidden="false" customHeight="false" outlineLevel="0" collapsed="false">
      <c r="A95" s="3" t="s">
        <v>125</v>
      </c>
      <c r="B95" s="3" t="n">
        <v>39</v>
      </c>
      <c r="C95" s="3" t="s">
        <v>26</v>
      </c>
      <c r="D95" s="3" t="s">
        <v>23</v>
      </c>
      <c r="E95" s="3" t="s">
        <v>18</v>
      </c>
      <c r="F95" s="3" t="n">
        <v>0.6</v>
      </c>
      <c r="G95" s="3" t="n">
        <v>4288.8</v>
      </c>
      <c r="H95" s="3" t="s">
        <v>20</v>
      </c>
      <c r="I95" s="3" t="n">
        <v>3</v>
      </c>
      <c r="J95" s="3" t="n">
        <v>2</v>
      </c>
      <c r="K95" s="3" t="n">
        <v>11</v>
      </c>
      <c r="L95" s="3" t="n">
        <v>0</v>
      </c>
      <c r="M95" s="3" t="n">
        <v>0</v>
      </c>
      <c r="N95" s="3" t="s">
        <v>19</v>
      </c>
    </row>
    <row r="96" customFormat="false" ht="15" hidden="false" customHeight="false" outlineLevel="0" collapsed="false">
      <c r="A96" s="3" t="s">
        <v>126</v>
      </c>
      <c r="B96" s="3" t="n">
        <v>29</v>
      </c>
      <c r="C96" s="3" t="s">
        <v>16</v>
      </c>
      <c r="D96" s="3" t="s">
        <v>23</v>
      </c>
      <c r="E96" s="3" t="s">
        <v>28</v>
      </c>
      <c r="F96" s="3" t="n">
        <v>0</v>
      </c>
      <c r="G96" s="3" t="n">
        <v>5172.28</v>
      </c>
      <c r="H96" s="3" t="s">
        <v>19</v>
      </c>
      <c r="I96" s="3" t="n">
        <v>4</v>
      </c>
      <c r="J96" s="3" t="n">
        <v>3</v>
      </c>
      <c r="K96" s="3" t="n">
        <v>7</v>
      </c>
      <c r="L96" s="3" t="n">
        <v>0</v>
      </c>
      <c r="M96" s="3" t="n">
        <v>1</v>
      </c>
      <c r="N96" s="3" t="s">
        <v>19</v>
      </c>
    </row>
    <row r="97" customFormat="false" ht="15" hidden="false" customHeight="false" outlineLevel="0" collapsed="false">
      <c r="A97" s="3" t="s">
        <v>127</v>
      </c>
      <c r="B97" s="3" t="n">
        <v>43</v>
      </c>
      <c r="C97" s="3" t="s">
        <v>45</v>
      </c>
      <c r="D97" s="3" t="s">
        <v>23</v>
      </c>
      <c r="E97" s="3" t="s">
        <v>41</v>
      </c>
      <c r="F97" s="3" t="n">
        <v>2.5</v>
      </c>
      <c r="G97" s="3" t="n">
        <v>4563.67</v>
      </c>
      <c r="H97" s="3" t="s">
        <v>20</v>
      </c>
      <c r="I97" s="3" t="n">
        <v>2</v>
      </c>
      <c r="J97" s="3" t="n">
        <v>4</v>
      </c>
      <c r="K97" s="3" t="n">
        <v>1</v>
      </c>
      <c r="L97" s="3" t="n">
        <v>0</v>
      </c>
      <c r="M97" s="3" t="n">
        <v>1</v>
      </c>
      <c r="N97" s="3" t="s">
        <v>19</v>
      </c>
    </row>
    <row r="98" customFormat="false" ht="15" hidden="false" customHeight="false" outlineLevel="0" collapsed="false">
      <c r="A98" s="3" t="s">
        <v>128</v>
      </c>
      <c r="B98" s="3" t="n">
        <v>23</v>
      </c>
      <c r="C98" s="3" t="s">
        <v>26</v>
      </c>
      <c r="D98" s="3" t="s">
        <v>17</v>
      </c>
      <c r="E98" s="3" t="s">
        <v>24</v>
      </c>
      <c r="F98" s="3" t="n">
        <v>2</v>
      </c>
      <c r="G98" s="3" t="n">
        <v>3665.42</v>
      </c>
      <c r="H98" s="3" t="s">
        <v>20</v>
      </c>
      <c r="I98" s="3" t="n">
        <v>2</v>
      </c>
      <c r="J98" s="3" t="n">
        <v>3</v>
      </c>
      <c r="K98" s="3" t="n">
        <v>1</v>
      </c>
      <c r="L98" s="3" t="n">
        <v>2</v>
      </c>
      <c r="M98" s="3" t="n">
        <v>3</v>
      </c>
      <c r="N98" s="3" t="s">
        <v>20</v>
      </c>
    </row>
    <row r="99" customFormat="false" ht="15" hidden="false" customHeight="false" outlineLevel="0" collapsed="false">
      <c r="A99" s="3" t="s">
        <v>129</v>
      </c>
      <c r="B99" s="3" t="n">
        <v>54</v>
      </c>
      <c r="C99" s="3" t="s">
        <v>24</v>
      </c>
      <c r="D99" s="3" t="s">
        <v>27</v>
      </c>
      <c r="E99" s="3" t="s">
        <v>28</v>
      </c>
      <c r="F99" s="3" t="n">
        <v>2.9</v>
      </c>
      <c r="G99" s="3" t="n">
        <v>7814.87</v>
      </c>
      <c r="H99" s="3" t="s">
        <v>19</v>
      </c>
      <c r="I99" s="3" t="n">
        <v>4</v>
      </c>
      <c r="J99" s="3" t="n">
        <v>4</v>
      </c>
      <c r="K99" s="3" t="n">
        <v>4</v>
      </c>
      <c r="L99" s="3" t="n">
        <v>1</v>
      </c>
      <c r="M99" s="3" t="n">
        <v>0</v>
      </c>
      <c r="N99" s="3" t="s">
        <v>19</v>
      </c>
    </row>
    <row r="100" customFormat="false" ht="15" hidden="false" customHeight="false" outlineLevel="0" collapsed="false">
      <c r="A100" s="3" t="s">
        <v>130</v>
      </c>
      <c r="B100" s="3" t="n">
        <v>33</v>
      </c>
      <c r="C100" s="3" t="s">
        <v>32</v>
      </c>
      <c r="D100" s="3" t="s">
        <v>17</v>
      </c>
      <c r="E100" s="3" t="s">
        <v>18</v>
      </c>
      <c r="F100" s="3" t="n">
        <v>5.1</v>
      </c>
      <c r="G100" s="3" t="n">
        <v>2744.43</v>
      </c>
      <c r="H100" s="3" t="s">
        <v>20</v>
      </c>
      <c r="I100" s="3" t="n">
        <v>3</v>
      </c>
      <c r="J100" s="3" t="n">
        <v>3</v>
      </c>
      <c r="K100" s="3" t="n">
        <v>4</v>
      </c>
      <c r="L100" s="3" t="n">
        <v>3</v>
      </c>
      <c r="M100" s="3" t="n">
        <v>1</v>
      </c>
      <c r="N100" s="3" t="s">
        <v>19</v>
      </c>
    </row>
    <row r="101" customFormat="false" ht="15" hidden="false" customHeight="false" outlineLevel="0" collapsed="false">
      <c r="A101" s="3" t="s">
        <v>131</v>
      </c>
      <c r="B101" s="3" t="n">
        <v>33</v>
      </c>
      <c r="C101" s="3" t="s">
        <v>16</v>
      </c>
      <c r="D101" s="3" t="s">
        <v>17</v>
      </c>
      <c r="E101" s="3" t="s">
        <v>28</v>
      </c>
      <c r="F101" s="3" t="n">
        <v>0.3</v>
      </c>
      <c r="G101" s="3" t="n">
        <v>3491.77</v>
      </c>
      <c r="H101" s="3" t="s">
        <v>19</v>
      </c>
      <c r="I101" s="3" t="n">
        <v>4</v>
      </c>
      <c r="J101" s="3" t="n">
        <v>4</v>
      </c>
      <c r="K101" s="3" t="n">
        <v>1</v>
      </c>
      <c r="L101" s="3" t="n">
        <v>0</v>
      </c>
      <c r="M101" s="3" t="n">
        <v>4</v>
      </c>
      <c r="N101" s="3" t="s">
        <v>19</v>
      </c>
    </row>
    <row r="102" customFormat="false" ht="15" hidden="false" customHeight="false" outlineLevel="0" collapsed="false">
      <c r="A102" s="3" t="s">
        <v>132</v>
      </c>
      <c r="B102" s="3" t="n">
        <v>29</v>
      </c>
      <c r="C102" s="3" t="s">
        <v>16</v>
      </c>
      <c r="D102" s="3" t="s">
        <v>17</v>
      </c>
      <c r="E102" s="3" t="s">
        <v>24</v>
      </c>
      <c r="F102" s="3" t="n">
        <v>3.3</v>
      </c>
      <c r="G102" s="3" t="n">
        <v>3506.75</v>
      </c>
      <c r="H102" s="3" t="s">
        <v>19</v>
      </c>
      <c r="I102" s="3" t="n">
        <v>3</v>
      </c>
      <c r="J102" s="3" t="n">
        <v>3</v>
      </c>
      <c r="K102" s="3" t="n">
        <v>11</v>
      </c>
      <c r="L102" s="3" t="n">
        <v>0</v>
      </c>
      <c r="M102" s="3" t="n">
        <v>2</v>
      </c>
      <c r="N102" s="3" t="s">
        <v>19</v>
      </c>
    </row>
    <row r="103" customFormat="false" ht="15" hidden="false" customHeight="false" outlineLevel="0" collapsed="false">
      <c r="A103" s="3" t="s">
        <v>133</v>
      </c>
      <c r="B103" s="3" t="n">
        <v>34</v>
      </c>
      <c r="C103" s="3" t="s">
        <v>32</v>
      </c>
      <c r="D103" s="3" t="s">
        <v>27</v>
      </c>
      <c r="E103" s="3" t="s">
        <v>28</v>
      </c>
      <c r="F103" s="3" t="n">
        <v>1</v>
      </c>
      <c r="G103" s="3" t="n">
        <v>7230.68</v>
      </c>
      <c r="H103" s="3" t="s">
        <v>19</v>
      </c>
      <c r="I103" s="3" t="n">
        <v>4</v>
      </c>
      <c r="J103" s="3" t="n">
        <v>2</v>
      </c>
      <c r="K103" s="3" t="n">
        <v>1</v>
      </c>
      <c r="L103" s="3" t="n">
        <v>1</v>
      </c>
      <c r="M103" s="3" t="n">
        <v>2</v>
      </c>
      <c r="N103" s="3" t="s">
        <v>19</v>
      </c>
    </row>
    <row r="104" customFormat="false" ht="15" hidden="false" customHeight="false" outlineLevel="0" collapsed="false">
      <c r="A104" s="3" t="s">
        <v>134</v>
      </c>
      <c r="B104" s="3" t="n">
        <v>37</v>
      </c>
      <c r="C104" s="3" t="s">
        <v>24</v>
      </c>
      <c r="D104" s="3" t="s">
        <v>23</v>
      </c>
      <c r="E104" s="3" t="s">
        <v>24</v>
      </c>
      <c r="F104" s="3" t="n">
        <v>4.2</v>
      </c>
      <c r="G104" s="3" t="n">
        <v>5210.84</v>
      </c>
      <c r="H104" s="3" t="s">
        <v>19</v>
      </c>
      <c r="I104" s="3" t="n">
        <v>4</v>
      </c>
      <c r="J104" s="3" t="n">
        <v>2</v>
      </c>
      <c r="K104" s="3" t="n">
        <v>8</v>
      </c>
      <c r="L104" s="3" t="n">
        <v>3</v>
      </c>
      <c r="M104" s="3" t="n">
        <v>1</v>
      </c>
      <c r="N104" s="3" t="s">
        <v>19</v>
      </c>
    </row>
    <row r="105" customFormat="false" ht="15" hidden="false" customHeight="false" outlineLevel="0" collapsed="false">
      <c r="A105" s="3" t="s">
        <v>135</v>
      </c>
      <c r="B105" s="3" t="n">
        <v>37</v>
      </c>
      <c r="C105" s="3" t="s">
        <v>22</v>
      </c>
      <c r="D105" s="3" t="s">
        <v>27</v>
      </c>
      <c r="E105" s="3" t="s">
        <v>41</v>
      </c>
      <c r="F105" s="3" t="n">
        <v>8.1</v>
      </c>
      <c r="G105" s="3" t="n">
        <v>8071.92</v>
      </c>
      <c r="H105" s="3" t="s">
        <v>20</v>
      </c>
      <c r="I105" s="3" t="n">
        <v>3</v>
      </c>
      <c r="J105" s="3" t="n">
        <v>4</v>
      </c>
      <c r="K105" s="3" t="n">
        <v>15</v>
      </c>
      <c r="L105" s="3" t="n">
        <v>1</v>
      </c>
      <c r="M105" s="3" t="n">
        <v>0</v>
      </c>
      <c r="N105" s="3" t="s">
        <v>19</v>
      </c>
    </row>
    <row r="106" customFormat="false" ht="15" hidden="false" customHeight="false" outlineLevel="0" collapsed="false">
      <c r="A106" s="3" t="s">
        <v>136</v>
      </c>
      <c r="B106" s="3" t="n">
        <v>35</v>
      </c>
      <c r="C106" s="3" t="s">
        <v>22</v>
      </c>
      <c r="D106" s="3" t="s">
        <v>48</v>
      </c>
      <c r="E106" s="3" t="s">
        <v>41</v>
      </c>
      <c r="F106" s="3" t="n">
        <v>3.6</v>
      </c>
      <c r="G106" s="3" t="n">
        <v>9549.02</v>
      </c>
      <c r="H106" s="3" t="s">
        <v>19</v>
      </c>
      <c r="I106" s="3" t="n">
        <v>2</v>
      </c>
      <c r="J106" s="3" t="n">
        <v>2</v>
      </c>
      <c r="K106" s="3" t="n">
        <v>7</v>
      </c>
      <c r="L106" s="3" t="n">
        <v>1</v>
      </c>
      <c r="M106" s="3" t="n">
        <v>0</v>
      </c>
      <c r="N106" s="3" t="s">
        <v>19</v>
      </c>
    </row>
    <row r="107" customFormat="false" ht="15" hidden="false" customHeight="false" outlineLevel="0" collapsed="false">
      <c r="A107" s="3" t="s">
        <v>137</v>
      </c>
      <c r="B107" s="3" t="n">
        <v>31</v>
      </c>
      <c r="C107" s="3" t="s">
        <v>24</v>
      </c>
      <c r="D107" s="3" t="s">
        <v>17</v>
      </c>
      <c r="E107" s="3" t="s">
        <v>28</v>
      </c>
      <c r="F107" s="3" t="n">
        <v>2.9</v>
      </c>
      <c r="G107" s="3" t="n">
        <v>3400.91</v>
      </c>
      <c r="H107" s="3" t="s">
        <v>19</v>
      </c>
      <c r="I107" s="3" t="n">
        <v>3</v>
      </c>
      <c r="J107" s="3" t="n">
        <v>1</v>
      </c>
      <c r="K107" s="3" t="n">
        <v>2</v>
      </c>
      <c r="L107" s="3" t="n">
        <v>2</v>
      </c>
      <c r="M107" s="3" t="n">
        <v>2</v>
      </c>
      <c r="N107" s="3" t="s">
        <v>19</v>
      </c>
    </row>
    <row r="108" customFormat="false" ht="15" hidden="false" customHeight="false" outlineLevel="0" collapsed="false">
      <c r="A108" s="3" t="s">
        <v>138</v>
      </c>
      <c r="B108" s="3" t="n">
        <v>30</v>
      </c>
      <c r="C108" s="3" t="s">
        <v>22</v>
      </c>
      <c r="D108" s="3" t="s">
        <v>23</v>
      </c>
      <c r="E108" s="3" t="s">
        <v>41</v>
      </c>
      <c r="F108" s="3" t="n">
        <v>0.8</v>
      </c>
      <c r="G108" s="3" t="n">
        <v>4517.47</v>
      </c>
      <c r="H108" s="3" t="s">
        <v>19</v>
      </c>
      <c r="I108" s="3" t="n">
        <v>3</v>
      </c>
      <c r="J108" s="3" t="n">
        <v>4</v>
      </c>
      <c r="K108" s="3" t="n">
        <v>1</v>
      </c>
      <c r="L108" s="3" t="n">
        <v>0</v>
      </c>
      <c r="M108" s="3" t="n">
        <v>1</v>
      </c>
      <c r="N108" s="3" t="s">
        <v>19</v>
      </c>
    </row>
    <row r="109" customFormat="false" ht="15" hidden="false" customHeight="false" outlineLevel="0" collapsed="false">
      <c r="A109" s="3" t="s">
        <v>139</v>
      </c>
      <c r="B109" s="3" t="n">
        <v>38</v>
      </c>
      <c r="C109" s="3" t="s">
        <v>16</v>
      </c>
      <c r="D109" s="3" t="s">
        <v>17</v>
      </c>
      <c r="E109" s="3" t="s">
        <v>24</v>
      </c>
      <c r="F109" s="3" t="n">
        <v>2.8</v>
      </c>
      <c r="G109" s="3" t="n">
        <v>2952.12</v>
      </c>
      <c r="H109" s="3" t="s">
        <v>19</v>
      </c>
      <c r="I109" s="3" t="n">
        <v>4</v>
      </c>
      <c r="J109" s="3" t="n">
        <v>1</v>
      </c>
      <c r="K109" s="3" t="n">
        <v>24</v>
      </c>
      <c r="L109" s="3" t="n">
        <v>0</v>
      </c>
      <c r="M109" s="3" t="n">
        <v>1</v>
      </c>
      <c r="N109" s="3" t="s">
        <v>20</v>
      </c>
    </row>
    <row r="110" customFormat="false" ht="15" hidden="false" customHeight="false" outlineLevel="0" collapsed="false">
      <c r="A110" s="3" t="s">
        <v>140</v>
      </c>
      <c r="B110" s="3" t="n">
        <v>42</v>
      </c>
      <c r="C110" s="3" t="s">
        <v>22</v>
      </c>
      <c r="D110" s="3" t="s">
        <v>23</v>
      </c>
      <c r="E110" s="3" t="s">
        <v>24</v>
      </c>
      <c r="F110" s="3" t="n">
        <v>0.9</v>
      </c>
      <c r="G110" s="3" t="n">
        <v>4750.96</v>
      </c>
      <c r="H110" s="3" t="s">
        <v>19</v>
      </c>
      <c r="I110" s="3" t="n">
        <v>3</v>
      </c>
      <c r="J110" s="3" t="n">
        <v>3</v>
      </c>
      <c r="K110" s="3" t="n">
        <v>3</v>
      </c>
      <c r="L110" s="3" t="n">
        <v>0</v>
      </c>
      <c r="M110" s="3" t="n">
        <v>4</v>
      </c>
      <c r="N110" s="3" t="s">
        <v>19</v>
      </c>
    </row>
    <row r="111" customFormat="false" ht="15" hidden="false" customHeight="false" outlineLevel="0" collapsed="false">
      <c r="A111" s="3" t="s">
        <v>141</v>
      </c>
      <c r="B111" s="3" t="n">
        <v>34</v>
      </c>
      <c r="C111" s="3" t="s">
        <v>26</v>
      </c>
      <c r="D111" s="3" t="s">
        <v>23</v>
      </c>
      <c r="E111" s="3" t="s">
        <v>18</v>
      </c>
      <c r="F111" s="3" t="n">
        <v>7.2</v>
      </c>
      <c r="G111" s="3" t="n">
        <v>5028.63</v>
      </c>
      <c r="H111" s="3" t="s">
        <v>19</v>
      </c>
      <c r="I111" s="3" t="n">
        <v>1</v>
      </c>
      <c r="J111" s="3" t="n">
        <v>4</v>
      </c>
      <c r="K111" s="3" t="n">
        <v>9</v>
      </c>
      <c r="L111" s="3" t="n">
        <v>1</v>
      </c>
      <c r="M111" s="3" t="n">
        <v>1</v>
      </c>
      <c r="N111" s="3" t="s">
        <v>19</v>
      </c>
    </row>
    <row r="112" customFormat="false" ht="15" hidden="false" customHeight="false" outlineLevel="0" collapsed="false">
      <c r="A112" s="3" t="s">
        <v>142</v>
      </c>
      <c r="B112" s="3" t="n">
        <v>52</v>
      </c>
      <c r="C112" s="3" t="s">
        <v>16</v>
      </c>
      <c r="D112" s="3" t="s">
        <v>23</v>
      </c>
      <c r="E112" s="3" t="s">
        <v>24</v>
      </c>
      <c r="F112" s="3" t="n">
        <v>0.6</v>
      </c>
      <c r="G112" s="3" t="n">
        <v>5135.26</v>
      </c>
      <c r="H112" s="3" t="s">
        <v>19</v>
      </c>
      <c r="I112" s="3" t="n">
        <v>4</v>
      </c>
      <c r="J112" s="3" t="n">
        <v>1</v>
      </c>
      <c r="K112" s="3" t="n">
        <v>1</v>
      </c>
      <c r="L112" s="3" t="n">
        <v>0</v>
      </c>
      <c r="M112" s="3" t="n">
        <v>2</v>
      </c>
      <c r="N112" s="3" t="s">
        <v>19</v>
      </c>
    </row>
    <row r="113" customFormat="false" ht="15" hidden="false" customHeight="false" outlineLevel="0" collapsed="false">
      <c r="A113" s="3" t="s">
        <v>143</v>
      </c>
      <c r="B113" s="3" t="n">
        <v>39</v>
      </c>
      <c r="C113" s="3" t="s">
        <v>26</v>
      </c>
      <c r="D113" s="3" t="s">
        <v>17</v>
      </c>
      <c r="E113" s="3" t="s">
        <v>28</v>
      </c>
      <c r="F113" s="3" t="n">
        <v>0.1</v>
      </c>
      <c r="G113" s="3" t="n">
        <v>3145.17</v>
      </c>
      <c r="H113" s="3" t="s">
        <v>20</v>
      </c>
      <c r="I113" s="3" t="n">
        <v>2</v>
      </c>
      <c r="J113" s="3" t="n">
        <v>3</v>
      </c>
      <c r="K113" s="3" t="n">
        <v>3</v>
      </c>
      <c r="L113" s="3" t="n">
        <v>0</v>
      </c>
      <c r="M113" s="3" t="n">
        <v>3</v>
      </c>
      <c r="N113" s="3" t="s">
        <v>19</v>
      </c>
    </row>
    <row r="114" customFormat="false" ht="15" hidden="false" customHeight="false" outlineLevel="0" collapsed="false">
      <c r="A114" s="3" t="s">
        <v>144</v>
      </c>
      <c r="B114" s="3" t="n">
        <v>36</v>
      </c>
      <c r="C114" s="3" t="s">
        <v>24</v>
      </c>
      <c r="D114" s="3" t="s">
        <v>17</v>
      </c>
      <c r="E114" s="3" t="s">
        <v>24</v>
      </c>
      <c r="F114" s="3" t="n">
        <v>0.8</v>
      </c>
      <c r="G114" s="3" t="n">
        <v>3028.7</v>
      </c>
      <c r="H114" s="3" t="s">
        <v>19</v>
      </c>
      <c r="I114" s="3" t="n">
        <v>1</v>
      </c>
      <c r="J114" s="3" t="n">
        <v>3</v>
      </c>
      <c r="K114" s="3" t="n">
        <v>4</v>
      </c>
      <c r="L114" s="3" t="n">
        <v>0</v>
      </c>
      <c r="M114" s="3" t="n">
        <v>2</v>
      </c>
      <c r="N114" s="3" t="s">
        <v>19</v>
      </c>
    </row>
    <row r="115" customFormat="false" ht="15" hidden="false" customHeight="false" outlineLevel="0" collapsed="false">
      <c r="A115" s="3" t="s">
        <v>145</v>
      </c>
      <c r="B115" s="3" t="n">
        <v>29</v>
      </c>
      <c r="C115" s="3" t="s">
        <v>16</v>
      </c>
      <c r="D115" s="3" t="s">
        <v>27</v>
      </c>
      <c r="E115" s="3" t="s">
        <v>28</v>
      </c>
      <c r="F115" s="3" t="n">
        <v>5.8</v>
      </c>
      <c r="G115" s="3" t="n">
        <v>6694.64</v>
      </c>
      <c r="H115" s="3" t="s">
        <v>20</v>
      </c>
      <c r="I115" s="3" t="n">
        <v>4</v>
      </c>
      <c r="J115" s="3" t="n">
        <v>3</v>
      </c>
      <c r="K115" s="3" t="n">
        <v>6</v>
      </c>
      <c r="L115" s="3" t="n">
        <v>1</v>
      </c>
      <c r="M115" s="3" t="n">
        <v>4</v>
      </c>
      <c r="N115" s="3" t="s">
        <v>19</v>
      </c>
    </row>
    <row r="116" customFormat="false" ht="15" hidden="false" customHeight="false" outlineLevel="0" collapsed="false">
      <c r="A116" s="3" t="s">
        <v>146</v>
      </c>
      <c r="B116" s="3" t="n">
        <v>34</v>
      </c>
      <c r="C116" s="3" t="s">
        <v>16</v>
      </c>
      <c r="D116" s="3" t="s">
        <v>17</v>
      </c>
      <c r="E116" s="3" t="s">
        <v>41</v>
      </c>
      <c r="F116" s="3" t="n">
        <v>1.5</v>
      </c>
      <c r="G116" s="3" t="n">
        <v>2748.72</v>
      </c>
      <c r="H116" s="3" t="s">
        <v>19</v>
      </c>
      <c r="I116" s="3" t="n">
        <v>3</v>
      </c>
      <c r="J116" s="3" t="n">
        <v>2</v>
      </c>
      <c r="K116" s="3" t="n">
        <v>3</v>
      </c>
      <c r="L116" s="3" t="n">
        <v>1</v>
      </c>
      <c r="M116" s="3" t="n">
        <v>1</v>
      </c>
      <c r="N116" s="3" t="s">
        <v>19</v>
      </c>
    </row>
    <row r="117" customFormat="false" ht="15" hidden="false" customHeight="false" outlineLevel="0" collapsed="false">
      <c r="A117" s="3" t="s">
        <v>147</v>
      </c>
      <c r="B117" s="3" t="n">
        <v>43</v>
      </c>
      <c r="C117" s="3" t="s">
        <v>32</v>
      </c>
      <c r="D117" s="3" t="s">
        <v>23</v>
      </c>
      <c r="E117" s="3" t="s">
        <v>24</v>
      </c>
      <c r="F117" s="3" t="n">
        <v>0.1</v>
      </c>
      <c r="G117" s="3" t="n">
        <v>4459.28</v>
      </c>
      <c r="H117" s="3" t="s">
        <v>19</v>
      </c>
      <c r="I117" s="3" t="n">
        <v>4</v>
      </c>
      <c r="J117" s="3" t="n">
        <v>3</v>
      </c>
      <c r="K117" s="3" t="n">
        <v>6</v>
      </c>
      <c r="L117" s="3" t="n">
        <v>0</v>
      </c>
      <c r="M117" s="3" t="n">
        <v>4</v>
      </c>
      <c r="N117" s="3" t="s">
        <v>19</v>
      </c>
    </row>
    <row r="118" customFormat="false" ht="15" hidden="false" customHeight="false" outlineLevel="0" collapsed="false">
      <c r="A118" s="3" t="s">
        <v>148</v>
      </c>
      <c r="B118" s="3" t="n">
        <v>45</v>
      </c>
      <c r="C118" s="3" t="s">
        <v>16</v>
      </c>
      <c r="D118" s="3" t="s">
        <v>23</v>
      </c>
      <c r="E118" s="3" t="s">
        <v>41</v>
      </c>
      <c r="F118" s="3" t="n">
        <v>0.1</v>
      </c>
      <c r="G118" s="3" t="n">
        <v>5488.4</v>
      </c>
      <c r="H118" s="3" t="s">
        <v>19</v>
      </c>
      <c r="I118" s="3" t="n">
        <v>3</v>
      </c>
      <c r="J118" s="3" t="n">
        <v>1</v>
      </c>
      <c r="K118" s="3" t="n">
        <v>15</v>
      </c>
      <c r="L118" s="3" t="n">
        <v>0</v>
      </c>
      <c r="M118" s="3" t="n">
        <v>1</v>
      </c>
      <c r="N118" s="3" t="s">
        <v>19</v>
      </c>
    </row>
    <row r="119" customFormat="false" ht="15" hidden="false" customHeight="false" outlineLevel="0" collapsed="false">
      <c r="A119" s="3" t="s">
        <v>149</v>
      </c>
      <c r="B119" s="3" t="n">
        <v>46</v>
      </c>
      <c r="C119" s="3" t="s">
        <v>45</v>
      </c>
      <c r="D119" s="3" t="s">
        <v>17</v>
      </c>
      <c r="E119" s="3" t="s">
        <v>18</v>
      </c>
      <c r="F119" s="3" t="n">
        <v>2.3</v>
      </c>
      <c r="G119" s="3" t="n">
        <v>3768.37</v>
      </c>
      <c r="H119" s="3" t="s">
        <v>20</v>
      </c>
      <c r="I119" s="3" t="n">
        <v>3</v>
      </c>
      <c r="J119" s="3" t="n">
        <v>3</v>
      </c>
      <c r="K119" s="3" t="n">
        <v>13</v>
      </c>
      <c r="L119" s="3" t="n">
        <v>2</v>
      </c>
      <c r="M119" s="3" t="n">
        <v>3</v>
      </c>
      <c r="N119" s="3" t="s">
        <v>19</v>
      </c>
    </row>
    <row r="120" customFormat="false" ht="15" hidden="false" customHeight="false" outlineLevel="0" collapsed="false">
      <c r="A120" s="3" t="s">
        <v>150</v>
      </c>
      <c r="B120" s="3" t="n">
        <v>39</v>
      </c>
      <c r="C120" s="3" t="s">
        <v>32</v>
      </c>
      <c r="D120" s="3" t="s">
        <v>17</v>
      </c>
      <c r="E120" s="3" t="s">
        <v>18</v>
      </c>
      <c r="F120" s="3" t="n">
        <v>7.9</v>
      </c>
      <c r="G120" s="3" t="n">
        <v>3185.82</v>
      </c>
      <c r="H120" s="3" t="s">
        <v>20</v>
      </c>
      <c r="I120" s="3" t="n">
        <v>4</v>
      </c>
      <c r="J120" s="3" t="n">
        <v>2</v>
      </c>
      <c r="K120" s="3" t="n">
        <v>8</v>
      </c>
      <c r="L120" s="3" t="n">
        <v>0</v>
      </c>
      <c r="M120" s="3" t="n">
        <v>2</v>
      </c>
      <c r="N120" s="3" t="s">
        <v>19</v>
      </c>
    </row>
    <row r="121" customFormat="false" ht="15" hidden="false" customHeight="false" outlineLevel="0" collapsed="false">
      <c r="A121" s="3" t="s">
        <v>151</v>
      </c>
      <c r="B121" s="3" t="n">
        <v>39</v>
      </c>
      <c r="C121" s="3" t="s">
        <v>16</v>
      </c>
      <c r="D121" s="3" t="s">
        <v>17</v>
      </c>
      <c r="E121" s="3" t="s">
        <v>18</v>
      </c>
      <c r="F121" s="3" t="n">
        <v>0.5</v>
      </c>
      <c r="G121" s="3" t="n">
        <v>3718</v>
      </c>
      <c r="H121" s="3" t="s">
        <v>19</v>
      </c>
      <c r="I121" s="3" t="n">
        <v>3</v>
      </c>
      <c r="J121" s="3" t="n">
        <v>3</v>
      </c>
      <c r="K121" s="3" t="n">
        <v>30</v>
      </c>
      <c r="L121" s="3" t="n">
        <v>0</v>
      </c>
      <c r="M121" s="3" t="n">
        <v>1</v>
      </c>
      <c r="N121" s="3" t="s">
        <v>19</v>
      </c>
    </row>
    <row r="122" customFormat="false" ht="15" hidden="false" customHeight="false" outlineLevel="0" collapsed="false">
      <c r="A122" s="3" t="s">
        <v>152</v>
      </c>
      <c r="B122" s="3" t="n">
        <v>31</v>
      </c>
      <c r="C122" s="3" t="s">
        <v>32</v>
      </c>
      <c r="D122" s="3" t="s">
        <v>17</v>
      </c>
      <c r="E122" s="3" t="s">
        <v>28</v>
      </c>
      <c r="F122" s="3" t="n">
        <v>10</v>
      </c>
      <c r="G122" s="3" t="n">
        <v>3481.39</v>
      </c>
      <c r="H122" s="3" t="s">
        <v>19</v>
      </c>
      <c r="I122" s="3" t="n">
        <v>3</v>
      </c>
      <c r="J122" s="3" t="n">
        <v>4</v>
      </c>
      <c r="K122" s="3" t="n">
        <v>2</v>
      </c>
      <c r="L122" s="3" t="n">
        <v>8</v>
      </c>
      <c r="M122" s="3" t="n">
        <v>1</v>
      </c>
      <c r="N122" s="3" t="s">
        <v>19</v>
      </c>
    </row>
    <row r="123" customFormat="false" ht="15" hidden="false" customHeight="false" outlineLevel="0" collapsed="false">
      <c r="A123" s="3" t="s">
        <v>153</v>
      </c>
      <c r="B123" s="3" t="n">
        <v>37</v>
      </c>
      <c r="C123" s="3" t="s">
        <v>22</v>
      </c>
      <c r="D123" s="3" t="s">
        <v>27</v>
      </c>
      <c r="E123" s="3" t="s">
        <v>41</v>
      </c>
      <c r="F123" s="3" t="n">
        <v>0.3</v>
      </c>
      <c r="G123" s="3" t="n">
        <v>7317.74</v>
      </c>
      <c r="H123" s="3" t="s">
        <v>19</v>
      </c>
      <c r="I123" s="3" t="n">
        <v>2</v>
      </c>
      <c r="J123" s="3" t="n">
        <v>3</v>
      </c>
      <c r="K123" s="3" t="n">
        <v>8</v>
      </c>
      <c r="L123" s="3" t="n">
        <v>0</v>
      </c>
      <c r="M123" s="3" t="n">
        <v>1</v>
      </c>
      <c r="N123" s="3" t="s">
        <v>19</v>
      </c>
    </row>
    <row r="124" customFormat="false" ht="15" hidden="false" customHeight="false" outlineLevel="0" collapsed="false">
      <c r="A124" s="3" t="s">
        <v>154</v>
      </c>
      <c r="B124" s="3" t="n">
        <v>33</v>
      </c>
      <c r="C124" s="3" t="s">
        <v>22</v>
      </c>
      <c r="D124" s="3" t="s">
        <v>48</v>
      </c>
      <c r="E124" s="3" t="s">
        <v>41</v>
      </c>
      <c r="F124" s="3" t="n">
        <v>9.3</v>
      </c>
      <c r="G124" s="3" t="n">
        <v>11195.33</v>
      </c>
      <c r="H124" s="3" t="s">
        <v>20</v>
      </c>
      <c r="I124" s="3" t="n">
        <v>4</v>
      </c>
      <c r="J124" s="3" t="n">
        <v>4</v>
      </c>
      <c r="K124" s="3" t="n">
        <v>13</v>
      </c>
      <c r="L124" s="3" t="n">
        <v>0</v>
      </c>
      <c r="M124" s="3" t="n">
        <v>2</v>
      </c>
      <c r="N124" s="3" t="s">
        <v>19</v>
      </c>
    </row>
    <row r="125" customFormat="false" ht="15" hidden="false" customHeight="false" outlineLevel="0" collapsed="false">
      <c r="A125" s="3" t="s">
        <v>155</v>
      </c>
      <c r="B125" s="3" t="n">
        <v>36</v>
      </c>
      <c r="C125" s="3" t="s">
        <v>24</v>
      </c>
      <c r="D125" s="3" t="s">
        <v>17</v>
      </c>
      <c r="E125" s="3" t="s">
        <v>28</v>
      </c>
      <c r="F125" s="3" t="n">
        <v>0.3</v>
      </c>
      <c r="G125" s="3" t="n">
        <v>2727.96</v>
      </c>
      <c r="H125" s="3" t="s">
        <v>19</v>
      </c>
      <c r="I125" s="3" t="n">
        <v>3</v>
      </c>
      <c r="J125" s="3" t="n">
        <v>3</v>
      </c>
      <c r="K125" s="3" t="n">
        <v>24</v>
      </c>
      <c r="L125" s="3" t="n">
        <v>0</v>
      </c>
      <c r="M125" s="3" t="n">
        <v>3</v>
      </c>
      <c r="N125" s="3" t="s">
        <v>19</v>
      </c>
    </row>
    <row r="126" customFormat="false" ht="15" hidden="false" customHeight="false" outlineLevel="0" collapsed="false">
      <c r="A126" s="3" t="s">
        <v>156</v>
      </c>
      <c r="B126" s="3" t="n">
        <v>39</v>
      </c>
      <c r="C126" s="3" t="s">
        <v>22</v>
      </c>
      <c r="D126" s="3" t="s">
        <v>27</v>
      </c>
      <c r="E126" s="3" t="s">
        <v>18</v>
      </c>
      <c r="F126" s="3" t="n">
        <v>1.9</v>
      </c>
      <c r="G126" s="3" t="n">
        <v>7410.1</v>
      </c>
      <c r="H126" s="3" t="s">
        <v>20</v>
      </c>
      <c r="I126" s="3" t="n">
        <v>3</v>
      </c>
      <c r="J126" s="3" t="n">
        <v>2</v>
      </c>
      <c r="K126" s="3" t="n">
        <v>7</v>
      </c>
      <c r="L126" s="3" t="n">
        <v>1</v>
      </c>
      <c r="M126" s="3" t="n">
        <v>4</v>
      </c>
      <c r="N126" s="3" t="s">
        <v>19</v>
      </c>
    </row>
    <row r="127" customFormat="false" ht="15" hidden="false" customHeight="false" outlineLevel="0" collapsed="false">
      <c r="A127" s="3" t="s">
        <v>157</v>
      </c>
      <c r="B127" s="3" t="n">
        <v>22</v>
      </c>
      <c r="C127" s="3" t="s">
        <v>24</v>
      </c>
      <c r="D127" s="3" t="s">
        <v>17</v>
      </c>
      <c r="E127" s="3" t="s">
        <v>28</v>
      </c>
      <c r="F127" s="3" t="n">
        <v>1</v>
      </c>
      <c r="G127" s="3" t="n">
        <v>3333.12</v>
      </c>
      <c r="H127" s="3" t="s">
        <v>19</v>
      </c>
      <c r="I127" s="3" t="n">
        <v>2</v>
      </c>
      <c r="J127" s="3" t="n">
        <v>3</v>
      </c>
      <c r="K127" s="3" t="n">
        <v>2</v>
      </c>
      <c r="L127" s="3" t="n">
        <v>1</v>
      </c>
      <c r="M127" s="3" t="n">
        <v>3</v>
      </c>
      <c r="N127" s="3" t="s">
        <v>20</v>
      </c>
    </row>
    <row r="128" customFormat="false" ht="15" hidden="false" customHeight="false" outlineLevel="0" collapsed="false">
      <c r="A128" s="3" t="s">
        <v>158</v>
      </c>
      <c r="B128" s="3" t="n">
        <v>36</v>
      </c>
      <c r="C128" s="3" t="s">
        <v>22</v>
      </c>
      <c r="D128" s="3" t="s">
        <v>17</v>
      </c>
      <c r="E128" s="3" t="s">
        <v>24</v>
      </c>
      <c r="F128" s="3" t="n">
        <v>0.4</v>
      </c>
      <c r="G128" s="3" t="n">
        <v>2832.2</v>
      </c>
      <c r="H128" s="3" t="s">
        <v>19</v>
      </c>
      <c r="I128" s="3" t="n">
        <v>3</v>
      </c>
      <c r="J128" s="3" t="n">
        <v>1</v>
      </c>
      <c r="K128" s="3" t="n">
        <v>5</v>
      </c>
      <c r="L128" s="3" t="n">
        <v>0</v>
      </c>
      <c r="M128" s="3" t="n">
        <v>1</v>
      </c>
      <c r="N128" s="3" t="s">
        <v>19</v>
      </c>
    </row>
    <row r="129" customFormat="false" ht="15" hidden="false" customHeight="false" outlineLevel="0" collapsed="false">
      <c r="A129" s="3" t="s">
        <v>159</v>
      </c>
      <c r="B129" s="3" t="n">
        <v>23</v>
      </c>
      <c r="C129" s="3" t="s">
        <v>26</v>
      </c>
      <c r="D129" s="3" t="s">
        <v>17</v>
      </c>
      <c r="E129" s="3" t="s">
        <v>41</v>
      </c>
      <c r="F129" s="3" t="n">
        <v>0.2</v>
      </c>
      <c r="G129" s="3" t="n">
        <v>3538.07</v>
      </c>
      <c r="H129" s="3" t="s">
        <v>19</v>
      </c>
      <c r="I129" s="3" t="n">
        <v>1</v>
      </c>
      <c r="J129" s="3" t="n">
        <v>3</v>
      </c>
      <c r="K129" s="3" t="n">
        <v>14</v>
      </c>
      <c r="L129" s="3" t="n">
        <v>0</v>
      </c>
      <c r="M129" s="3" t="n">
        <v>1</v>
      </c>
      <c r="N129" s="3" t="s">
        <v>19</v>
      </c>
    </row>
    <row r="130" customFormat="false" ht="15" hidden="false" customHeight="false" outlineLevel="0" collapsed="false">
      <c r="A130" s="3" t="s">
        <v>160</v>
      </c>
      <c r="B130" s="3" t="n">
        <v>21</v>
      </c>
      <c r="C130" s="3" t="s">
        <v>26</v>
      </c>
      <c r="D130" s="3" t="s">
        <v>17</v>
      </c>
      <c r="E130" s="3" t="s">
        <v>24</v>
      </c>
      <c r="F130" s="3" t="n">
        <v>0</v>
      </c>
      <c r="G130" s="3" t="n">
        <v>2960.28</v>
      </c>
      <c r="H130" s="3" t="s">
        <v>20</v>
      </c>
      <c r="I130" s="3" t="n">
        <v>3</v>
      </c>
      <c r="J130" s="3" t="n">
        <v>2</v>
      </c>
      <c r="K130" s="3" t="n">
        <v>12</v>
      </c>
      <c r="L130" s="3" t="n">
        <v>0</v>
      </c>
      <c r="M130" s="3" t="n">
        <v>1</v>
      </c>
      <c r="N130" s="3" t="s">
        <v>20</v>
      </c>
    </row>
    <row r="131" customFormat="false" ht="15" hidden="false" customHeight="false" outlineLevel="0" collapsed="false">
      <c r="A131" s="3" t="s">
        <v>161</v>
      </c>
      <c r="B131" s="3" t="n">
        <v>35</v>
      </c>
      <c r="C131" s="3" t="s">
        <v>32</v>
      </c>
      <c r="D131" s="3" t="s">
        <v>48</v>
      </c>
      <c r="E131" s="3" t="s">
        <v>18</v>
      </c>
      <c r="F131" s="3" t="n">
        <v>8.3</v>
      </c>
      <c r="G131" s="3" t="n">
        <v>10295.51</v>
      </c>
      <c r="H131" s="3" t="s">
        <v>19</v>
      </c>
      <c r="I131" s="3" t="n">
        <v>4</v>
      </c>
      <c r="J131" s="3" t="n">
        <v>4</v>
      </c>
      <c r="K131" s="3" t="n">
        <v>2</v>
      </c>
      <c r="L131" s="3" t="n">
        <v>3</v>
      </c>
      <c r="M131" s="3" t="n">
        <v>3</v>
      </c>
      <c r="N131" s="3" t="s">
        <v>19</v>
      </c>
    </row>
    <row r="132" customFormat="false" ht="15" hidden="false" customHeight="false" outlineLevel="0" collapsed="false">
      <c r="A132" s="3" t="s">
        <v>162</v>
      </c>
      <c r="B132" s="3" t="n">
        <v>47</v>
      </c>
      <c r="C132" s="3" t="s">
        <v>22</v>
      </c>
      <c r="D132" s="3" t="s">
        <v>27</v>
      </c>
      <c r="E132" s="3" t="s">
        <v>28</v>
      </c>
      <c r="F132" s="3" t="n">
        <v>3.5</v>
      </c>
      <c r="G132" s="3" t="n">
        <v>6287.14</v>
      </c>
      <c r="H132" s="3" t="s">
        <v>20</v>
      </c>
      <c r="I132" s="3" t="n">
        <v>3</v>
      </c>
      <c r="J132" s="3" t="n">
        <v>4</v>
      </c>
      <c r="K132" s="3" t="n">
        <v>2</v>
      </c>
      <c r="L132" s="3" t="n">
        <v>3</v>
      </c>
      <c r="M132" s="3" t="n">
        <v>1</v>
      </c>
      <c r="N132" s="3" t="s">
        <v>19</v>
      </c>
    </row>
    <row r="133" customFormat="false" ht="15" hidden="false" customHeight="false" outlineLevel="0" collapsed="false">
      <c r="A133" s="3" t="s">
        <v>163</v>
      </c>
      <c r="B133" s="3" t="n">
        <v>44</v>
      </c>
      <c r="C133" s="3" t="s">
        <v>26</v>
      </c>
      <c r="D133" s="3" t="s">
        <v>17</v>
      </c>
      <c r="E133" s="3" t="s">
        <v>41</v>
      </c>
      <c r="F133" s="3" t="n">
        <v>1.5</v>
      </c>
      <c r="G133" s="3" t="n">
        <v>2874.45</v>
      </c>
      <c r="H133" s="3" t="s">
        <v>20</v>
      </c>
      <c r="I133" s="3" t="n">
        <v>3</v>
      </c>
      <c r="J133" s="3" t="n">
        <v>1</v>
      </c>
      <c r="K133" s="3" t="n">
        <v>9</v>
      </c>
      <c r="L133" s="3" t="n">
        <v>1</v>
      </c>
      <c r="M133" s="3" t="n">
        <v>3</v>
      </c>
      <c r="N133" s="3" t="s">
        <v>20</v>
      </c>
    </row>
    <row r="134" customFormat="false" ht="15" hidden="false" customHeight="false" outlineLevel="0" collapsed="false">
      <c r="A134" s="3" t="s">
        <v>164</v>
      </c>
      <c r="B134" s="3" t="n">
        <v>21</v>
      </c>
      <c r="C134" s="3" t="s">
        <v>22</v>
      </c>
      <c r="D134" s="3" t="s">
        <v>27</v>
      </c>
      <c r="E134" s="3" t="s">
        <v>41</v>
      </c>
      <c r="F134" s="3" t="n">
        <v>0</v>
      </c>
      <c r="G134" s="3" t="n">
        <v>6846.78</v>
      </c>
      <c r="H134" s="3" t="s">
        <v>20</v>
      </c>
      <c r="I134" s="3" t="n">
        <v>1</v>
      </c>
      <c r="J134" s="3" t="n">
        <v>2</v>
      </c>
      <c r="K134" s="3" t="n">
        <v>1</v>
      </c>
      <c r="L134" s="3" t="n">
        <v>0</v>
      </c>
      <c r="M134" s="3" t="n">
        <v>5</v>
      </c>
      <c r="N134" s="3" t="s">
        <v>20</v>
      </c>
    </row>
    <row r="135" customFormat="false" ht="15" hidden="false" customHeight="false" outlineLevel="0" collapsed="false">
      <c r="A135" s="3" t="s">
        <v>165</v>
      </c>
      <c r="B135" s="3" t="n">
        <v>47</v>
      </c>
      <c r="C135" s="3" t="s">
        <v>26</v>
      </c>
      <c r="D135" s="3" t="s">
        <v>23</v>
      </c>
      <c r="E135" s="3" t="s">
        <v>41</v>
      </c>
      <c r="F135" s="3" t="n">
        <v>2.9</v>
      </c>
      <c r="G135" s="3" t="n">
        <v>5484.38</v>
      </c>
      <c r="H135" s="3" t="s">
        <v>20</v>
      </c>
      <c r="I135" s="3" t="n">
        <v>3</v>
      </c>
      <c r="J135" s="3" t="n">
        <v>2</v>
      </c>
      <c r="K135" s="3" t="n">
        <v>2</v>
      </c>
      <c r="L135" s="3" t="n">
        <v>1</v>
      </c>
      <c r="M135" s="3" t="n">
        <v>3</v>
      </c>
      <c r="N135" s="3" t="s">
        <v>20</v>
      </c>
    </row>
    <row r="136" customFormat="false" ht="15" hidden="false" customHeight="false" outlineLevel="0" collapsed="false">
      <c r="A136" s="3" t="s">
        <v>166</v>
      </c>
      <c r="B136" s="3" t="n">
        <v>38</v>
      </c>
      <c r="C136" s="3" t="s">
        <v>24</v>
      </c>
      <c r="D136" s="3" t="s">
        <v>17</v>
      </c>
      <c r="E136" s="3" t="s">
        <v>28</v>
      </c>
      <c r="F136" s="3" t="n">
        <v>0.5</v>
      </c>
      <c r="G136" s="3" t="n">
        <v>3647.98</v>
      </c>
      <c r="H136" s="3" t="s">
        <v>19</v>
      </c>
      <c r="I136" s="3" t="n">
        <v>1</v>
      </c>
      <c r="J136" s="3" t="n">
        <v>4</v>
      </c>
      <c r="K136" s="3" t="n">
        <v>7</v>
      </c>
      <c r="L136" s="3" t="n">
        <v>0</v>
      </c>
      <c r="M136" s="3" t="n">
        <v>4</v>
      </c>
      <c r="N136" s="3" t="s">
        <v>19</v>
      </c>
    </row>
    <row r="137" customFormat="false" ht="15" hidden="false" customHeight="false" outlineLevel="0" collapsed="false">
      <c r="A137" s="3" t="s">
        <v>167</v>
      </c>
      <c r="B137" s="3" t="n">
        <v>35</v>
      </c>
      <c r="C137" s="3" t="s">
        <v>24</v>
      </c>
      <c r="D137" s="3" t="s">
        <v>17</v>
      </c>
      <c r="E137" s="3" t="s">
        <v>28</v>
      </c>
      <c r="F137" s="3" t="n">
        <v>10.4</v>
      </c>
      <c r="G137" s="4"/>
      <c r="H137" s="3" t="s">
        <v>19</v>
      </c>
      <c r="I137" s="3" t="n">
        <v>2</v>
      </c>
      <c r="J137" s="3" t="n">
        <v>2</v>
      </c>
      <c r="K137" s="3" t="n">
        <v>7</v>
      </c>
      <c r="L137" s="3" t="n">
        <v>0</v>
      </c>
      <c r="M137" s="3" t="n">
        <v>2</v>
      </c>
      <c r="N137" s="3" t="s">
        <v>19</v>
      </c>
    </row>
    <row r="138" customFormat="false" ht="15" hidden="false" customHeight="false" outlineLevel="0" collapsed="false">
      <c r="A138" s="3" t="s">
        <v>168</v>
      </c>
      <c r="B138" s="3" t="n">
        <v>21</v>
      </c>
      <c r="C138" s="3" t="s">
        <v>16</v>
      </c>
      <c r="D138" s="3" t="s">
        <v>17</v>
      </c>
      <c r="E138" s="3" t="s">
        <v>18</v>
      </c>
      <c r="F138" s="3" t="n">
        <v>0</v>
      </c>
      <c r="G138" s="3" t="n">
        <v>3340.46</v>
      </c>
      <c r="H138" s="3" t="s">
        <v>19</v>
      </c>
      <c r="I138" s="3" t="n">
        <v>2</v>
      </c>
      <c r="J138" s="3" t="n">
        <v>4</v>
      </c>
      <c r="K138" s="3" t="n">
        <v>1</v>
      </c>
      <c r="L138" s="3" t="n">
        <v>0</v>
      </c>
      <c r="M138" s="3" t="n">
        <v>3</v>
      </c>
      <c r="N138" s="3" t="s">
        <v>19</v>
      </c>
    </row>
    <row r="139" customFormat="false" ht="15" hidden="false" customHeight="false" outlineLevel="0" collapsed="false">
      <c r="A139" s="3" t="s">
        <v>169</v>
      </c>
      <c r="B139" s="3" t="n">
        <v>35</v>
      </c>
      <c r="C139" s="3" t="s">
        <v>32</v>
      </c>
      <c r="D139" s="3" t="s">
        <v>17</v>
      </c>
      <c r="E139" s="3" t="s">
        <v>24</v>
      </c>
      <c r="F139" s="3" t="n">
        <v>9</v>
      </c>
      <c r="G139" s="3" t="n">
        <v>3226.19</v>
      </c>
      <c r="H139" s="3" t="s">
        <v>19</v>
      </c>
      <c r="I139" s="3" t="n">
        <v>3</v>
      </c>
      <c r="J139" s="3" t="n">
        <v>4</v>
      </c>
      <c r="K139" s="3" t="n">
        <v>1</v>
      </c>
      <c r="L139" s="3" t="n">
        <v>2</v>
      </c>
      <c r="M139" s="3" t="n">
        <v>3</v>
      </c>
      <c r="N139" s="3" t="s">
        <v>19</v>
      </c>
    </row>
    <row r="140" customFormat="false" ht="15" hidden="false" customHeight="false" outlineLevel="0" collapsed="false">
      <c r="A140" s="3" t="s">
        <v>170</v>
      </c>
      <c r="B140" s="3" t="n">
        <v>34</v>
      </c>
      <c r="C140" s="3" t="s">
        <v>16</v>
      </c>
      <c r="D140" s="3" t="s">
        <v>17</v>
      </c>
      <c r="E140" s="3" t="s">
        <v>41</v>
      </c>
      <c r="F140" s="3" t="n">
        <v>1.4</v>
      </c>
      <c r="G140" s="3" t="n">
        <v>3328.93</v>
      </c>
      <c r="H140" s="3" t="s">
        <v>20</v>
      </c>
      <c r="I140" s="3" t="n">
        <v>1</v>
      </c>
      <c r="J140" s="3" t="n">
        <v>1</v>
      </c>
      <c r="K140" s="3" t="n">
        <v>8</v>
      </c>
      <c r="L140" s="3" t="n">
        <v>0</v>
      </c>
      <c r="M140" s="3" t="n">
        <v>2</v>
      </c>
      <c r="N140" s="3" t="s">
        <v>20</v>
      </c>
    </row>
    <row r="141" customFormat="false" ht="15" hidden="false" customHeight="false" outlineLevel="0" collapsed="false">
      <c r="A141" s="3" t="s">
        <v>171</v>
      </c>
      <c r="B141" s="3" t="n">
        <v>31</v>
      </c>
      <c r="C141" s="3" t="s">
        <v>24</v>
      </c>
      <c r="D141" s="3" t="s">
        <v>23</v>
      </c>
      <c r="E141" s="3" t="s">
        <v>24</v>
      </c>
      <c r="F141" s="3" t="n">
        <v>1.6</v>
      </c>
      <c r="G141" s="3" t="n">
        <v>5385.84</v>
      </c>
      <c r="H141" s="3" t="s">
        <v>19</v>
      </c>
      <c r="I141" s="3" t="n">
        <v>2</v>
      </c>
      <c r="J141" s="3" t="n">
        <v>4</v>
      </c>
      <c r="K141" s="3" t="n">
        <v>1</v>
      </c>
      <c r="L141" s="3" t="n">
        <v>1</v>
      </c>
      <c r="M141" s="3" t="n">
        <v>3</v>
      </c>
      <c r="N141" s="3" t="s">
        <v>19</v>
      </c>
    </row>
    <row r="142" customFormat="false" ht="15" hidden="false" customHeight="false" outlineLevel="0" collapsed="false">
      <c r="A142" s="3" t="s">
        <v>172</v>
      </c>
      <c r="B142" s="3" t="n">
        <v>28</v>
      </c>
      <c r="C142" s="3" t="s">
        <v>26</v>
      </c>
      <c r="D142" s="3" t="s">
        <v>23</v>
      </c>
      <c r="E142" s="3" t="s">
        <v>18</v>
      </c>
      <c r="F142" s="3" t="n">
        <v>6.1</v>
      </c>
      <c r="G142" s="3" t="n">
        <v>5732.86</v>
      </c>
      <c r="H142" s="3" t="s">
        <v>20</v>
      </c>
      <c r="I142" s="3" t="n">
        <v>3</v>
      </c>
      <c r="J142" s="3" t="n">
        <v>3</v>
      </c>
      <c r="K142" s="3" t="n">
        <v>12</v>
      </c>
      <c r="L142" s="3" t="n">
        <v>3</v>
      </c>
      <c r="M142" s="3" t="n">
        <v>3</v>
      </c>
      <c r="N142" s="3" t="s">
        <v>19</v>
      </c>
    </row>
    <row r="143" customFormat="false" ht="15" hidden="false" customHeight="false" outlineLevel="0" collapsed="false">
      <c r="A143" s="3" t="s">
        <v>173</v>
      </c>
      <c r="B143" s="3" t="n">
        <v>31</v>
      </c>
      <c r="C143" s="3" t="s">
        <v>16</v>
      </c>
      <c r="D143" s="3" t="s">
        <v>17</v>
      </c>
      <c r="E143" s="3" t="s">
        <v>41</v>
      </c>
      <c r="F143" s="3" t="n">
        <v>3.7</v>
      </c>
      <c r="G143" s="3" t="n">
        <v>3059.05</v>
      </c>
      <c r="H143" s="3" t="s">
        <v>19</v>
      </c>
      <c r="I143" s="3" t="n">
        <v>3</v>
      </c>
      <c r="J143" s="3" t="n">
        <v>3</v>
      </c>
      <c r="K143" s="3" t="n">
        <v>1</v>
      </c>
      <c r="L143" s="3" t="n">
        <v>2</v>
      </c>
      <c r="M143" s="3" t="n">
        <v>2</v>
      </c>
      <c r="N143" s="3" t="s">
        <v>19</v>
      </c>
    </row>
    <row r="144" customFormat="false" ht="15" hidden="false" customHeight="false" outlineLevel="0" collapsed="false">
      <c r="A144" s="3" t="s">
        <v>174</v>
      </c>
      <c r="B144" s="3" t="n">
        <v>38</v>
      </c>
      <c r="C144" s="3" t="s">
        <v>22</v>
      </c>
      <c r="D144" s="3" t="s">
        <v>23</v>
      </c>
      <c r="E144" s="3" t="s">
        <v>24</v>
      </c>
      <c r="F144" s="3" t="n">
        <v>1.5</v>
      </c>
      <c r="G144" s="3" t="n">
        <v>5635.63</v>
      </c>
      <c r="H144" s="3" t="s">
        <v>20</v>
      </c>
      <c r="I144" s="3" t="n">
        <v>2</v>
      </c>
      <c r="J144" s="3" t="n">
        <v>3</v>
      </c>
      <c r="K144" s="3" t="n">
        <v>1</v>
      </c>
      <c r="L144" s="3" t="n">
        <v>0</v>
      </c>
      <c r="M144" s="3" t="n">
        <v>3</v>
      </c>
      <c r="N144" s="3" t="s">
        <v>20</v>
      </c>
    </row>
    <row r="145" customFormat="false" ht="15" hidden="false" customHeight="false" outlineLevel="0" collapsed="false">
      <c r="A145" s="3" t="s">
        <v>175</v>
      </c>
      <c r="B145" s="3" t="n">
        <v>33</v>
      </c>
      <c r="C145" s="3" t="s">
        <v>24</v>
      </c>
      <c r="D145" s="3" t="s">
        <v>23</v>
      </c>
      <c r="E145" s="3" t="s">
        <v>28</v>
      </c>
      <c r="F145" s="3" t="n">
        <v>6.7</v>
      </c>
      <c r="G145" s="3" t="n">
        <v>5053.82</v>
      </c>
      <c r="H145" s="3" t="s">
        <v>20</v>
      </c>
      <c r="I145" s="3" t="n">
        <v>3</v>
      </c>
      <c r="J145" s="3" t="n">
        <v>2</v>
      </c>
      <c r="K145" s="3" t="n">
        <v>1</v>
      </c>
      <c r="L145" s="3" t="n">
        <v>1</v>
      </c>
      <c r="M145" s="3" t="n">
        <v>0</v>
      </c>
      <c r="N145" s="3" t="s">
        <v>20</v>
      </c>
    </row>
    <row r="146" customFormat="false" ht="15" hidden="false" customHeight="false" outlineLevel="0" collapsed="false">
      <c r="A146" s="3" t="s">
        <v>176</v>
      </c>
      <c r="B146" s="3" t="n">
        <v>24</v>
      </c>
      <c r="C146" s="3" t="s">
        <v>22</v>
      </c>
      <c r="D146" s="3" t="s">
        <v>27</v>
      </c>
      <c r="E146" s="3" t="s">
        <v>28</v>
      </c>
      <c r="F146" s="3" t="n">
        <v>1.1</v>
      </c>
      <c r="G146" s="3" t="n">
        <v>7216.61</v>
      </c>
      <c r="H146" s="3" t="s">
        <v>20</v>
      </c>
      <c r="I146" s="3" t="n">
        <v>2</v>
      </c>
      <c r="J146" s="3" t="n">
        <v>2</v>
      </c>
      <c r="K146" s="3" t="n">
        <v>22</v>
      </c>
      <c r="L146" s="3" t="n">
        <v>0</v>
      </c>
      <c r="M146" s="3" t="n">
        <v>5</v>
      </c>
      <c r="N146" s="3" t="s">
        <v>20</v>
      </c>
    </row>
    <row r="147" customFormat="false" ht="15" hidden="false" customHeight="false" outlineLevel="0" collapsed="false">
      <c r="A147" s="3" t="s">
        <v>177</v>
      </c>
      <c r="B147" s="3" t="n">
        <v>32</v>
      </c>
      <c r="C147" s="3" t="s">
        <v>16</v>
      </c>
      <c r="D147" s="3" t="s">
        <v>17</v>
      </c>
      <c r="E147" s="3" t="s">
        <v>41</v>
      </c>
      <c r="F147" s="3" t="n">
        <v>2.8</v>
      </c>
      <c r="G147" s="3" t="n">
        <v>3226.7</v>
      </c>
      <c r="H147" s="3" t="s">
        <v>19</v>
      </c>
      <c r="I147" s="3" t="n">
        <v>2</v>
      </c>
      <c r="J147" s="3" t="n">
        <v>3</v>
      </c>
      <c r="K147" s="3" t="n">
        <v>1</v>
      </c>
      <c r="L147" s="3" t="n">
        <v>0</v>
      </c>
      <c r="M147" s="3" t="n">
        <v>1</v>
      </c>
      <c r="N147" s="3" t="s">
        <v>19</v>
      </c>
    </row>
    <row r="148" customFormat="false" ht="15" hidden="false" customHeight="false" outlineLevel="0" collapsed="false">
      <c r="A148" s="3" t="s">
        <v>178</v>
      </c>
      <c r="B148" s="3" t="n">
        <v>29</v>
      </c>
      <c r="C148" s="3" t="s">
        <v>22</v>
      </c>
      <c r="D148" s="3" t="s">
        <v>17</v>
      </c>
      <c r="E148" s="3" t="s">
        <v>28</v>
      </c>
      <c r="F148" s="3" t="n">
        <v>3.7</v>
      </c>
      <c r="G148" s="3" t="n">
        <v>3730.34</v>
      </c>
      <c r="H148" s="3" t="s">
        <v>19</v>
      </c>
      <c r="I148" s="3" t="n">
        <v>3</v>
      </c>
      <c r="J148" s="3" t="n">
        <v>3</v>
      </c>
      <c r="K148" s="3" t="n">
        <v>4</v>
      </c>
      <c r="L148" s="3" t="n">
        <v>1</v>
      </c>
      <c r="M148" s="3" t="n">
        <v>2</v>
      </c>
      <c r="N148" s="3" t="s">
        <v>19</v>
      </c>
    </row>
    <row r="149" customFormat="false" ht="15" hidden="false" customHeight="false" outlineLevel="0" collapsed="false">
      <c r="A149" s="3" t="s">
        <v>179</v>
      </c>
      <c r="B149" s="3" t="n">
        <v>39</v>
      </c>
      <c r="C149" s="3" t="s">
        <v>22</v>
      </c>
      <c r="D149" s="3" t="s">
        <v>27</v>
      </c>
      <c r="E149" s="3" t="s">
        <v>18</v>
      </c>
      <c r="F149" s="3" t="n">
        <v>2.7</v>
      </c>
      <c r="G149" s="3" t="n">
        <v>6848.28</v>
      </c>
      <c r="H149" s="3" t="s">
        <v>19</v>
      </c>
      <c r="I149" s="3" t="n">
        <v>2</v>
      </c>
      <c r="J149" s="3" t="n">
        <v>3</v>
      </c>
      <c r="K149" s="3" t="n">
        <v>6</v>
      </c>
      <c r="L149" s="3" t="n">
        <v>0</v>
      </c>
      <c r="M149" s="3" t="n">
        <v>2</v>
      </c>
      <c r="N149" s="3" t="s">
        <v>19</v>
      </c>
    </row>
    <row r="150" customFormat="false" ht="15" hidden="false" customHeight="false" outlineLevel="0" collapsed="false">
      <c r="A150" s="3" t="s">
        <v>180</v>
      </c>
      <c r="B150" s="3" t="n">
        <v>37</v>
      </c>
      <c r="C150" s="3" t="s">
        <v>16</v>
      </c>
      <c r="D150" s="3" t="s">
        <v>17</v>
      </c>
      <c r="E150" s="3" t="s">
        <v>41</v>
      </c>
      <c r="F150" s="3" t="n">
        <v>3.4</v>
      </c>
      <c r="G150" s="3" t="n">
        <v>3283.91</v>
      </c>
      <c r="H150" s="3" t="s">
        <v>19</v>
      </c>
      <c r="I150" s="3" t="n">
        <v>3</v>
      </c>
      <c r="J150" s="3" t="n">
        <v>3</v>
      </c>
      <c r="K150" s="3" t="n">
        <v>3</v>
      </c>
      <c r="L150" s="3" t="n">
        <v>0</v>
      </c>
      <c r="M150" s="3" t="n">
        <v>3</v>
      </c>
      <c r="N150" s="3" t="s">
        <v>19</v>
      </c>
    </row>
    <row r="151" customFormat="false" ht="15" hidden="false" customHeight="false" outlineLevel="0" collapsed="false">
      <c r="A151" s="3" t="s">
        <v>181</v>
      </c>
      <c r="B151" s="3" t="n">
        <v>35</v>
      </c>
      <c r="C151" s="3" t="s">
        <v>26</v>
      </c>
      <c r="D151" s="3" t="s">
        <v>23</v>
      </c>
      <c r="E151" s="3" t="s">
        <v>24</v>
      </c>
      <c r="F151" s="3" t="n">
        <v>0.8</v>
      </c>
      <c r="G151" s="3" t="n">
        <v>5674.56</v>
      </c>
      <c r="H151" s="3" t="s">
        <v>19</v>
      </c>
      <c r="I151" s="3" t="n">
        <v>3</v>
      </c>
      <c r="J151" s="3" t="n">
        <v>3</v>
      </c>
      <c r="K151" s="3" t="n">
        <v>14</v>
      </c>
      <c r="L151" s="3" t="n">
        <v>0</v>
      </c>
      <c r="M151" s="3" t="n">
        <v>1</v>
      </c>
      <c r="N151" s="3" t="s">
        <v>19</v>
      </c>
    </row>
    <row r="152" customFormat="false" ht="15" hidden="false" customHeight="false" outlineLevel="0" collapsed="false">
      <c r="A152" s="3" t="s">
        <v>182</v>
      </c>
      <c r="B152" s="3" t="n">
        <v>37</v>
      </c>
      <c r="C152" s="3" t="s">
        <v>16</v>
      </c>
      <c r="D152" s="3" t="s">
        <v>17</v>
      </c>
      <c r="E152" s="3" t="s">
        <v>28</v>
      </c>
      <c r="F152" s="3" t="n">
        <v>2.3</v>
      </c>
      <c r="G152" s="3" t="n">
        <v>2915.62</v>
      </c>
      <c r="H152" s="3" t="s">
        <v>19</v>
      </c>
      <c r="I152" s="3" t="n">
        <v>4</v>
      </c>
      <c r="J152" s="3" t="n">
        <v>3</v>
      </c>
      <c r="K152" s="3" t="n">
        <v>11</v>
      </c>
      <c r="L152" s="3" t="n">
        <v>2</v>
      </c>
      <c r="M152" s="3" t="n">
        <v>3</v>
      </c>
      <c r="N152" s="3" t="s">
        <v>19</v>
      </c>
    </row>
    <row r="153" customFormat="false" ht="15" hidden="false" customHeight="false" outlineLevel="0" collapsed="false">
      <c r="A153" s="3" t="s">
        <v>183</v>
      </c>
      <c r="B153" s="3" t="n">
        <v>40</v>
      </c>
      <c r="C153" s="3" t="s">
        <v>26</v>
      </c>
      <c r="D153" s="3" t="s">
        <v>27</v>
      </c>
      <c r="E153" s="3" t="s">
        <v>41</v>
      </c>
      <c r="F153" s="3" t="n">
        <v>8.9</v>
      </c>
      <c r="G153" s="3" t="n">
        <v>8327.29</v>
      </c>
      <c r="H153" s="3" t="s">
        <v>20</v>
      </c>
      <c r="I153" s="3" t="n">
        <v>3</v>
      </c>
      <c r="J153" s="3" t="n">
        <v>3</v>
      </c>
      <c r="K153" s="3" t="n">
        <v>10</v>
      </c>
      <c r="L153" s="3" t="n">
        <v>1</v>
      </c>
      <c r="M153" s="3" t="n">
        <v>3</v>
      </c>
      <c r="N153" s="3" t="s">
        <v>20</v>
      </c>
    </row>
    <row r="154" customFormat="false" ht="15" hidden="false" customHeight="false" outlineLevel="0" collapsed="false">
      <c r="A154" s="3" t="s">
        <v>184</v>
      </c>
      <c r="B154" s="3" t="n">
        <v>37</v>
      </c>
      <c r="C154" s="3" t="s">
        <v>32</v>
      </c>
      <c r="D154" s="3" t="s">
        <v>27</v>
      </c>
      <c r="E154" s="3" t="s">
        <v>41</v>
      </c>
      <c r="F154" s="3" t="n">
        <v>1.9</v>
      </c>
      <c r="G154" s="3" t="n">
        <v>7666.42</v>
      </c>
      <c r="H154" s="3" t="s">
        <v>19</v>
      </c>
      <c r="I154" s="3" t="n">
        <v>1</v>
      </c>
      <c r="J154" s="3" t="n">
        <v>2</v>
      </c>
      <c r="K154" s="3" t="n">
        <v>2</v>
      </c>
      <c r="L154" s="3" t="n">
        <v>1</v>
      </c>
      <c r="M154" s="3" t="n">
        <v>1</v>
      </c>
      <c r="N154" s="3" t="s">
        <v>20</v>
      </c>
    </row>
    <row r="155" customFormat="false" ht="15" hidden="false" customHeight="false" outlineLevel="0" collapsed="false">
      <c r="A155" s="3" t="s">
        <v>185</v>
      </c>
      <c r="B155" s="3" t="n">
        <v>32</v>
      </c>
      <c r="C155" s="3" t="s">
        <v>22</v>
      </c>
      <c r="D155" s="3" t="s">
        <v>27</v>
      </c>
      <c r="E155" s="3" t="s">
        <v>28</v>
      </c>
      <c r="F155" s="3" t="n">
        <v>0.6</v>
      </c>
      <c r="G155" s="3" t="n">
        <v>8427.3</v>
      </c>
      <c r="H155" s="3" t="s">
        <v>19</v>
      </c>
      <c r="I155" s="3" t="n">
        <v>4</v>
      </c>
      <c r="J155" s="3" t="n">
        <v>4</v>
      </c>
      <c r="K155" s="3" t="n">
        <v>27</v>
      </c>
      <c r="L155" s="3" t="n">
        <v>0</v>
      </c>
      <c r="M155" s="3" t="n">
        <v>2</v>
      </c>
      <c r="N155" s="3" t="s">
        <v>19</v>
      </c>
    </row>
    <row r="156" customFormat="false" ht="15" hidden="false" customHeight="false" outlineLevel="0" collapsed="false">
      <c r="A156" s="3" t="s">
        <v>186</v>
      </c>
      <c r="B156" s="3" t="n">
        <v>31</v>
      </c>
      <c r="C156" s="3" t="s">
        <v>22</v>
      </c>
      <c r="D156" s="3" t="s">
        <v>27</v>
      </c>
      <c r="E156" s="3" t="s">
        <v>41</v>
      </c>
      <c r="F156" s="3" t="n">
        <v>4.8</v>
      </c>
      <c r="G156" s="3" t="n">
        <v>7120.37</v>
      </c>
      <c r="H156" s="3" t="s">
        <v>20</v>
      </c>
      <c r="I156" s="3" t="n">
        <v>2</v>
      </c>
      <c r="J156" s="3" t="n">
        <v>3</v>
      </c>
      <c r="K156" s="3" t="n">
        <v>2</v>
      </c>
      <c r="L156" s="3" t="n">
        <v>2</v>
      </c>
      <c r="M156" s="3" t="n">
        <v>4</v>
      </c>
      <c r="N156" s="3" t="s">
        <v>20</v>
      </c>
    </row>
    <row r="157" customFormat="false" ht="15" hidden="false" customHeight="false" outlineLevel="0" collapsed="false">
      <c r="A157" s="3" t="s">
        <v>187</v>
      </c>
      <c r="B157" s="3" t="n">
        <v>21</v>
      </c>
      <c r="C157" s="3" t="s">
        <v>45</v>
      </c>
      <c r="D157" s="3" t="s">
        <v>27</v>
      </c>
      <c r="E157" s="3" t="s">
        <v>28</v>
      </c>
      <c r="F157" s="3" t="n">
        <v>0</v>
      </c>
      <c r="G157" s="3" t="n">
        <v>7721.69</v>
      </c>
      <c r="H157" s="3" t="s">
        <v>20</v>
      </c>
      <c r="I157" s="3" t="n">
        <v>3</v>
      </c>
      <c r="J157" s="3" t="n">
        <v>4</v>
      </c>
      <c r="K157" s="3" t="n">
        <v>13</v>
      </c>
      <c r="L157" s="3" t="n">
        <v>0</v>
      </c>
      <c r="M157" s="3" t="n">
        <v>3</v>
      </c>
      <c r="N157" s="3" t="s">
        <v>19</v>
      </c>
    </row>
    <row r="158" customFormat="false" ht="15" hidden="false" customHeight="false" outlineLevel="0" collapsed="false">
      <c r="A158" s="3" t="s">
        <v>188</v>
      </c>
      <c r="B158" s="3" t="n">
        <v>22</v>
      </c>
      <c r="C158" s="3" t="s">
        <v>24</v>
      </c>
      <c r="D158" s="3" t="s">
        <v>27</v>
      </c>
      <c r="E158" s="3" t="s">
        <v>18</v>
      </c>
      <c r="F158" s="3" t="n">
        <v>0.9</v>
      </c>
      <c r="G158" s="3" t="n">
        <v>7903.51</v>
      </c>
      <c r="H158" s="3" t="s">
        <v>19</v>
      </c>
      <c r="I158" s="3" t="n">
        <v>3</v>
      </c>
      <c r="J158" s="3" t="n">
        <v>3</v>
      </c>
      <c r="K158" s="3" t="n">
        <v>11</v>
      </c>
      <c r="L158" s="3" t="n">
        <v>0</v>
      </c>
      <c r="M158" s="3" t="n">
        <v>0</v>
      </c>
      <c r="N158" s="3" t="s">
        <v>19</v>
      </c>
    </row>
    <row r="159" customFormat="false" ht="15" hidden="false" customHeight="false" outlineLevel="0" collapsed="false">
      <c r="A159" s="3" t="s">
        <v>189</v>
      </c>
      <c r="B159" s="3" t="n">
        <v>34</v>
      </c>
      <c r="C159" s="3" t="s">
        <v>32</v>
      </c>
      <c r="D159" s="3" t="s">
        <v>23</v>
      </c>
      <c r="E159" s="3" t="s">
        <v>28</v>
      </c>
      <c r="F159" s="3" t="n">
        <v>3.7</v>
      </c>
      <c r="G159" s="3" t="n">
        <v>4164.8</v>
      </c>
      <c r="H159" s="3" t="s">
        <v>19</v>
      </c>
      <c r="I159" s="3" t="n">
        <v>3</v>
      </c>
      <c r="J159" s="3" t="n">
        <v>3</v>
      </c>
      <c r="K159" s="3" t="n">
        <v>3</v>
      </c>
      <c r="L159" s="3" t="n">
        <v>1</v>
      </c>
      <c r="M159" s="3" t="n">
        <v>0</v>
      </c>
      <c r="N159" s="3" t="s">
        <v>19</v>
      </c>
    </row>
    <row r="160" customFormat="false" ht="15" hidden="false" customHeight="false" outlineLevel="0" collapsed="false">
      <c r="A160" s="3" t="s">
        <v>190</v>
      </c>
      <c r="B160" s="3" t="n">
        <v>25</v>
      </c>
      <c r="C160" s="3" t="s">
        <v>22</v>
      </c>
      <c r="D160" s="3" t="s">
        <v>17</v>
      </c>
      <c r="E160" s="3" t="s">
        <v>24</v>
      </c>
      <c r="F160" s="3" t="n">
        <v>2.2</v>
      </c>
      <c r="G160" s="3" t="n">
        <v>3066.55</v>
      </c>
      <c r="H160" s="3" t="s">
        <v>20</v>
      </c>
      <c r="I160" s="3" t="n">
        <v>2</v>
      </c>
      <c r="J160" s="3" t="n">
        <v>2</v>
      </c>
      <c r="K160" s="3" t="n">
        <v>8</v>
      </c>
      <c r="L160" s="3" t="n">
        <v>2</v>
      </c>
      <c r="M160" s="3" t="n">
        <v>1</v>
      </c>
      <c r="N160" s="3" t="s">
        <v>19</v>
      </c>
    </row>
    <row r="161" customFormat="false" ht="15" hidden="false" customHeight="false" outlineLevel="0" collapsed="false">
      <c r="A161" s="3" t="s">
        <v>191</v>
      </c>
      <c r="B161" s="3" t="n">
        <v>31</v>
      </c>
      <c r="C161" s="3" t="s">
        <v>24</v>
      </c>
      <c r="D161" s="3" t="s">
        <v>23</v>
      </c>
      <c r="E161" s="3" t="s">
        <v>41</v>
      </c>
      <c r="F161" s="3" t="n">
        <v>7.1</v>
      </c>
      <c r="G161" s="3" t="n">
        <v>4166.56</v>
      </c>
      <c r="H161" s="3" t="s">
        <v>19</v>
      </c>
      <c r="I161" s="3" t="n">
        <v>1</v>
      </c>
      <c r="J161" s="3" t="n">
        <v>3</v>
      </c>
      <c r="K161" s="3" t="n">
        <v>1</v>
      </c>
      <c r="L161" s="3" t="n">
        <v>5</v>
      </c>
      <c r="M161" s="3" t="n">
        <v>2</v>
      </c>
      <c r="N161" s="3" t="s">
        <v>19</v>
      </c>
    </row>
    <row r="162" customFormat="false" ht="15" hidden="false" customHeight="false" outlineLevel="0" collapsed="false">
      <c r="A162" s="3" t="s">
        <v>192</v>
      </c>
      <c r="B162" s="3" t="n">
        <v>26</v>
      </c>
      <c r="C162" s="3" t="s">
        <v>26</v>
      </c>
      <c r="D162" s="3" t="s">
        <v>23</v>
      </c>
      <c r="E162" s="3" t="s">
        <v>28</v>
      </c>
      <c r="F162" s="3" t="n">
        <v>1.3</v>
      </c>
      <c r="G162" s="3" t="n">
        <v>4389.32</v>
      </c>
      <c r="H162" s="3" t="s">
        <v>20</v>
      </c>
      <c r="I162" s="3" t="n">
        <v>2</v>
      </c>
      <c r="J162" s="3" t="n">
        <v>4</v>
      </c>
      <c r="K162" s="3" t="n">
        <v>16</v>
      </c>
      <c r="L162" s="3" t="n">
        <v>0</v>
      </c>
      <c r="M162" s="3" t="n">
        <v>1</v>
      </c>
      <c r="N162" s="3" t="s">
        <v>19</v>
      </c>
    </row>
    <row r="163" customFormat="false" ht="15" hidden="false" customHeight="false" outlineLevel="0" collapsed="false">
      <c r="A163" s="3" t="s">
        <v>193</v>
      </c>
      <c r="B163" s="3" t="n">
        <v>27</v>
      </c>
      <c r="C163" s="3" t="s">
        <v>26</v>
      </c>
      <c r="D163" s="3" t="s">
        <v>17</v>
      </c>
      <c r="E163" s="3" t="s">
        <v>18</v>
      </c>
      <c r="F163" s="3" t="n">
        <v>6</v>
      </c>
      <c r="G163" s="3" t="n">
        <v>2962.92</v>
      </c>
      <c r="H163" s="3" t="s">
        <v>20</v>
      </c>
      <c r="I163" s="3" t="n">
        <v>4</v>
      </c>
      <c r="J163" s="3" t="n">
        <v>3</v>
      </c>
      <c r="K163" s="3" t="n">
        <v>29</v>
      </c>
      <c r="L163" s="3" t="n">
        <v>0</v>
      </c>
      <c r="M163" s="3" t="n">
        <v>1</v>
      </c>
      <c r="N163" s="3" t="s">
        <v>20</v>
      </c>
    </row>
    <row r="164" customFormat="false" ht="15" hidden="false" customHeight="false" outlineLevel="0" collapsed="false">
      <c r="A164" s="3" t="s">
        <v>194</v>
      </c>
      <c r="B164" s="3" t="n">
        <v>35</v>
      </c>
      <c r="C164" s="3" t="s">
        <v>45</v>
      </c>
      <c r="D164" s="3" t="s">
        <v>23</v>
      </c>
      <c r="E164" s="3" t="s">
        <v>18</v>
      </c>
      <c r="F164" s="3" t="n">
        <v>0.3</v>
      </c>
      <c r="G164" s="3" t="n">
        <v>4843.12</v>
      </c>
      <c r="H164" s="3" t="s">
        <v>19</v>
      </c>
      <c r="I164" s="3" t="n">
        <v>1</v>
      </c>
      <c r="J164" s="3" t="n">
        <v>3</v>
      </c>
      <c r="K164" s="3" t="n">
        <v>37</v>
      </c>
      <c r="L164" s="3" t="n">
        <v>0</v>
      </c>
      <c r="M164" s="3" t="n">
        <v>5</v>
      </c>
      <c r="N164" s="3" t="s">
        <v>20</v>
      </c>
    </row>
    <row r="165" customFormat="false" ht="15" hidden="false" customHeight="false" outlineLevel="0" collapsed="false">
      <c r="A165" s="3" t="s">
        <v>195</v>
      </c>
      <c r="B165" s="3" t="n">
        <v>29</v>
      </c>
      <c r="C165" s="3" t="s">
        <v>26</v>
      </c>
      <c r="D165" s="3" t="s">
        <v>17</v>
      </c>
      <c r="E165" s="3" t="s">
        <v>41</v>
      </c>
      <c r="F165" s="3" t="n">
        <v>0</v>
      </c>
      <c r="G165" s="3" t="n">
        <v>2806.09</v>
      </c>
      <c r="H165" s="3" t="s">
        <v>19</v>
      </c>
      <c r="I165" s="3" t="n">
        <v>3</v>
      </c>
      <c r="J165" s="3" t="n">
        <v>3</v>
      </c>
      <c r="K165" s="3" t="n">
        <v>1</v>
      </c>
      <c r="L165" s="3" t="n">
        <v>0</v>
      </c>
      <c r="M165" s="3" t="n">
        <v>0</v>
      </c>
      <c r="N165" s="3" t="s">
        <v>19</v>
      </c>
    </row>
    <row r="166" customFormat="false" ht="15" hidden="false" customHeight="false" outlineLevel="0" collapsed="false">
      <c r="A166" s="3" t="s">
        <v>196</v>
      </c>
      <c r="B166" s="3" t="n">
        <v>46</v>
      </c>
      <c r="C166" s="3" t="s">
        <v>16</v>
      </c>
      <c r="D166" s="3" t="s">
        <v>17</v>
      </c>
      <c r="E166" s="3" t="s">
        <v>24</v>
      </c>
      <c r="F166" s="3" t="n">
        <v>4.1</v>
      </c>
      <c r="G166" s="3" t="n">
        <v>3475.44</v>
      </c>
      <c r="H166" s="3" t="s">
        <v>19</v>
      </c>
      <c r="I166" s="3" t="n">
        <v>3</v>
      </c>
      <c r="J166" s="3" t="n">
        <v>4</v>
      </c>
      <c r="K166" s="3" t="n">
        <v>1</v>
      </c>
      <c r="L166" s="3" t="n">
        <v>0</v>
      </c>
      <c r="M166" s="3" t="n">
        <v>3</v>
      </c>
      <c r="N166" s="3" t="s">
        <v>19</v>
      </c>
    </row>
    <row r="167" customFormat="false" ht="15" hidden="false" customHeight="false" outlineLevel="0" collapsed="false">
      <c r="A167" s="3" t="s">
        <v>197</v>
      </c>
      <c r="B167" s="3" t="n">
        <v>39</v>
      </c>
      <c r="C167" s="3" t="s">
        <v>22</v>
      </c>
      <c r="D167" s="3" t="s">
        <v>27</v>
      </c>
      <c r="E167" s="3" t="s">
        <v>28</v>
      </c>
      <c r="F167" s="3" t="n">
        <v>10.4</v>
      </c>
      <c r="G167" s="3" t="n">
        <v>7280.13</v>
      </c>
      <c r="H167" s="3" t="s">
        <v>20</v>
      </c>
      <c r="I167" s="3" t="n">
        <v>3</v>
      </c>
      <c r="J167" s="3" t="n">
        <v>3</v>
      </c>
      <c r="K167" s="3" t="n">
        <v>1</v>
      </c>
      <c r="L167" s="3" t="n">
        <v>0</v>
      </c>
      <c r="M167" s="3" t="n">
        <v>3</v>
      </c>
      <c r="N167" s="3" t="s">
        <v>20</v>
      </c>
    </row>
    <row r="168" customFormat="false" ht="15" hidden="false" customHeight="false" outlineLevel="0" collapsed="false">
      <c r="A168" s="3" t="s">
        <v>198</v>
      </c>
      <c r="B168" s="3" t="n">
        <v>41</v>
      </c>
      <c r="C168" s="3" t="s">
        <v>45</v>
      </c>
      <c r="D168" s="3" t="s">
        <v>48</v>
      </c>
      <c r="E168" s="3" t="s">
        <v>41</v>
      </c>
      <c r="F168" s="3" t="n">
        <v>9.1</v>
      </c>
      <c r="G168" s="3" t="n">
        <v>11335.64</v>
      </c>
      <c r="H168" s="3" t="s">
        <v>20</v>
      </c>
      <c r="I168" s="3" t="n">
        <v>1</v>
      </c>
      <c r="J168" s="3" t="n">
        <v>3</v>
      </c>
      <c r="K168" s="3" t="n">
        <v>2</v>
      </c>
      <c r="L168" s="3" t="n">
        <v>5</v>
      </c>
      <c r="M168" s="3" t="n">
        <v>2</v>
      </c>
      <c r="N168" s="3" t="s">
        <v>20</v>
      </c>
    </row>
    <row r="169" customFormat="false" ht="15" hidden="false" customHeight="false" outlineLevel="0" collapsed="false">
      <c r="A169" s="3" t="s">
        <v>199</v>
      </c>
      <c r="B169" s="3" t="n">
        <v>39</v>
      </c>
      <c r="C169" s="3" t="s">
        <v>32</v>
      </c>
      <c r="D169" s="3" t="s">
        <v>17</v>
      </c>
      <c r="E169" s="3" t="s">
        <v>24</v>
      </c>
      <c r="F169" s="3" t="n">
        <v>2.5</v>
      </c>
      <c r="G169" s="3" t="n">
        <v>2927</v>
      </c>
      <c r="H169" s="3" t="s">
        <v>19</v>
      </c>
      <c r="I169" s="3" t="n">
        <v>4</v>
      </c>
      <c r="J169" s="3" t="n">
        <v>4</v>
      </c>
      <c r="K169" s="3" t="n">
        <v>23</v>
      </c>
      <c r="L169" s="3" t="n">
        <v>2</v>
      </c>
      <c r="M169" s="3" t="n">
        <v>3</v>
      </c>
      <c r="N169" s="3" t="s">
        <v>19</v>
      </c>
    </row>
    <row r="170" customFormat="false" ht="15" hidden="false" customHeight="false" outlineLevel="0" collapsed="false">
      <c r="A170" s="3" t="s">
        <v>200</v>
      </c>
      <c r="B170" s="3" t="n">
        <v>47</v>
      </c>
      <c r="C170" s="3" t="s">
        <v>32</v>
      </c>
      <c r="D170" s="3" t="s">
        <v>23</v>
      </c>
      <c r="E170" s="3" t="s">
        <v>28</v>
      </c>
      <c r="F170" s="3" t="n">
        <v>6.1</v>
      </c>
      <c r="G170" s="3" t="n">
        <v>5136.2</v>
      </c>
      <c r="H170" s="3" t="s">
        <v>20</v>
      </c>
      <c r="I170" s="3" t="n">
        <v>1</v>
      </c>
      <c r="J170" s="3" t="n">
        <v>4</v>
      </c>
      <c r="K170" s="3" t="n">
        <v>17</v>
      </c>
      <c r="L170" s="3" t="n">
        <v>1</v>
      </c>
      <c r="M170" s="3" t="n">
        <v>0</v>
      </c>
      <c r="N170" s="3" t="s">
        <v>20</v>
      </c>
    </row>
    <row r="171" customFormat="false" ht="15" hidden="false" customHeight="false" outlineLevel="0" collapsed="false">
      <c r="A171" s="3" t="s">
        <v>201</v>
      </c>
      <c r="B171" s="3" t="n">
        <v>36</v>
      </c>
      <c r="C171" s="3" t="s">
        <v>22</v>
      </c>
      <c r="D171" s="3" t="s">
        <v>17</v>
      </c>
      <c r="E171" s="3" t="s">
        <v>24</v>
      </c>
      <c r="F171" s="3" t="n">
        <v>0.4</v>
      </c>
      <c r="G171" s="3" t="n">
        <v>3743.35</v>
      </c>
      <c r="H171" s="3" t="s">
        <v>19</v>
      </c>
      <c r="I171" s="3" t="n">
        <v>3</v>
      </c>
      <c r="J171" s="3" t="n">
        <v>4</v>
      </c>
      <c r="K171" s="3" t="n">
        <v>2</v>
      </c>
      <c r="L171" s="3" t="n">
        <v>0</v>
      </c>
      <c r="M171" s="3" t="n">
        <v>2</v>
      </c>
      <c r="N171" s="3" t="s">
        <v>19</v>
      </c>
    </row>
    <row r="172" customFormat="false" ht="15" hidden="false" customHeight="false" outlineLevel="0" collapsed="false">
      <c r="A172" s="3" t="s">
        <v>202</v>
      </c>
      <c r="B172" s="3" t="n">
        <v>31</v>
      </c>
      <c r="C172" s="3" t="s">
        <v>26</v>
      </c>
      <c r="D172" s="3" t="s">
        <v>23</v>
      </c>
      <c r="E172" s="3" t="s">
        <v>28</v>
      </c>
      <c r="F172" s="3" t="n">
        <v>1.5</v>
      </c>
      <c r="G172" s="3" t="n">
        <v>4399.77</v>
      </c>
      <c r="H172" s="3" t="s">
        <v>19</v>
      </c>
      <c r="I172" s="3" t="n">
        <v>3</v>
      </c>
      <c r="J172" s="3" t="n">
        <v>4</v>
      </c>
      <c r="K172" s="3" t="n">
        <v>21</v>
      </c>
      <c r="L172" s="3" t="n">
        <v>0</v>
      </c>
      <c r="M172" s="3" t="n">
        <v>2</v>
      </c>
      <c r="N172" s="3" t="s">
        <v>19</v>
      </c>
    </row>
    <row r="173" customFormat="false" ht="15" hidden="false" customHeight="false" outlineLevel="0" collapsed="false">
      <c r="A173" s="3" t="s">
        <v>203</v>
      </c>
      <c r="B173" s="3" t="n">
        <v>28</v>
      </c>
      <c r="C173" s="3" t="s">
        <v>22</v>
      </c>
      <c r="D173" s="3" t="s">
        <v>17</v>
      </c>
      <c r="E173" s="3" t="s">
        <v>24</v>
      </c>
      <c r="F173" s="3" t="n">
        <v>6</v>
      </c>
      <c r="G173" s="3" t="n">
        <v>3100.69</v>
      </c>
      <c r="H173" s="3" t="s">
        <v>19</v>
      </c>
      <c r="I173" s="3" t="n">
        <v>2</v>
      </c>
      <c r="J173" s="3" t="n">
        <v>2</v>
      </c>
      <c r="K173" s="3" t="n">
        <v>1</v>
      </c>
      <c r="L173" s="3" t="n">
        <v>0</v>
      </c>
      <c r="M173" s="3" t="n">
        <v>2</v>
      </c>
      <c r="N173" s="3" t="s">
        <v>19</v>
      </c>
    </row>
    <row r="174" customFormat="false" ht="15" hidden="false" customHeight="false" outlineLevel="0" collapsed="false">
      <c r="A174" s="3" t="s">
        <v>204</v>
      </c>
      <c r="B174" s="3" t="n">
        <v>26</v>
      </c>
      <c r="C174" s="3" t="s">
        <v>24</v>
      </c>
      <c r="D174" s="3" t="s">
        <v>17</v>
      </c>
      <c r="E174" s="3" t="s">
        <v>28</v>
      </c>
      <c r="F174" s="3" t="n">
        <v>2.6</v>
      </c>
      <c r="G174" s="3" t="n">
        <v>3023.67</v>
      </c>
      <c r="H174" s="3" t="s">
        <v>19</v>
      </c>
      <c r="I174" s="3" t="n">
        <v>3</v>
      </c>
      <c r="J174" s="3" t="n">
        <v>2</v>
      </c>
      <c r="K174" s="3" t="n">
        <v>11</v>
      </c>
      <c r="L174" s="3" t="n">
        <v>0</v>
      </c>
      <c r="M174" s="3" t="n">
        <v>2</v>
      </c>
      <c r="N174" s="3" t="s">
        <v>19</v>
      </c>
    </row>
    <row r="175" customFormat="false" ht="15" hidden="false" customHeight="false" outlineLevel="0" collapsed="false">
      <c r="A175" s="3" t="s">
        <v>205</v>
      </c>
      <c r="B175" s="3" t="n">
        <v>28</v>
      </c>
      <c r="C175" s="3" t="s">
        <v>45</v>
      </c>
      <c r="D175" s="3" t="s">
        <v>17</v>
      </c>
      <c r="E175" s="3" t="s">
        <v>24</v>
      </c>
      <c r="F175" s="3" t="n">
        <v>2.8</v>
      </c>
      <c r="G175" s="3" t="n">
        <v>2831.94</v>
      </c>
      <c r="H175" s="3" t="s">
        <v>19</v>
      </c>
      <c r="I175" s="3" t="n">
        <v>3</v>
      </c>
      <c r="J175" s="3" t="n">
        <v>3</v>
      </c>
      <c r="K175" s="3" t="n">
        <v>1</v>
      </c>
      <c r="L175" s="3" t="n">
        <v>1</v>
      </c>
      <c r="M175" s="3" t="n">
        <v>1</v>
      </c>
      <c r="N175" s="3" t="s">
        <v>19</v>
      </c>
    </row>
    <row r="176" customFormat="false" ht="15" hidden="false" customHeight="false" outlineLevel="0" collapsed="false">
      <c r="A176" s="3" t="s">
        <v>206</v>
      </c>
      <c r="B176" s="3" t="n">
        <v>32</v>
      </c>
      <c r="C176" s="3" t="s">
        <v>16</v>
      </c>
      <c r="D176" s="3" t="s">
        <v>23</v>
      </c>
      <c r="E176" s="3" t="s">
        <v>18</v>
      </c>
      <c r="F176" s="3" t="n">
        <v>1</v>
      </c>
      <c r="G176" s="3" t="n">
        <v>4852.94</v>
      </c>
      <c r="H176" s="3" t="s">
        <v>19</v>
      </c>
      <c r="I176" s="3" t="n">
        <v>4</v>
      </c>
      <c r="J176" s="3" t="n">
        <v>4</v>
      </c>
      <c r="K176" s="3" t="n">
        <v>21</v>
      </c>
      <c r="L176" s="3" t="n">
        <v>1</v>
      </c>
      <c r="M176" s="3" t="n">
        <v>3</v>
      </c>
      <c r="N176" s="3" t="s">
        <v>19</v>
      </c>
    </row>
    <row r="177" customFormat="false" ht="15" hidden="false" customHeight="false" outlineLevel="0" collapsed="false">
      <c r="A177" s="3" t="s">
        <v>207</v>
      </c>
      <c r="B177" s="3" t="n">
        <v>21</v>
      </c>
      <c r="C177" s="3" t="s">
        <v>24</v>
      </c>
      <c r="D177" s="3" t="s">
        <v>23</v>
      </c>
      <c r="E177" s="3" t="s">
        <v>24</v>
      </c>
      <c r="F177" s="3" t="n">
        <v>0</v>
      </c>
      <c r="G177" s="3" t="n">
        <v>4413.89</v>
      </c>
      <c r="H177" s="3" t="s">
        <v>19</v>
      </c>
      <c r="I177" s="3" t="n">
        <v>3</v>
      </c>
      <c r="J177" s="3" t="n">
        <v>3</v>
      </c>
      <c r="K177" s="3" t="n">
        <v>1</v>
      </c>
      <c r="L177" s="3" t="n">
        <v>0</v>
      </c>
      <c r="M177" s="3" t="n">
        <v>2</v>
      </c>
      <c r="N177" s="3" t="s">
        <v>19</v>
      </c>
    </row>
    <row r="178" customFormat="false" ht="15" hidden="false" customHeight="false" outlineLevel="0" collapsed="false">
      <c r="A178" s="3" t="s">
        <v>208</v>
      </c>
      <c r="B178" s="3" t="n">
        <v>34</v>
      </c>
      <c r="C178" s="3" t="s">
        <v>24</v>
      </c>
      <c r="D178" s="3" t="s">
        <v>48</v>
      </c>
      <c r="E178" s="3" t="s">
        <v>18</v>
      </c>
      <c r="F178" s="3" t="n">
        <v>3.1</v>
      </c>
      <c r="G178" s="3" t="n">
        <v>9362.99</v>
      </c>
      <c r="H178" s="3" t="s">
        <v>19</v>
      </c>
      <c r="I178" s="3" t="n">
        <v>3</v>
      </c>
      <c r="J178" s="3" t="n">
        <v>1</v>
      </c>
      <c r="K178" s="3" t="n">
        <v>1</v>
      </c>
      <c r="L178" s="3" t="n">
        <v>0</v>
      </c>
      <c r="M178" s="3" t="n">
        <v>2</v>
      </c>
      <c r="N178" s="3" t="s">
        <v>19</v>
      </c>
    </row>
    <row r="179" customFormat="false" ht="15" hidden="false" customHeight="false" outlineLevel="0" collapsed="false">
      <c r="A179" s="3" t="s">
        <v>209</v>
      </c>
      <c r="B179" s="3" t="n">
        <v>28</v>
      </c>
      <c r="C179" s="3" t="s">
        <v>16</v>
      </c>
      <c r="D179" s="3" t="s">
        <v>17</v>
      </c>
      <c r="E179" s="3" t="s">
        <v>41</v>
      </c>
      <c r="F179" s="3" t="n">
        <v>3.1</v>
      </c>
      <c r="G179" s="3" t="n">
        <v>3507.24</v>
      </c>
      <c r="H179" s="3" t="s">
        <v>19</v>
      </c>
      <c r="I179" s="3" t="n">
        <v>2</v>
      </c>
      <c r="J179" s="3" t="n">
        <v>4</v>
      </c>
      <c r="K179" s="3" t="n">
        <v>4</v>
      </c>
      <c r="L179" s="3" t="n">
        <v>3</v>
      </c>
      <c r="M179" s="3" t="n">
        <v>0</v>
      </c>
      <c r="N179" s="3" t="s">
        <v>20</v>
      </c>
    </row>
    <row r="180" customFormat="false" ht="15" hidden="false" customHeight="false" outlineLevel="0" collapsed="false">
      <c r="A180" s="3" t="s">
        <v>210</v>
      </c>
      <c r="B180" s="3" t="n">
        <v>37</v>
      </c>
      <c r="C180" s="3" t="s">
        <v>24</v>
      </c>
      <c r="D180" s="3" t="s">
        <v>23</v>
      </c>
      <c r="E180" s="3" t="s">
        <v>28</v>
      </c>
      <c r="F180" s="3" t="n">
        <v>0.3</v>
      </c>
      <c r="G180" s="3" t="n">
        <v>4805.14</v>
      </c>
      <c r="H180" s="3" t="s">
        <v>19</v>
      </c>
      <c r="I180" s="3" t="n">
        <v>3</v>
      </c>
      <c r="J180" s="3" t="n">
        <v>2</v>
      </c>
      <c r="K180" s="3" t="n">
        <v>17</v>
      </c>
      <c r="L180" s="3" t="n">
        <v>0</v>
      </c>
      <c r="M180" s="3" t="n">
        <v>1</v>
      </c>
      <c r="N180" s="3" t="s">
        <v>20</v>
      </c>
    </row>
    <row r="181" customFormat="false" ht="15" hidden="false" customHeight="false" outlineLevel="0" collapsed="false">
      <c r="A181" s="3" t="s">
        <v>211</v>
      </c>
      <c r="B181" s="3" t="n">
        <v>28</v>
      </c>
      <c r="C181" s="3" t="s">
        <v>22</v>
      </c>
      <c r="D181" s="3" t="s">
        <v>17</v>
      </c>
      <c r="E181" s="3" t="s">
        <v>24</v>
      </c>
      <c r="F181" s="3" t="n">
        <v>3.3</v>
      </c>
      <c r="G181" s="3" t="n">
        <v>2914.16</v>
      </c>
      <c r="H181" s="3" t="s">
        <v>19</v>
      </c>
      <c r="I181" s="3" t="n">
        <v>1</v>
      </c>
      <c r="J181" s="3" t="n">
        <v>2</v>
      </c>
      <c r="K181" s="3" t="n">
        <v>1</v>
      </c>
      <c r="L181" s="3" t="n">
        <v>1</v>
      </c>
      <c r="M181" s="3" t="n">
        <v>2</v>
      </c>
      <c r="N181" s="3" t="s">
        <v>19</v>
      </c>
    </row>
    <row r="182" customFormat="false" ht="15" hidden="false" customHeight="false" outlineLevel="0" collapsed="false">
      <c r="A182" s="3" t="s">
        <v>212</v>
      </c>
      <c r="B182" s="3" t="n">
        <v>27</v>
      </c>
      <c r="C182" s="3" t="s">
        <v>24</v>
      </c>
      <c r="D182" s="3" t="s">
        <v>17</v>
      </c>
      <c r="E182" s="3" t="s">
        <v>24</v>
      </c>
      <c r="F182" s="3" t="n">
        <v>0.9</v>
      </c>
      <c r="G182" s="3" t="n">
        <v>2882.29</v>
      </c>
      <c r="H182" s="3" t="s">
        <v>19</v>
      </c>
      <c r="I182" s="3" t="n">
        <v>4</v>
      </c>
      <c r="J182" s="3" t="n">
        <v>4</v>
      </c>
      <c r="K182" s="3" t="n">
        <v>26</v>
      </c>
      <c r="L182" s="3" t="n">
        <v>0</v>
      </c>
      <c r="M182" s="3" t="n">
        <v>1</v>
      </c>
      <c r="N182" s="3" t="s">
        <v>19</v>
      </c>
    </row>
    <row r="183" customFormat="false" ht="15" hidden="false" customHeight="false" outlineLevel="0" collapsed="false">
      <c r="A183" s="3" t="s">
        <v>213</v>
      </c>
      <c r="B183" s="3" t="n">
        <v>24</v>
      </c>
      <c r="C183" s="3" t="s">
        <v>24</v>
      </c>
      <c r="D183" s="3" t="s">
        <v>27</v>
      </c>
      <c r="E183" s="3" t="s">
        <v>28</v>
      </c>
      <c r="F183" s="3" t="n">
        <v>3</v>
      </c>
      <c r="G183" s="3" t="n">
        <v>7327.8</v>
      </c>
      <c r="H183" s="3" t="s">
        <v>19</v>
      </c>
      <c r="I183" s="3" t="n">
        <v>3</v>
      </c>
      <c r="J183" s="3" t="n">
        <v>3</v>
      </c>
      <c r="K183" s="3" t="n">
        <v>3</v>
      </c>
      <c r="L183" s="3" t="n">
        <v>3</v>
      </c>
      <c r="M183" s="3" t="n">
        <v>2</v>
      </c>
      <c r="N183" s="3" t="s">
        <v>19</v>
      </c>
    </row>
    <row r="184" customFormat="false" ht="15" hidden="false" customHeight="false" outlineLevel="0" collapsed="false">
      <c r="A184" s="3" t="s">
        <v>214</v>
      </c>
      <c r="B184" s="3" t="n">
        <v>35</v>
      </c>
      <c r="C184" s="3" t="s">
        <v>26</v>
      </c>
      <c r="D184" s="3" t="s">
        <v>27</v>
      </c>
      <c r="E184" s="3" t="s">
        <v>41</v>
      </c>
      <c r="F184" s="3" t="n">
        <v>0.2</v>
      </c>
      <c r="G184" s="3" t="n">
        <v>6667.18</v>
      </c>
      <c r="H184" s="3" t="s">
        <v>20</v>
      </c>
      <c r="I184" s="3" t="n">
        <v>3</v>
      </c>
      <c r="J184" s="3" t="n">
        <v>4</v>
      </c>
      <c r="K184" s="3" t="n">
        <v>1</v>
      </c>
      <c r="L184" s="3" t="n">
        <v>0</v>
      </c>
      <c r="M184" s="3" t="n">
        <v>1</v>
      </c>
      <c r="N184" s="3" t="s">
        <v>19</v>
      </c>
    </row>
    <row r="185" customFormat="false" ht="15" hidden="false" customHeight="false" outlineLevel="0" collapsed="false">
      <c r="A185" s="3" t="s">
        <v>215</v>
      </c>
      <c r="B185" s="3" t="n">
        <v>28</v>
      </c>
      <c r="C185" s="3" t="s">
        <v>22</v>
      </c>
      <c r="D185" s="3" t="s">
        <v>17</v>
      </c>
      <c r="E185" s="3" t="s">
        <v>41</v>
      </c>
      <c r="F185" s="3" t="n">
        <v>1.8</v>
      </c>
      <c r="G185" s="3" t="n">
        <v>2806.83</v>
      </c>
      <c r="H185" s="3" t="s">
        <v>19</v>
      </c>
      <c r="I185" s="3" t="n">
        <v>3</v>
      </c>
      <c r="J185" s="3" t="n">
        <v>3</v>
      </c>
      <c r="K185" s="3" t="n">
        <v>1</v>
      </c>
      <c r="L185" s="3" t="n">
        <v>1</v>
      </c>
      <c r="M185" s="3" t="n">
        <v>1</v>
      </c>
      <c r="N185" s="3" t="s">
        <v>19</v>
      </c>
    </row>
    <row r="186" customFormat="false" ht="15" hidden="false" customHeight="false" outlineLevel="0" collapsed="false">
      <c r="A186" s="3" t="s">
        <v>216</v>
      </c>
      <c r="B186" s="3" t="n">
        <v>27</v>
      </c>
      <c r="C186" s="3" t="s">
        <v>45</v>
      </c>
      <c r="D186" s="3" t="s">
        <v>23</v>
      </c>
      <c r="E186" s="3" t="s">
        <v>28</v>
      </c>
      <c r="F186" s="3" t="n">
        <v>1.9</v>
      </c>
      <c r="G186" s="3" t="n">
        <v>5029.57</v>
      </c>
      <c r="H186" s="3" t="s">
        <v>20</v>
      </c>
      <c r="I186" s="3" t="n">
        <v>4</v>
      </c>
      <c r="J186" s="3" t="n">
        <v>1</v>
      </c>
      <c r="K186" s="3" t="n">
        <v>6</v>
      </c>
      <c r="L186" s="3" t="n">
        <v>1</v>
      </c>
      <c r="M186" s="3" t="n">
        <v>1</v>
      </c>
      <c r="N186" s="3" t="s">
        <v>20</v>
      </c>
    </row>
    <row r="187" customFormat="false" ht="15" hidden="false" customHeight="false" outlineLevel="0" collapsed="false">
      <c r="A187" s="3" t="s">
        <v>217</v>
      </c>
      <c r="B187" s="3" t="n">
        <v>32</v>
      </c>
      <c r="C187" s="3" t="s">
        <v>16</v>
      </c>
      <c r="D187" s="3" t="s">
        <v>23</v>
      </c>
      <c r="E187" s="3" t="s">
        <v>18</v>
      </c>
      <c r="F187" s="3" t="n">
        <v>0.1</v>
      </c>
      <c r="G187" s="3" t="n">
        <v>4296.94</v>
      </c>
      <c r="H187" s="3" t="s">
        <v>19</v>
      </c>
      <c r="I187" s="3" t="n">
        <v>4</v>
      </c>
      <c r="J187" s="3" t="n">
        <v>3</v>
      </c>
      <c r="K187" s="3" t="n">
        <v>12</v>
      </c>
      <c r="L187" s="3" t="n">
        <v>0</v>
      </c>
      <c r="M187" s="3" t="n">
        <v>2</v>
      </c>
      <c r="N187" s="3" t="s">
        <v>19</v>
      </c>
    </row>
    <row r="188" customFormat="false" ht="15" hidden="false" customHeight="false" outlineLevel="0" collapsed="false">
      <c r="A188" s="3" t="s">
        <v>218</v>
      </c>
      <c r="B188" s="3" t="n">
        <v>35</v>
      </c>
      <c r="C188" s="3" t="s">
        <v>32</v>
      </c>
      <c r="D188" s="3" t="s">
        <v>17</v>
      </c>
      <c r="E188" s="3" t="s">
        <v>24</v>
      </c>
      <c r="F188" s="3" t="n">
        <v>0.5</v>
      </c>
      <c r="G188" s="3" t="n">
        <v>3394.35</v>
      </c>
      <c r="H188" s="3" t="s">
        <v>19</v>
      </c>
      <c r="I188" s="3" t="n">
        <v>1</v>
      </c>
      <c r="J188" s="3" t="n">
        <v>4</v>
      </c>
      <c r="K188" s="3" t="n">
        <v>2</v>
      </c>
      <c r="L188" s="3" t="n">
        <v>0</v>
      </c>
      <c r="M188" s="3" t="n">
        <v>3</v>
      </c>
      <c r="N188" s="3" t="s">
        <v>20</v>
      </c>
    </row>
    <row r="189" customFormat="false" ht="15" hidden="false" customHeight="false" outlineLevel="0" collapsed="false">
      <c r="A189" s="3" t="s">
        <v>219</v>
      </c>
      <c r="B189" s="3" t="n">
        <v>36</v>
      </c>
      <c r="C189" s="3" t="s">
        <v>32</v>
      </c>
      <c r="D189" s="3" t="s">
        <v>17</v>
      </c>
      <c r="E189" s="3" t="s">
        <v>28</v>
      </c>
      <c r="F189" s="3" t="n">
        <v>3.7</v>
      </c>
      <c r="G189" s="3" t="n">
        <v>3240.28</v>
      </c>
      <c r="H189" s="3" t="s">
        <v>19</v>
      </c>
      <c r="I189" s="3" t="n">
        <v>3</v>
      </c>
      <c r="J189" s="3" t="n">
        <v>2</v>
      </c>
      <c r="K189" s="3" t="n">
        <v>13</v>
      </c>
      <c r="L189" s="3" t="n">
        <v>0</v>
      </c>
      <c r="M189" s="3" t="n">
        <v>0</v>
      </c>
      <c r="N189" s="3" t="s">
        <v>19</v>
      </c>
    </row>
    <row r="190" customFormat="false" ht="15" hidden="false" customHeight="false" outlineLevel="0" collapsed="false">
      <c r="A190" s="3" t="s">
        <v>220</v>
      </c>
      <c r="B190" s="3" t="n">
        <v>38</v>
      </c>
      <c r="C190" s="3" t="s">
        <v>45</v>
      </c>
      <c r="D190" s="3" t="s">
        <v>27</v>
      </c>
      <c r="E190" s="3" t="s">
        <v>24</v>
      </c>
      <c r="F190" s="3" t="n">
        <v>6.1</v>
      </c>
      <c r="G190" s="3" t="n">
        <v>7952.13</v>
      </c>
      <c r="H190" s="3" t="s">
        <v>19</v>
      </c>
      <c r="I190" s="3" t="n">
        <v>2</v>
      </c>
      <c r="J190" s="3" t="n">
        <v>3</v>
      </c>
      <c r="K190" s="3" t="n">
        <v>8</v>
      </c>
      <c r="L190" s="3" t="n">
        <v>0</v>
      </c>
      <c r="M190" s="3" t="n">
        <v>4</v>
      </c>
      <c r="N190" s="3" t="s">
        <v>20</v>
      </c>
    </row>
    <row r="191" customFormat="false" ht="15" hidden="false" customHeight="false" outlineLevel="0" collapsed="false">
      <c r="A191" s="3" t="s">
        <v>221</v>
      </c>
      <c r="B191" s="3" t="n">
        <v>27</v>
      </c>
      <c r="C191" s="3" t="s">
        <v>16</v>
      </c>
      <c r="D191" s="3" t="s">
        <v>17</v>
      </c>
      <c r="E191" s="3" t="s">
        <v>41</v>
      </c>
      <c r="F191" s="3" t="n">
        <v>0.3</v>
      </c>
      <c r="G191" s="4"/>
      <c r="H191" s="3" t="s">
        <v>20</v>
      </c>
      <c r="I191" s="3" t="n">
        <v>3</v>
      </c>
      <c r="J191" s="3" t="n">
        <v>2</v>
      </c>
      <c r="K191" s="3" t="n">
        <v>20</v>
      </c>
      <c r="L191" s="3" t="n">
        <v>0</v>
      </c>
      <c r="M191" s="3" t="n">
        <v>3</v>
      </c>
      <c r="N191" s="3" t="s">
        <v>19</v>
      </c>
    </row>
    <row r="192" customFormat="false" ht="15" hidden="false" customHeight="false" outlineLevel="0" collapsed="false">
      <c r="A192" s="3" t="s">
        <v>222</v>
      </c>
      <c r="B192" s="3" t="n">
        <v>25</v>
      </c>
      <c r="C192" s="3" t="s">
        <v>24</v>
      </c>
      <c r="D192" s="3" t="s">
        <v>23</v>
      </c>
      <c r="E192" s="3" t="s">
        <v>24</v>
      </c>
      <c r="F192" s="3" t="n">
        <v>4</v>
      </c>
      <c r="G192" s="4"/>
      <c r="H192" s="3" t="s">
        <v>19</v>
      </c>
      <c r="I192" s="3" t="n">
        <v>2</v>
      </c>
      <c r="J192" s="3" t="n">
        <v>3</v>
      </c>
      <c r="K192" s="3" t="n">
        <v>1</v>
      </c>
      <c r="L192" s="3" t="n">
        <v>0</v>
      </c>
      <c r="M192" s="3" t="n">
        <v>2</v>
      </c>
      <c r="N192" s="3" t="s">
        <v>19</v>
      </c>
    </row>
    <row r="193" customFormat="false" ht="15" hidden="false" customHeight="false" outlineLevel="0" collapsed="false">
      <c r="A193" s="3" t="s">
        <v>223</v>
      </c>
      <c r="B193" s="3" t="n">
        <v>31</v>
      </c>
      <c r="C193" s="3" t="s">
        <v>24</v>
      </c>
      <c r="D193" s="3" t="s">
        <v>27</v>
      </c>
      <c r="E193" s="3" t="s">
        <v>18</v>
      </c>
      <c r="F193" s="3" t="n">
        <v>2.2</v>
      </c>
      <c r="G193" s="3" t="n">
        <v>7787.1</v>
      </c>
      <c r="H193" s="3" t="s">
        <v>20</v>
      </c>
      <c r="I193" s="3" t="n">
        <v>3</v>
      </c>
      <c r="J193" s="3" t="n">
        <v>3</v>
      </c>
      <c r="K193" s="3" t="n">
        <v>2</v>
      </c>
      <c r="L193" s="3" t="n">
        <v>0</v>
      </c>
      <c r="M193" s="3" t="n">
        <v>3</v>
      </c>
      <c r="N193" s="3" t="s">
        <v>19</v>
      </c>
    </row>
    <row r="194" customFormat="false" ht="15" hidden="false" customHeight="false" outlineLevel="0" collapsed="false">
      <c r="A194" s="3" t="s">
        <v>224</v>
      </c>
      <c r="B194" s="3" t="n">
        <v>46</v>
      </c>
      <c r="C194" s="3" t="s">
        <v>16</v>
      </c>
      <c r="D194" s="3" t="s">
        <v>17</v>
      </c>
      <c r="E194" s="3" t="s">
        <v>24</v>
      </c>
      <c r="F194" s="3" t="n">
        <v>9.8</v>
      </c>
      <c r="G194" s="3" t="n">
        <v>3645.19</v>
      </c>
      <c r="H194" s="3" t="s">
        <v>20</v>
      </c>
      <c r="I194" s="3" t="n">
        <v>2</v>
      </c>
      <c r="J194" s="3" t="n">
        <v>1</v>
      </c>
      <c r="K194" s="3" t="n">
        <v>1</v>
      </c>
      <c r="L194" s="3" t="n">
        <v>1</v>
      </c>
      <c r="M194" s="3" t="n">
        <v>1</v>
      </c>
      <c r="N194" s="3" t="s">
        <v>19</v>
      </c>
    </row>
    <row r="195" customFormat="false" ht="15" hidden="false" customHeight="false" outlineLevel="0" collapsed="false">
      <c r="A195" s="3" t="s">
        <v>225</v>
      </c>
      <c r="B195" s="3" t="n">
        <v>42</v>
      </c>
      <c r="C195" s="3" t="s">
        <v>26</v>
      </c>
      <c r="D195" s="3" t="s">
        <v>17</v>
      </c>
      <c r="E195" s="3" t="s">
        <v>24</v>
      </c>
      <c r="F195" s="3" t="n">
        <v>7.6</v>
      </c>
      <c r="G195" s="3" t="n">
        <v>3644.27</v>
      </c>
      <c r="H195" s="3" t="s">
        <v>20</v>
      </c>
      <c r="I195" s="3" t="n">
        <v>2</v>
      </c>
      <c r="J195" s="3" t="n">
        <v>1</v>
      </c>
      <c r="K195" s="3" t="n">
        <v>4</v>
      </c>
      <c r="L195" s="3" t="n">
        <v>5</v>
      </c>
      <c r="M195" s="3" t="n">
        <v>2</v>
      </c>
      <c r="N195" s="3" t="s">
        <v>20</v>
      </c>
    </row>
    <row r="196" customFormat="false" ht="15" hidden="false" customHeight="false" outlineLevel="0" collapsed="false">
      <c r="A196" s="3" t="s">
        <v>226</v>
      </c>
      <c r="B196" s="3" t="n">
        <v>29</v>
      </c>
      <c r="C196" s="3" t="s">
        <v>16</v>
      </c>
      <c r="D196" s="3" t="s">
        <v>17</v>
      </c>
      <c r="E196" s="3" t="s">
        <v>24</v>
      </c>
      <c r="F196" s="3" t="n">
        <v>1.2</v>
      </c>
      <c r="G196" s="3" t="n">
        <v>3546.51</v>
      </c>
      <c r="H196" s="3" t="s">
        <v>20</v>
      </c>
      <c r="I196" s="3" t="n">
        <v>1</v>
      </c>
      <c r="J196" s="3" t="n">
        <v>3</v>
      </c>
      <c r="K196" s="3" t="n">
        <v>4</v>
      </c>
      <c r="L196" s="3" t="n">
        <v>0</v>
      </c>
      <c r="M196" s="3" t="n">
        <v>2</v>
      </c>
      <c r="N196" s="3" t="s">
        <v>20</v>
      </c>
    </row>
    <row r="197" customFormat="false" ht="15" hidden="false" customHeight="false" outlineLevel="0" collapsed="false">
      <c r="A197" s="3" t="s">
        <v>227</v>
      </c>
      <c r="B197" s="3" t="n">
        <v>41</v>
      </c>
      <c r="C197" s="3" t="s">
        <v>32</v>
      </c>
      <c r="D197" s="3" t="s">
        <v>23</v>
      </c>
      <c r="E197" s="3" t="s">
        <v>18</v>
      </c>
      <c r="F197" s="3" t="n">
        <v>4.6</v>
      </c>
      <c r="G197" s="3" t="n">
        <v>5501.18</v>
      </c>
      <c r="H197" s="3" t="s">
        <v>19</v>
      </c>
      <c r="I197" s="3" t="n">
        <v>4</v>
      </c>
      <c r="J197" s="3" t="n">
        <v>2</v>
      </c>
      <c r="K197" s="3" t="n">
        <v>4</v>
      </c>
      <c r="L197" s="3" t="n">
        <v>3</v>
      </c>
      <c r="M197" s="3" t="n">
        <v>3</v>
      </c>
      <c r="N197" s="3" t="s">
        <v>19</v>
      </c>
    </row>
    <row r="198" customFormat="false" ht="15" hidden="false" customHeight="false" outlineLevel="0" collapsed="false">
      <c r="A198" s="3" t="s">
        <v>228</v>
      </c>
      <c r="B198" s="3" t="n">
        <v>40</v>
      </c>
      <c r="C198" s="3" t="s">
        <v>32</v>
      </c>
      <c r="D198" s="3" t="s">
        <v>23</v>
      </c>
      <c r="E198" s="3" t="s">
        <v>28</v>
      </c>
      <c r="F198" s="3" t="n">
        <v>0.2</v>
      </c>
      <c r="G198" s="3" t="n">
        <v>4509.16</v>
      </c>
      <c r="H198" s="3" t="s">
        <v>19</v>
      </c>
      <c r="I198" s="3" t="n">
        <v>3</v>
      </c>
      <c r="J198" s="3" t="n">
        <v>3</v>
      </c>
      <c r="K198" s="3" t="n">
        <v>2</v>
      </c>
      <c r="L198" s="3" t="n">
        <v>0</v>
      </c>
      <c r="M198" s="3" t="n">
        <v>1</v>
      </c>
      <c r="N198" s="3" t="s">
        <v>19</v>
      </c>
    </row>
    <row r="199" customFormat="false" ht="15" hidden="false" customHeight="false" outlineLevel="0" collapsed="false">
      <c r="A199" s="3" t="s">
        <v>229</v>
      </c>
      <c r="B199" s="3" t="n">
        <v>40</v>
      </c>
      <c r="C199" s="3" t="s">
        <v>45</v>
      </c>
      <c r="D199" s="3" t="s">
        <v>17</v>
      </c>
      <c r="E199" s="3" t="s">
        <v>41</v>
      </c>
      <c r="F199" s="3" t="n">
        <v>2.4</v>
      </c>
      <c r="G199" s="3" t="n">
        <v>3306.38</v>
      </c>
      <c r="H199" s="3" t="s">
        <v>19</v>
      </c>
      <c r="I199" s="3" t="n">
        <v>3</v>
      </c>
      <c r="J199" s="3" t="n">
        <v>3</v>
      </c>
      <c r="K199" s="3" t="n">
        <v>16</v>
      </c>
      <c r="L199" s="3" t="n">
        <v>2</v>
      </c>
      <c r="M199" s="3" t="n">
        <v>2</v>
      </c>
      <c r="N199" s="3" t="s">
        <v>19</v>
      </c>
    </row>
    <row r="200" customFormat="false" ht="15" hidden="false" customHeight="false" outlineLevel="0" collapsed="false">
      <c r="A200" s="3" t="s">
        <v>230</v>
      </c>
      <c r="B200" s="3" t="n">
        <v>31</v>
      </c>
      <c r="C200" s="3" t="s">
        <v>16</v>
      </c>
      <c r="D200" s="3" t="s">
        <v>27</v>
      </c>
      <c r="E200" s="3" t="s">
        <v>24</v>
      </c>
      <c r="F200" s="3" t="n">
        <v>5.8</v>
      </c>
      <c r="G200" s="3" t="n">
        <v>7892.16</v>
      </c>
      <c r="H200" s="3" t="s">
        <v>19</v>
      </c>
      <c r="I200" s="3" t="n">
        <v>1</v>
      </c>
      <c r="J200" s="3" t="n">
        <v>1</v>
      </c>
      <c r="K200" s="3" t="n">
        <v>9</v>
      </c>
      <c r="L200" s="3" t="n">
        <v>1</v>
      </c>
      <c r="M200" s="3" t="n">
        <v>1</v>
      </c>
      <c r="N200" s="3" t="s">
        <v>20</v>
      </c>
    </row>
    <row r="201" customFormat="false" ht="15" hidden="false" customHeight="false" outlineLevel="0" collapsed="false">
      <c r="A201" s="3" t="s">
        <v>231</v>
      </c>
      <c r="B201" s="3" t="n">
        <v>21</v>
      </c>
      <c r="C201" s="3" t="s">
        <v>26</v>
      </c>
      <c r="D201" s="3" t="s">
        <v>27</v>
      </c>
      <c r="E201" s="3" t="s">
        <v>28</v>
      </c>
      <c r="F201" s="3" t="n">
        <v>0</v>
      </c>
      <c r="G201" s="3" t="n">
        <v>7033.25</v>
      </c>
      <c r="H201" s="3" t="s">
        <v>19</v>
      </c>
      <c r="I201" s="3" t="n">
        <v>2</v>
      </c>
      <c r="J201" s="3" t="n">
        <v>3</v>
      </c>
      <c r="K201" s="3" t="n">
        <v>1</v>
      </c>
      <c r="L201" s="3" t="n">
        <v>0</v>
      </c>
      <c r="M201" s="3" t="n">
        <v>1</v>
      </c>
      <c r="N201" s="3" t="s">
        <v>19</v>
      </c>
    </row>
    <row r="202" customFormat="false" ht="15" hidden="false" customHeight="false" outlineLevel="0" collapsed="false">
      <c r="A202" s="3" t="s">
        <v>232</v>
      </c>
      <c r="B202" s="3" t="n">
        <v>27</v>
      </c>
      <c r="C202" s="3" t="s">
        <v>22</v>
      </c>
      <c r="D202" s="3" t="s">
        <v>23</v>
      </c>
      <c r="E202" s="3" t="s">
        <v>24</v>
      </c>
      <c r="F202" s="3" t="n">
        <v>0.5</v>
      </c>
      <c r="G202" s="3" t="n">
        <v>4421.59</v>
      </c>
      <c r="H202" s="3" t="s">
        <v>20</v>
      </c>
      <c r="I202" s="3" t="n">
        <v>2</v>
      </c>
      <c r="J202" s="3" t="n">
        <v>3</v>
      </c>
      <c r="K202" s="3" t="n">
        <v>2</v>
      </c>
      <c r="L202" s="3" t="n">
        <v>0</v>
      </c>
      <c r="M202" s="3" t="n">
        <v>0</v>
      </c>
      <c r="N202" s="3" t="s">
        <v>19</v>
      </c>
    </row>
    <row r="203" customFormat="false" ht="15" hidden="false" customHeight="false" outlineLevel="0" collapsed="false">
      <c r="A203" s="3" t="s">
        <v>233</v>
      </c>
      <c r="B203" s="3" t="n">
        <v>21</v>
      </c>
      <c r="C203" s="3" t="s">
        <v>16</v>
      </c>
      <c r="D203" s="3" t="s">
        <v>27</v>
      </c>
      <c r="E203" s="3" t="s">
        <v>24</v>
      </c>
      <c r="F203" s="3" t="n">
        <v>0</v>
      </c>
      <c r="G203" s="3" t="n">
        <v>8384</v>
      </c>
      <c r="H203" s="3" t="s">
        <v>19</v>
      </c>
      <c r="I203" s="3" t="n">
        <v>1</v>
      </c>
      <c r="J203" s="3" t="n">
        <v>3</v>
      </c>
      <c r="K203" s="3" t="n">
        <v>11</v>
      </c>
      <c r="L203" s="3" t="n">
        <v>0</v>
      </c>
      <c r="M203" s="3" t="n">
        <v>0</v>
      </c>
      <c r="N203" s="3" t="s">
        <v>20</v>
      </c>
    </row>
    <row r="204" customFormat="false" ht="15" hidden="false" customHeight="false" outlineLevel="0" collapsed="false">
      <c r="A204" s="3" t="s">
        <v>234</v>
      </c>
      <c r="B204" s="3" t="n">
        <v>21</v>
      </c>
      <c r="C204" s="3" t="s">
        <v>16</v>
      </c>
      <c r="D204" s="3" t="s">
        <v>17</v>
      </c>
      <c r="E204" s="3" t="s">
        <v>41</v>
      </c>
      <c r="F204" s="3" t="n">
        <v>0</v>
      </c>
      <c r="G204" s="3" t="n">
        <v>3016.61</v>
      </c>
      <c r="H204" s="3" t="s">
        <v>19</v>
      </c>
      <c r="I204" s="3" t="n">
        <v>4</v>
      </c>
      <c r="J204" s="3" t="n">
        <v>2</v>
      </c>
      <c r="K204" s="3" t="n">
        <v>13</v>
      </c>
      <c r="L204" s="3" t="n">
        <v>0</v>
      </c>
      <c r="M204" s="3" t="n">
        <v>2</v>
      </c>
      <c r="N204" s="3" t="s">
        <v>19</v>
      </c>
    </row>
    <row r="205" customFormat="false" ht="15" hidden="false" customHeight="false" outlineLevel="0" collapsed="false">
      <c r="A205" s="3" t="s">
        <v>235</v>
      </c>
      <c r="B205" s="3" t="n">
        <v>32</v>
      </c>
      <c r="C205" s="3" t="s">
        <v>26</v>
      </c>
      <c r="D205" s="3" t="s">
        <v>23</v>
      </c>
      <c r="E205" s="3" t="s">
        <v>28</v>
      </c>
      <c r="F205" s="3" t="n">
        <v>0.3</v>
      </c>
      <c r="G205" s="3" t="n">
        <v>4622.92</v>
      </c>
      <c r="H205" s="3" t="s">
        <v>20</v>
      </c>
      <c r="I205" s="3" t="n">
        <v>4</v>
      </c>
      <c r="J205" s="3" t="n">
        <v>4</v>
      </c>
      <c r="K205" s="3" t="n">
        <v>3</v>
      </c>
      <c r="L205" s="3" t="n">
        <v>0</v>
      </c>
      <c r="M205" s="3" t="n">
        <v>2</v>
      </c>
      <c r="N205" s="3" t="s">
        <v>19</v>
      </c>
    </row>
    <row r="206" customFormat="false" ht="15" hidden="false" customHeight="false" outlineLevel="0" collapsed="false">
      <c r="A206" s="3" t="s">
        <v>236</v>
      </c>
      <c r="B206" s="3" t="n">
        <v>26</v>
      </c>
      <c r="C206" s="3" t="s">
        <v>26</v>
      </c>
      <c r="D206" s="3" t="s">
        <v>17</v>
      </c>
      <c r="E206" s="3" t="s">
        <v>41</v>
      </c>
      <c r="F206" s="3" t="n">
        <v>1.1</v>
      </c>
      <c r="G206" s="3" t="n">
        <v>2886.08</v>
      </c>
      <c r="H206" s="3" t="s">
        <v>19</v>
      </c>
      <c r="I206" s="3" t="n">
        <v>4</v>
      </c>
      <c r="J206" s="3" t="n">
        <v>4</v>
      </c>
      <c r="K206" s="3" t="n">
        <v>4</v>
      </c>
      <c r="L206" s="3" t="n">
        <v>0</v>
      </c>
      <c r="M206" s="3" t="n">
        <v>1</v>
      </c>
      <c r="N206" s="3" t="s">
        <v>19</v>
      </c>
    </row>
    <row r="207" customFormat="false" ht="15" hidden="false" customHeight="false" outlineLevel="0" collapsed="false">
      <c r="A207" s="3" t="s">
        <v>237</v>
      </c>
      <c r="B207" s="3" t="n">
        <v>37</v>
      </c>
      <c r="C207" s="3" t="s">
        <v>26</v>
      </c>
      <c r="D207" s="3" t="s">
        <v>23</v>
      </c>
      <c r="E207" s="3" t="s">
        <v>24</v>
      </c>
      <c r="F207" s="3" t="n">
        <v>0.1</v>
      </c>
      <c r="G207" s="3" t="n">
        <v>4744.32</v>
      </c>
      <c r="H207" s="3" t="s">
        <v>19</v>
      </c>
      <c r="I207" s="3" t="n">
        <v>4</v>
      </c>
      <c r="J207" s="3" t="n">
        <v>3</v>
      </c>
      <c r="K207" s="3" t="n">
        <v>1</v>
      </c>
      <c r="L207" s="3" t="n">
        <v>0</v>
      </c>
      <c r="M207" s="3" t="n">
        <v>0</v>
      </c>
      <c r="N207" s="3" t="s">
        <v>20</v>
      </c>
    </row>
    <row r="208" customFormat="false" ht="15" hidden="false" customHeight="false" outlineLevel="0" collapsed="false">
      <c r="A208" s="3" t="s">
        <v>238</v>
      </c>
      <c r="B208" s="3" t="n">
        <v>36</v>
      </c>
      <c r="C208" s="3" t="s">
        <v>24</v>
      </c>
      <c r="D208" s="3" t="s">
        <v>23</v>
      </c>
      <c r="E208" s="3" t="s">
        <v>28</v>
      </c>
      <c r="F208" s="3" t="n">
        <v>1.6</v>
      </c>
      <c r="G208" s="3" t="n">
        <v>5496.97</v>
      </c>
      <c r="H208" s="3" t="s">
        <v>19</v>
      </c>
      <c r="I208" s="3" t="n">
        <v>3</v>
      </c>
      <c r="J208" s="3" t="n">
        <v>4</v>
      </c>
      <c r="K208" s="3" t="n">
        <v>1</v>
      </c>
      <c r="L208" s="3" t="n">
        <v>0</v>
      </c>
      <c r="M208" s="3" t="n">
        <v>3</v>
      </c>
      <c r="N208" s="3" t="s">
        <v>19</v>
      </c>
    </row>
    <row r="209" customFormat="false" ht="15" hidden="false" customHeight="false" outlineLevel="0" collapsed="false">
      <c r="A209" s="3" t="s">
        <v>239</v>
      </c>
      <c r="B209" s="3" t="n">
        <v>31</v>
      </c>
      <c r="C209" s="3" t="s">
        <v>26</v>
      </c>
      <c r="D209" s="3" t="s">
        <v>17</v>
      </c>
      <c r="E209" s="3" t="s">
        <v>28</v>
      </c>
      <c r="F209" s="3" t="n">
        <v>3.7</v>
      </c>
      <c r="G209" s="3" t="n">
        <v>3286.46</v>
      </c>
      <c r="H209" s="3" t="s">
        <v>19</v>
      </c>
      <c r="I209" s="3" t="n">
        <v>2</v>
      </c>
      <c r="J209" s="3" t="n">
        <v>3</v>
      </c>
      <c r="K209" s="3" t="n">
        <v>17</v>
      </c>
      <c r="L209" s="3" t="n">
        <v>3</v>
      </c>
      <c r="M209" s="3" t="n">
        <v>0</v>
      </c>
      <c r="N209" s="3" t="s">
        <v>20</v>
      </c>
    </row>
    <row r="210" customFormat="false" ht="15" hidden="false" customHeight="false" outlineLevel="0" collapsed="false">
      <c r="A210" s="3" t="s">
        <v>240</v>
      </c>
      <c r="B210" s="3" t="n">
        <v>27</v>
      </c>
      <c r="C210" s="3" t="s">
        <v>16</v>
      </c>
      <c r="D210" s="3" t="s">
        <v>17</v>
      </c>
      <c r="E210" s="3" t="s">
        <v>28</v>
      </c>
      <c r="F210" s="3" t="n">
        <v>1.1</v>
      </c>
      <c r="G210" s="3" t="n">
        <v>3034.98</v>
      </c>
      <c r="H210" s="3" t="s">
        <v>19</v>
      </c>
      <c r="I210" s="3" t="n">
        <v>2</v>
      </c>
      <c r="J210" s="3" t="n">
        <v>3</v>
      </c>
      <c r="K210" s="3" t="n">
        <v>1</v>
      </c>
      <c r="L210" s="3" t="n">
        <v>1</v>
      </c>
      <c r="M210" s="3" t="n">
        <v>2</v>
      </c>
      <c r="N210" s="3" t="s">
        <v>19</v>
      </c>
    </row>
    <row r="211" customFormat="false" ht="15" hidden="false" customHeight="false" outlineLevel="0" collapsed="false">
      <c r="A211" s="3" t="s">
        <v>241</v>
      </c>
      <c r="B211" s="3" t="n">
        <v>24</v>
      </c>
      <c r="C211" s="3" t="s">
        <v>16</v>
      </c>
      <c r="D211" s="3" t="s">
        <v>27</v>
      </c>
      <c r="E211" s="3" t="s">
        <v>28</v>
      </c>
      <c r="F211" s="3" t="n">
        <v>1.7</v>
      </c>
      <c r="G211" s="3" t="n">
        <v>6936.2</v>
      </c>
      <c r="H211" s="3" t="s">
        <v>19</v>
      </c>
      <c r="I211" s="3" t="n">
        <v>2</v>
      </c>
      <c r="J211" s="3" t="n">
        <v>3</v>
      </c>
      <c r="K211" s="3" t="n">
        <v>6</v>
      </c>
      <c r="L211" s="3" t="n">
        <v>0</v>
      </c>
      <c r="M211" s="3" t="n">
        <v>3</v>
      </c>
      <c r="N211" s="3" t="s">
        <v>19</v>
      </c>
    </row>
    <row r="212" customFormat="false" ht="15" hidden="false" customHeight="false" outlineLevel="0" collapsed="false">
      <c r="A212" s="3" t="s">
        <v>242</v>
      </c>
      <c r="B212" s="3" t="n">
        <v>31</v>
      </c>
      <c r="C212" s="3" t="s">
        <v>24</v>
      </c>
      <c r="D212" s="3" t="s">
        <v>27</v>
      </c>
      <c r="E212" s="3" t="s">
        <v>41</v>
      </c>
      <c r="F212" s="3" t="n">
        <v>0.4</v>
      </c>
      <c r="G212" s="3" t="n">
        <v>8546.52</v>
      </c>
      <c r="H212" s="3" t="s">
        <v>19</v>
      </c>
      <c r="I212" s="3" t="n">
        <v>4</v>
      </c>
      <c r="J212" s="3" t="n">
        <v>2</v>
      </c>
      <c r="K212" s="3" t="n">
        <v>21</v>
      </c>
      <c r="L212" s="3" t="n">
        <v>0</v>
      </c>
      <c r="M212" s="3" t="n">
        <v>1</v>
      </c>
      <c r="N212" s="3" t="s">
        <v>19</v>
      </c>
    </row>
    <row r="213" customFormat="false" ht="15" hidden="false" customHeight="false" outlineLevel="0" collapsed="false">
      <c r="A213" s="3" t="s">
        <v>243</v>
      </c>
      <c r="B213" s="3" t="n">
        <v>31</v>
      </c>
      <c r="C213" s="3" t="s">
        <v>16</v>
      </c>
      <c r="D213" s="3" t="s">
        <v>27</v>
      </c>
      <c r="E213" s="3" t="s">
        <v>28</v>
      </c>
      <c r="F213" s="3" t="n">
        <v>1.5</v>
      </c>
      <c r="G213" s="3" t="n">
        <v>7702.5</v>
      </c>
      <c r="H213" s="3" t="s">
        <v>19</v>
      </c>
      <c r="I213" s="3" t="n">
        <v>2</v>
      </c>
      <c r="J213" s="3" t="n">
        <v>3</v>
      </c>
      <c r="K213" s="3" t="n">
        <v>1</v>
      </c>
      <c r="L213" s="3" t="n">
        <v>1</v>
      </c>
      <c r="M213" s="3" t="n">
        <v>1</v>
      </c>
      <c r="N213" s="3" t="s">
        <v>19</v>
      </c>
    </row>
    <row r="214" customFormat="false" ht="15" hidden="false" customHeight="false" outlineLevel="0" collapsed="false">
      <c r="A214" s="3" t="s">
        <v>244</v>
      </c>
      <c r="B214" s="3" t="n">
        <v>24</v>
      </c>
      <c r="C214" s="3" t="s">
        <v>16</v>
      </c>
      <c r="D214" s="3" t="s">
        <v>17</v>
      </c>
      <c r="E214" s="3" t="s">
        <v>18</v>
      </c>
      <c r="F214" s="3" t="n">
        <v>1.4</v>
      </c>
      <c r="G214" s="3" t="n">
        <v>3477.7</v>
      </c>
      <c r="H214" s="3" t="s">
        <v>19</v>
      </c>
      <c r="I214" s="3" t="n">
        <v>4</v>
      </c>
      <c r="J214" s="3" t="n">
        <v>3</v>
      </c>
      <c r="K214" s="3" t="n">
        <v>14</v>
      </c>
      <c r="L214" s="3" t="n">
        <v>0</v>
      </c>
      <c r="M214" s="3" t="n">
        <v>1</v>
      </c>
      <c r="N214" s="3" t="s">
        <v>19</v>
      </c>
    </row>
    <row r="215" customFormat="false" ht="15" hidden="false" customHeight="false" outlineLevel="0" collapsed="false">
      <c r="A215" s="3" t="s">
        <v>245</v>
      </c>
      <c r="B215" s="3" t="n">
        <v>31</v>
      </c>
      <c r="C215" s="3" t="s">
        <v>26</v>
      </c>
      <c r="D215" s="3" t="s">
        <v>23</v>
      </c>
      <c r="E215" s="3" t="s">
        <v>24</v>
      </c>
      <c r="F215" s="3" t="n">
        <v>1.2</v>
      </c>
      <c r="G215" s="3" t="n">
        <v>5036.42</v>
      </c>
      <c r="H215" s="3" t="s">
        <v>20</v>
      </c>
      <c r="I215" s="3" t="n">
        <v>3</v>
      </c>
      <c r="J215" s="3" t="n">
        <v>3</v>
      </c>
      <c r="K215" s="3" t="n">
        <v>34</v>
      </c>
      <c r="L215" s="3" t="n">
        <v>1</v>
      </c>
      <c r="M215" s="3" t="n">
        <v>7</v>
      </c>
      <c r="N215" s="3" t="s">
        <v>20</v>
      </c>
    </row>
    <row r="216" customFormat="false" ht="15" hidden="false" customHeight="false" outlineLevel="0" collapsed="false">
      <c r="A216" s="3" t="s">
        <v>246</v>
      </c>
      <c r="B216" s="3" t="n">
        <v>21</v>
      </c>
      <c r="C216" s="3" t="s">
        <v>22</v>
      </c>
      <c r="D216" s="3" t="s">
        <v>23</v>
      </c>
      <c r="E216" s="3" t="s">
        <v>28</v>
      </c>
      <c r="F216" s="3" t="n">
        <v>0</v>
      </c>
      <c r="G216" s="3" t="n">
        <v>4585.69</v>
      </c>
      <c r="H216" s="3" t="s">
        <v>19</v>
      </c>
      <c r="I216" s="3" t="n">
        <v>3</v>
      </c>
      <c r="J216" s="3" t="n">
        <v>2</v>
      </c>
      <c r="K216" s="3" t="n">
        <v>11</v>
      </c>
      <c r="L216" s="3" t="n">
        <v>0</v>
      </c>
      <c r="M216" s="3" t="n">
        <v>1</v>
      </c>
      <c r="N216" s="3" t="s">
        <v>19</v>
      </c>
    </row>
    <row r="217" customFormat="false" ht="15" hidden="false" customHeight="false" outlineLevel="0" collapsed="false">
      <c r="A217" s="3" t="s">
        <v>247</v>
      </c>
      <c r="B217" s="3" t="n">
        <v>43</v>
      </c>
      <c r="C217" s="3" t="s">
        <v>22</v>
      </c>
      <c r="D217" s="3" t="s">
        <v>27</v>
      </c>
      <c r="E217" s="3" t="s">
        <v>41</v>
      </c>
      <c r="F217" s="3" t="n">
        <v>0.6</v>
      </c>
      <c r="G217" s="3" t="n">
        <v>6278.1</v>
      </c>
      <c r="H217" s="3" t="s">
        <v>19</v>
      </c>
      <c r="I217" s="3" t="n">
        <v>3</v>
      </c>
      <c r="J217" s="3" t="n">
        <v>3</v>
      </c>
      <c r="K217" s="3" t="n">
        <v>1</v>
      </c>
      <c r="L217" s="3" t="n">
        <v>0</v>
      </c>
      <c r="M217" s="3" t="n">
        <v>0</v>
      </c>
      <c r="N217" s="3" t="s">
        <v>19</v>
      </c>
    </row>
    <row r="218" customFormat="false" ht="15" hidden="false" customHeight="false" outlineLevel="0" collapsed="false">
      <c r="A218" s="3" t="s">
        <v>248</v>
      </c>
      <c r="B218" s="3" t="n">
        <v>42</v>
      </c>
      <c r="C218" s="3" t="s">
        <v>16</v>
      </c>
      <c r="D218" s="3" t="s">
        <v>23</v>
      </c>
      <c r="E218" s="3" t="s">
        <v>24</v>
      </c>
      <c r="F218" s="3" t="n">
        <v>14.4</v>
      </c>
      <c r="G218" s="3" t="n">
        <v>5284.64</v>
      </c>
      <c r="H218" s="3" t="s">
        <v>19</v>
      </c>
      <c r="I218" s="3" t="n">
        <v>1</v>
      </c>
      <c r="J218" s="3" t="n">
        <v>1</v>
      </c>
      <c r="K218" s="3" t="n">
        <v>7</v>
      </c>
      <c r="L218" s="3" t="n">
        <v>1</v>
      </c>
      <c r="M218" s="3" t="n">
        <v>1</v>
      </c>
      <c r="N218" s="3" t="s">
        <v>20</v>
      </c>
    </row>
    <row r="219" customFormat="false" ht="15" hidden="false" customHeight="false" outlineLevel="0" collapsed="false">
      <c r="A219" s="3" t="s">
        <v>249</v>
      </c>
      <c r="B219" s="3" t="n">
        <v>23</v>
      </c>
      <c r="C219" s="3" t="s">
        <v>32</v>
      </c>
      <c r="D219" s="3" t="s">
        <v>27</v>
      </c>
      <c r="E219" s="3" t="s">
        <v>18</v>
      </c>
      <c r="F219" s="3" t="n">
        <v>2</v>
      </c>
      <c r="G219" s="3" t="n">
        <v>7039.69</v>
      </c>
      <c r="H219" s="3" t="s">
        <v>19</v>
      </c>
      <c r="I219" s="3" t="n">
        <v>2</v>
      </c>
      <c r="J219" s="3" t="n">
        <v>3</v>
      </c>
      <c r="K219" s="3" t="n">
        <v>8</v>
      </c>
      <c r="L219" s="3" t="n">
        <v>2</v>
      </c>
      <c r="M219" s="3" t="n">
        <v>3</v>
      </c>
      <c r="N219" s="3" t="s">
        <v>20</v>
      </c>
    </row>
    <row r="220" customFormat="false" ht="15" hidden="false" customHeight="false" outlineLevel="0" collapsed="false">
      <c r="A220" s="3" t="s">
        <v>250</v>
      </c>
      <c r="B220" s="3" t="n">
        <v>31</v>
      </c>
      <c r="C220" s="3" t="s">
        <v>22</v>
      </c>
      <c r="D220" s="3" t="s">
        <v>23</v>
      </c>
      <c r="E220" s="3" t="s">
        <v>41</v>
      </c>
      <c r="F220" s="3" t="n">
        <v>3.8</v>
      </c>
      <c r="G220" s="3" t="n">
        <v>4983.63</v>
      </c>
      <c r="H220" s="3" t="s">
        <v>19</v>
      </c>
      <c r="I220" s="3" t="n">
        <v>3</v>
      </c>
      <c r="J220" s="3" t="n">
        <v>3</v>
      </c>
      <c r="K220" s="3" t="n">
        <v>1</v>
      </c>
      <c r="L220" s="3" t="n">
        <v>3</v>
      </c>
      <c r="M220" s="3" t="n">
        <v>4</v>
      </c>
      <c r="N220" s="3" t="s">
        <v>19</v>
      </c>
    </row>
    <row r="221" customFormat="false" ht="15" hidden="false" customHeight="false" outlineLevel="0" collapsed="false">
      <c r="A221" s="3" t="s">
        <v>251</v>
      </c>
      <c r="B221" s="3" t="n">
        <v>31</v>
      </c>
      <c r="C221" s="3" t="s">
        <v>24</v>
      </c>
      <c r="D221" s="3" t="s">
        <v>23</v>
      </c>
      <c r="E221" s="3" t="s">
        <v>18</v>
      </c>
      <c r="F221" s="3" t="n">
        <v>1.3</v>
      </c>
      <c r="G221" s="3" t="n">
        <v>4938.84</v>
      </c>
      <c r="H221" s="3" t="s">
        <v>19</v>
      </c>
      <c r="I221" s="3" t="n">
        <v>3</v>
      </c>
      <c r="J221" s="3" t="n">
        <v>2</v>
      </c>
      <c r="K221" s="3" t="n">
        <v>10</v>
      </c>
      <c r="L221" s="3" t="n">
        <v>0</v>
      </c>
      <c r="M221" s="3" t="n">
        <v>1</v>
      </c>
      <c r="N221" s="3" t="s">
        <v>19</v>
      </c>
    </row>
    <row r="222" customFormat="false" ht="15" hidden="false" customHeight="false" outlineLevel="0" collapsed="false">
      <c r="A222" s="3" t="s">
        <v>252</v>
      </c>
      <c r="B222" s="3" t="n">
        <v>39</v>
      </c>
      <c r="C222" s="3" t="s">
        <v>16</v>
      </c>
      <c r="D222" s="3" t="s">
        <v>48</v>
      </c>
      <c r="E222" s="3" t="s">
        <v>41</v>
      </c>
      <c r="F222" s="3" t="n">
        <v>2.6</v>
      </c>
      <c r="G222" s="3" t="n">
        <v>10399.56</v>
      </c>
      <c r="H222" s="3" t="s">
        <v>19</v>
      </c>
      <c r="I222" s="3" t="n">
        <v>4</v>
      </c>
      <c r="J222" s="3" t="n">
        <v>3</v>
      </c>
      <c r="K222" s="3" t="n">
        <v>1</v>
      </c>
      <c r="L222" s="3" t="n">
        <v>2</v>
      </c>
      <c r="M222" s="3" t="n">
        <v>6</v>
      </c>
      <c r="N222" s="3" t="s">
        <v>19</v>
      </c>
    </row>
    <row r="223" customFormat="false" ht="15" hidden="false" customHeight="false" outlineLevel="0" collapsed="false">
      <c r="A223" s="3" t="s">
        <v>253</v>
      </c>
      <c r="B223" s="3" t="n">
        <v>29</v>
      </c>
      <c r="C223" s="3" t="s">
        <v>24</v>
      </c>
      <c r="D223" s="3" t="s">
        <v>17</v>
      </c>
      <c r="E223" s="3" t="s">
        <v>18</v>
      </c>
      <c r="F223" s="3" t="n">
        <v>4.8</v>
      </c>
      <c r="G223" s="3" t="n">
        <v>3543.49</v>
      </c>
      <c r="H223" s="3" t="s">
        <v>19</v>
      </c>
      <c r="I223" s="3" t="n">
        <v>4</v>
      </c>
      <c r="J223" s="3" t="n">
        <v>3</v>
      </c>
      <c r="K223" s="3" t="n">
        <v>12</v>
      </c>
      <c r="L223" s="3" t="n">
        <v>1</v>
      </c>
      <c r="M223" s="3" t="n">
        <v>3</v>
      </c>
      <c r="N223" s="3" t="s">
        <v>20</v>
      </c>
    </row>
    <row r="224" customFormat="false" ht="15" hidden="false" customHeight="false" outlineLevel="0" collapsed="false">
      <c r="A224" s="3" t="s">
        <v>254</v>
      </c>
      <c r="B224" s="3" t="n">
        <v>28</v>
      </c>
      <c r="C224" s="3" t="s">
        <v>22</v>
      </c>
      <c r="D224" s="3" t="s">
        <v>17</v>
      </c>
      <c r="E224" s="3" t="s">
        <v>18</v>
      </c>
      <c r="F224" s="3" t="n">
        <v>2.4</v>
      </c>
      <c r="G224" s="3" t="n">
        <v>2798</v>
      </c>
      <c r="H224" s="3" t="s">
        <v>19</v>
      </c>
      <c r="I224" s="3" t="n">
        <v>4</v>
      </c>
      <c r="J224" s="3" t="n">
        <v>4</v>
      </c>
      <c r="K224" s="3" t="n">
        <v>9</v>
      </c>
      <c r="L224" s="3" t="n">
        <v>1</v>
      </c>
      <c r="M224" s="3" t="n">
        <v>1</v>
      </c>
      <c r="N224" s="3" t="s">
        <v>19</v>
      </c>
    </row>
    <row r="225" customFormat="false" ht="15" hidden="false" customHeight="false" outlineLevel="0" collapsed="false">
      <c r="A225" s="3" t="s">
        <v>255</v>
      </c>
      <c r="B225" s="3" t="n">
        <v>21</v>
      </c>
      <c r="C225" s="3" t="s">
        <v>24</v>
      </c>
      <c r="D225" s="3" t="s">
        <v>27</v>
      </c>
      <c r="E225" s="3" t="s">
        <v>41</v>
      </c>
      <c r="F225" s="3" t="n">
        <v>0</v>
      </c>
      <c r="G225" s="3" t="n">
        <v>7073.34</v>
      </c>
      <c r="H225" s="3" t="s">
        <v>19</v>
      </c>
      <c r="I225" s="3" t="n">
        <v>2</v>
      </c>
      <c r="J225" s="3" t="n">
        <v>1</v>
      </c>
      <c r="K225" s="3" t="n">
        <v>3</v>
      </c>
      <c r="L225" s="3" t="n">
        <v>0</v>
      </c>
      <c r="M225" s="3" t="n">
        <v>3</v>
      </c>
      <c r="N225" s="3" t="s">
        <v>19</v>
      </c>
    </row>
    <row r="226" customFormat="false" ht="15" hidden="false" customHeight="false" outlineLevel="0" collapsed="false">
      <c r="A226" s="3" t="s">
        <v>256</v>
      </c>
      <c r="B226" s="3" t="n">
        <v>22</v>
      </c>
      <c r="C226" s="3" t="s">
        <v>22</v>
      </c>
      <c r="D226" s="3" t="s">
        <v>27</v>
      </c>
      <c r="E226" s="3" t="s">
        <v>18</v>
      </c>
      <c r="F226" s="3" t="n">
        <v>1</v>
      </c>
      <c r="G226" s="3" t="n">
        <v>7513.74</v>
      </c>
      <c r="H226" s="3" t="s">
        <v>20</v>
      </c>
      <c r="I226" s="3" t="n">
        <v>4</v>
      </c>
      <c r="J226" s="3" t="n">
        <v>2</v>
      </c>
      <c r="K226" s="3" t="n">
        <v>6</v>
      </c>
      <c r="L226" s="3" t="n">
        <v>1</v>
      </c>
      <c r="M226" s="3" t="n">
        <v>4</v>
      </c>
      <c r="N226" s="3" t="s">
        <v>19</v>
      </c>
    </row>
    <row r="227" customFormat="false" ht="15" hidden="false" customHeight="false" outlineLevel="0" collapsed="false">
      <c r="A227" s="3" t="s">
        <v>257</v>
      </c>
      <c r="B227" s="3" t="n">
        <v>35</v>
      </c>
      <c r="C227" s="3" t="s">
        <v>32</v>
      </c>
      <c r="D227" s="3" t="s">
        <v>17</v>
      </c>
      <c r="E227" s="3" t="s">
        <v>18</v>
      </c>
      <c r="F227" s="3" t="n">
        <v>2</v>
      </c>
      <c r="G227" s="3" t="n">
        <v>2869.23</v>
      </c>
      <c r="H227" s="3" t="s">
        <v>19</v>
      </c>
      <c r="I227" s="3" t="n">
        <v>4</v>
      </c>
      <c r="J227" s="3" t="n">
        <v>3</v>
      </c>
      <c r="K227" s="3" t="n">
        <v>3</v>
      </c>
      <c r="L227" s="3" t="n">
        <v>1</v>
      </c>
      <c r="M227" s="3" t="n">
        <v>3</v>
      </c>
      <c r="N227" s="3" t="s">
        <v>19</v>
      </c>
    </row>
    <row r="228" customFormat="false" ht="15" hidden="false" customHeight="false" outlineLevel="0" collapsed="false">
      <c r="A228" s="3" t="s">
        <v>258</v>
      </c>
      <c r="B228" s="3" t="n">
        <v>40</v>
      </c>
      <c r="C228" s="3" t="s">
        <v>26</v>
      </c>
      <c r="D228" s="3" t="s">
        <v>17</v>
      </c>
      <c r="E228" s="3" t="s">
        <v>28</v>
      </c>
      <c r="F228" s="3" t="n">
        <v>6.9</v>
      </c>
      <c r="G228" s="3" t="n">
        <v>3102.85</v>
      </c>
      <c r="H228" s="3" t="s">
        <v>19</v>
      </c>
      <c r="I228" s="3" t="n">
        <v>3</v>
      </c>
      <c r="J228" s="3" t="n">
        <v>4</v>
      </c>
      <c r="K228" s="3" t="n">
        <v>6</v>
      </c>
      <c r="L228" s="3" t="n">
        <v>4</v>
      </c>
      <c r="M228" s="3" t="n">
        <v>3</v>
      </c>
      <c r="N228" s="3" t="s">
        <v>19</v>
      </c>
    </row>
    <row r="229" customFormat="false" ht="15" hidden="false" customHeight="false" outlineLevel="0" collapsed="false">
      <c r="A229" s="3" t="s">
        <v>259</v>
      </c>
      <c r="B229" s="3" t="n">
        <v>30</v>
      </c>
      <c r="C229" s="3" t="s">
        <v>26</v>
      </c>
      <c r="D229" s="3" t="s">
        <v>23</v>
      </c>
      <c r="E229" s="3" t="s">
        <v>41</v>
      </c>
      <c r="F229" s="3" t="n">
        <v>2.3</v>
      </c>
      <c r="G229" s="3" t="n">
        <v>4623.63</v>
      </c>
      <c r="H229" s="3" t="s">
        <v>20</v>
      </c>
      <c r="I229" s="3" t="n">
        <v>4</v>
      </c>
      <c r="J229" s="3" t="n">
        <v>2</v>
      </c>
      <c r="K229" s="3" t="n">
        <v>1</v>
      </c>
      <c r="L229" s="3" t="n">
        <v>2</v>
      </c>
      <c r="M229" s="3" t="n">
        <v>0</v>
      </c>
      <c r="N229" s="3" t="s">
        <v>20</v>
      </c>
    </row>
    <row r="230" customFormat="false" ht="15" hidden="false" customHeight="false" outlineLevel="0" collapsed="false">
      <c r="A230" s="3" t="s">
        <v>260</v>
      </c>
      <c r="B230" s="3" t="n">
        <v>46</v>
      </c>
      <c r="C230" s="3" t="s">
        <v>45</v>
      </c>
      <c r="D230" s="3" t="s">
        <v>17</v>
      </c>
      <c r="E230" s="3" t="s">
        <v>18</v>
      </c>
      <c r="F230" s="3" t="n">
        <v>11.4</v>
      </c>
      <c r="G230" s="4"/>
      <c r="H230" s="3" t="s">
        <v>19</v>
      </c>
      <c r="I230" s="3" t="n">
        <v>4</v>
      </c>
      <c r="J230" s="3" t="n">
        <v>3</v>
      </c>
      <c r="K230" s="3" t="n">
        <v>15</v>
      </c>
      <c r="L230" s="3" t="n">
        <v>0</v>
      </c>
      <c r="M230" s="3" t="n">
        <v>2</v>
      </c>
      <c r="N230" s="3" t="s">
        <v>19</v>
      </c>
    </row>
    <row r="231" customFormat="false" ht="15" hidden="false" customHeight="false" outlineLevel="0" collapsed="false">
      <c r="A231" s="3" t="s">
        <v>261</v>
      </c>
      <c r="B231" s="3" t="n">
        <v>33</v>
      </c>
      <c r="C231" s="3" t="s">
        <v>16</v>
      </c>
      <c r="D231" s="3" t="s">
        <v>48</v>
      </c>
      <c r="E231" s="3" t="s">
        <v>28</v>
      </c>
      <c r="F231" s="3" t="n">
        <v>1.4</v>
      </c>
      <c r="G231" s="3" t="n">
        <v>9189.04</v>
      </c>
      <c r="H231" s="3" t="s">
        <v>20</v>
      </c>
      <c r="I231" s="3" t="n">
        <v>2</v>
      </c>
      <c r="J231" s="3" t="n">
        <v>2</v>
      </c>
      <c r="K231" s="3" t="n">
        <v>6</v>
      </c>
      <c r="L231" s="3" t="n">
        <v>1</v>
      </c>
      <c r="M231" s="3" t="n">
        <v>1</v>
      </c>
      <c r="N231" s="3" t="s">
        <v>19</v>
      </c>
    </row>
    <row r="232" customFormat="false" ht="15" hidden="false" customHeight="false" outlineLevel="0" collapsed="false">
      <c r="A232" s="3" t="s">
        <v>262</v>
      </c>
      <c r="B232" s="3" t="n">
        <v>27</v>
      </c>
      <c r="C232" s="3" t="s">
        <v>16</v>
      </c>
      <c r="D232" s="3" t="s">
        <v>17</v>
      </c>
      <c r="E232" s="3" t="s">
        <v>18</v>
      </c>
      <c r="F232" s="3" t="n">
        <v>2</v>
      </c>
      <c r="G232" s="3" t="n">
        <v>3807.25</v>
      </c>
      <c r="H232" s="3" t="s">
        <v>19</v>
      </c>
      <c r="I232" s="3" t="n">
        <v>3</v>
      </c>
      <c r="J232" s="3" t="n">
        <v>2</v>
      </c>
      <c r="K232" s="3" t="n">
        <v>1</v>
      </c>
      <c r="L232" s="3" t="n">
        <v>0</v>
      </c>
      <c r="M232" s="3" t="n">
        <v>1</v>
      </c>
      <c r="N232" s="3" t="s">
        <v>19</v>
      </c>
    </row>
    <row r="233" customFormat="false" ht="15" hidden="false" customHeight="false" outlineLevel="0" collapsed="false">
      <c r="A233" s="3" t="s">
        <v>263</v>
      </c>
      <c r="B233" s="3" t="n">
        <v>38</v>
      </c>
      <c r="C233" s="3" t="s">
        <v>22</v>
      </c>
      <c r="D233" s="3" t="s">
        <v>17</v>
      </c>
      <c r="E233" s="3" t="s">
        <v>41</v>
      </c>
      <c r="F233" s="3" t="n">
        <v>0.6</v>
      </c>
      <c r="G233" s="3" t="n">
        <v>3228.92</v>
      </c>
      <c r="H233" s="3" t="s">
        <v>19</v>
      </c>
      <c r="I233" s="3" t="n">
        <v>4</v>
      </c>
      <c r="J233" s="3" t="n">
        <v>4</v>
      </c>
      <c r="K233" s="3" t="n">
        <v>25</v>
      </c>
      <c r="L233" s="3" t="n">
        <v>0</v>
      </c>
      <c r="M233" s="3" t="n">
        <v>2</v>
      </c>
      <c r="N233" s="3" t="s">
        <v>20</v>
      </c>
    </row>
    <row r="234" customFormat="false" ht="15" hidden="false" customHeight="false" outlineLevel="0" collapsed="false">
      <c r="A234" s="3" t="s">
        <v>264</v>
      </c>
      <c r="B234" s="3" t="n">
        <v>46</v>
      </c>
      <c r="C234" s="3" t="s">
        <v>16</v>
      </c>
      <c r="D234" s="3" t="s">
        <v>17</v>
      </c>
      <c r="E234" s="3" t="s">
        <v>28</v>
      </c>
      <c r="F234" s="3" t="n">
        <v>3.2</v>
      </c>
      <c r="G234" s="3" t="n">
        <v>3261.99</v>
      </c>
      <c r="H234" s="3" t="s">
        <v>19</v>
      </c>
      <c r="I234" s="3" t="n">
        <v>3</v>
      </c>
      <c r="J234" s="3" t="n">
        <v>3</v>
      </c>
      <c r="K234" s="3" t="n">
        <v>1</v>
      </c>
      <c r="L234" s="3" t="n">
        <v>1</v>
      </c>
      <c r="M234" s="3" t="n">
        <v>2</v>
      </c>
      <c r="N234" s="3" t="s">
        <v>19</v>
      </c>
    </row>
    <row r="235" customFormat="false" ht="15" hidden="false" customHeight="false" outlineLevel="0" collapsed="false">
      <c r="A235" s="3" t="s">
        <v>265</v>
      </c>
      <c r="B235" s="3" t="n">
        <v>41</v>
      </c>
      <c r="C235" s="3" t="s">
        <v>26</v>
      </c>
      <c r="D235" s="3" t="s">
        <v>17</v>
      </c>
      <c r="E235" s="3" t="s">
        <v>28</v>
      </c>
      <c r="F235" s="3" t="n">
        <v>4.7</v>
      </c>
      <c r="G235" s="3" t="n">
        <v>3304.6</v>
      </c>
      <c r="H235" s="3" t="s">
        <v>19</v>
      </c>
      <c r="I235" s="3" t="n">
        <v>1</v>
      </c>
      <c r="J235" s="3" t="n">
        <v>1</v>
      </c>
      <c r="K235" s="3" t="n">
        <v>1</v>
      </c>
      <c r="L235" s="3" t="n">
        <v>4</v>
      </c>
      <c r="M235" s="3" t="n">
        <v>2</v>
      </c>
      <c r="N235" s="3" t="s">
        <v>19</v>
      </c>
    </row>
    <row r="236" customFormat="false" ht="15" hidden="false" customHeight="false" outlineLevel="0" collapsed="false">
      <c r="A236" s="3" t="s">
        <v>266</v>
      </c>
      <c r="B236" s="3" t="n">
        <v>38</v>
      </c>
      <c r="C236" s="3" t="s">
        <v>22</v>
      </c>
      <c r="D236" s="3" t="s">
        <v>23</v>
      </c>
      <c r="E236" s="3" t="s">
        <v>24</v>
      </c>
      <c r="F236" s="3" t="n">
        <v>3</v>
      </c>
      <c r="G236" s="3" t="n">
        <v>5090.74</v>
      </c>
      <c r="H236" s="3" t="s">
        <v>20</v>
      </c>
      <c r="I236" s="3" t="n">
        <v>3</v>
      </c>
      <c r="J236" s="3" t="n">
        <v>4</v>
      </c>
      <c r="K236" s="3" t="n">
        <v>7</v>
      </c>
      <c r="L236" s="3" t="n">
        <v>2</v>
      </c>
      <c r="M236" s="3" t="n">
        <v>4</v>
      </c>
      <c r="N236" s="3" t="s">
        <v>19</v>
      </c>
    </row>
    <row r="237" customFormat="false" ht="15" hidden="false" customHeight="false" outlineLevel="0" collapsed="false">
      <c r="A237" s="3" t="s">
        <v>267</v>
      </c>
      <c r="B237" s="3" t="n">
        <v>34</v>
      </c>
      <c r="C237" s="3" t="s">
        <v>22</v>
      </c>
      <c r="D237" s="3" t="s">
        <v>17</v>
      </c>
      <c r="E237" s="3" t="s">
        <v>41</v>
      </c>
      <c r="F237" s="3" t="n">
        <v>5.3</v>
      </c>
      <c r="G237" s="3" t="n">
        <v>3535.88</v>
      </c>
      <c r="H237" s="3" t="s">
        <v>20</v>
      </c>
      <c r="I237" s="3" t="n">
        <v>2</v>
      </c>
      <c r="J237" s="3" t="n">
        <v>3</v>
      </c>
      <c r="K237" s="3" t="n">
        <v>6</v>
      </c>
      <c r="L237" s="3" t="n">
        <v>4</v>
      </c>
      <c r="M237" s="3" t="n">
        <v>5</v>
      </c>
      <c r="N237" s="3" t="s">
        <v>20</v>
      </c>
    </row>
    <row r="238" customFormat="false" ht="15" hidden="false" customHeight="false" outlineLevel="0" collapsed="false">
      <c r="A238" s="3" t="s">
        <v>268</v>
      </c>
      <c r="B238" s="3" t="n">
        <v>34</v>
      </c>
      <c r="C238" s="3" t="s">
        <v>22</v>
      </c>
      <c r="D238" s="3" t="s">
        <v>17</v>
      </c>
      <c r="E238" s="3" t="s">
        <v>41</v>
      </c>
      <c r="F238" s="3" t="n">
        <v>7.6</v>
      </c>
      <c r="G238" s="3" t="n">
        <v>2725.34</v>
      </c>
      <c r="H238" s="3" t="s">
        <v>20</v>
      </c>
      <c r="I238" s="3" t="n">
        <v>2</v>
      </c>
      <c r="J238" s="3" t="n">
        <v>4</v>
      </c>
      <c r="K238" s="3" t="n">
        <v>3</v>
      </c>
      <c r="L238" s="3" t="n">
        <v>0</v>
      </c>
      <c r="M238" s="3" t="n">
        <v>1</v>
      </c>
      <c r="N238" s="3" t="s">
        <v>20</v>
      </c>
    </row>
    <row r="239" customFormat="false" ht="15" hidden="false" customHeight="false" outlineLevel="0" collapsed="false">
      <c r="A239" s="3" t="s">
        <v>269</v>
      </c>
      <c r="B239" s="3" t="n">
        <v>31</v>
      </c>
      <c r="C239" s="3" t="s">
        <v>24</v>
      </c>
      <c r="D239" s="3" t="s">
        <v>17</v>
      </c>
      <c r="E239" s="3" t="s">
        <v>18</v>
      </c>
      <c r="F239" s="3" t="n">
        <v>2.5</v>
      </c>
      <c r="G239" s="3" t="n">
        <v>3470.85</v>
      </c>
      <c r="H239" s="3" t="s">
        <v>19</v>
      </c>
      <c r="I239" s="3" t="n">
        <v>3</v>
      </c>
      <c r="J239" s="3" t="n">
        <v>1</v>
      </c>
      <c r="K239" s="3" t="n">
        <v>28</v>
      </c>
      <c r="L239" s="3" t="n">
        <v>0</v>
      </c>
      <c r="M239" s="3" t="n">
        <v>3</v>
      </c>
      <c r="N239" s="3" t="s">
        <v>19</v>
      </c>
    </row>
    <row r="240" customFormat="false" ht="15" hidden="false" customHeight="false" outlineLevel="0" collapsed="false">
      <c r="A240" s="3" t="s">
        <v>270</v>
      </c>
      <c r="B240" s="3" t="n">
        <v>21</v>
      </c>
      <c r="C240" s="3" t="s">
        <v>45</v>
      </c>
      <c r="D240" s="3" t="s">
        <v>27</v>
      </c>
      <c r="E240" s="3" t="s">
        <v>24</v>
      </c>
      <c r="F240" s="3" t="n">
        <v>0</v>
      </c>
      <c r="G240" s="3" t="n">
        <v>8204.25</v>
      </c>
      <c r="H240" s="3" t="s">
        <v>19</v>
      </c>
      <c r="I240" s="3" t="n">
        <v>2</v>
      </c>
      <c r="J240" s="3" t="n">
        <v>3</v>
      </c>
      <c r="K240" s="3" t="n">
        <v>21</v>
      </c>
      <c r="L240" s="3" t="n">
        <v>0</v>
      </c>
      <c r="M240" s="3" t="n">
        <v>3</v>
      </c>
      <c r="N240" s="3" t="s">
        <v>20</v>
      </c>
    </row>
    <row r="241" customFormat="false" ht="15" hidden="false" customHeight="false" outlineLevel="0" collapsed="false">
      <c r="A241" s="3" t="s">
        <v>271</v>
      </c>
      <c r="B241" s="3" t="n">
        <v>31</v>
      </c>
      <c r="C241" s="3" t="s">
        <v>45</v>
      </c>
      <c r="D241" s="3" t="s">
        <v>17</v>
      </c>
      <c r="E241" s="3" t="s">
        <v>24</v>
      </c>
      <c r="F241" s="3" t="n">
        <v>1.3</v>
      </c>
      <c r="G241" s="4"/>
      <c r="H241" s="3" t="s">
        <v>19</v>
      </c>
      <c r="I241" s="3" t="n">
        <v>3</v>
      </c>
      <c r="J241" s="3" t="n">
        <v>3</v>
      </c>
      <c r="K241" s="3" t="n">
        <v>1</v>
      </c>
      <c r="L241" s="3" t="n">
        <v>0</v>
      </c>
      <c r="M241" s="3" t="n">
        <v>2</v>
      </c>
      <c r="N241" s="3" t="s">
        <v>19</v>
      </c>
    </row>
    <row r="242" customFormat="false" ht="15" hidden="false" customHeight="false" outlineLevel="0" collapsed="false">
      <c r="A242" s="3" t="s">
        <v>272</v>
      </c>
      <c r="B242" s="3" t="n">
        <v>30</v>
      </c>
      <c r="C242" s="3" t="s">
        <v>45</v>
      </c>
      <c r="D242" s="3" t="s">
        <v>23</v>
      </c>
      <c r="E242" s="3" t="s">
        <v>28</v>
      </c>
      <c r="F242" s="3" t="n">
        <v>0.5</v>
      </c>
      <c r="G242" s="3" t="n">
        <v>4208.36</v>
      </c>
      <c r="H242" s="3" t="s">
        <v>19</v>
      </c>
      <c r="I242" s="3" t="n">
        <v>4</v>
      </c>
      <c r="J242" s="3" t="n">
        <v>2</v>
      </c>
      <c r="K242" s="3" t="n">
        <v>40</v>
      </c>
      <c r="L242" s="3" t="n">
        <v>0</v>
      </c>
      <c r="M242" s="3" t="n">
        <v>3</v>
      </c>
      <c r="N242" s="3" t="s">
        <v>19</v>
      </c>
    </row>
    <row r="243" customFormat="false" ht="15" hidden="false" customHeight="false" outlineLevel="0" collapsed="false">
      <c r="A243" s="3" t="s">
        <v>273</v>
      </c>
      <c r="B243" s="3" t="n">
        <v>45</v>
      </c>
      <c r="C243" s="3" t="s">
        <v>26</v>
      </c>
      <c r="D243" s="3" t="s">
        <v>17</v>
      </c>
      <c r="E243" s="3" t="s">
        <v>28</v>
      </c>
      <c r="F243" s="3" t="n">
        <v>2.4</v>
      </c>
      <c r="G243" s="3" t="n">
        <v>3722.79</v>
      </c>
      <c r="H243" s="3" t="s">
        <v>20</v>
      </c>
      <c r="I243" s="3" t="n">
        <v>3</v>
      </c>
      <c r="J243" s="3" t="n">
        <v>3</v>
      </c>
      <c r="K243" s="3" t="n">
        <v>40</v>
      </c>
      <c r="L243" s="3" t="n">
        <v>0</v>
      </c>
      <c r="M243" s="3" t="n">
        <v>2</v>
      </c>
      <c r="N243" s="3" t="s">
        <v>19</v>
      </c>
    </row>
    <row r="244" customFormat="false" ht="15" hidden="false" customHeight="false" outlineLevel="0" collapsed="false">
      <c r="A244" s="3" t="s">
        <v>274</v>
      </c>
      <c r="B244" s="3" t="n">
        <v>37</v>
      </c>
      <c r="C244" s="3" t="s">
        <v>22</v>
      </c>
      <c r="D244" s="3" t="s">
        <v>17</v>
      </c>
      <c r="E244" s="3" t="s">
        <v>24</v>
      </c>
      <c r="F244" s="3" t="n">
        <v>1.1</v>
      </c>
      <c r="G244" s="3" t="n">
        <v>3678.34</v>
      </c>
      <c r="H244" s="3" t="s">
        <v>20</v>
      </c>
      <c r="I244" s="3" t="n">
        <v>4</v>
      </c>
      <c r="J244" s="3" t="n">
        <v>2</v>
      </c>
      <c r="K244" s="3" t="n">
        <v>4</v>
      </c>
      <c r="L244" s="3" t="n">
        <v>1</v>
      </c>
      <c r="M244" s="3" t="n">
        <v>2</v>
      </c>
      <c r="N244" s="3" t="s">
        <v>19</v>
      </c>
    </row>
    <row r="245" customFormat="false" ht="15" hidden="false" customHeight="false" outlineLevel="0" collapsed="false">
      <c r="A245" s="3" t="s">
        <v>275</v>
      </c>
      <c r="B245" s="3" t="n">
        <v>34</v>
      </c>
      <c r="C245" s="3" t="s">
        <v>22</v>
      </c>
      <c r="D245" s="3" t="s">
        <v>23</v>
      </c>
      <c r="E245" s="3" t="s">
        <v>28</v>
      </c>
      <c r="F245" s="3" t="n">
        <v>1.9</v>
      </c>
      <c r="G245" s="3" t="n">
        <v>4491.01</v>
      </c>
      <c r="H245" s="3" t="s">
        <v>20</v>
      </c>
      <c r="I245" s="3" t="n">
        <v>4</v>
      </c>
      <c r="J245" s="3" t="n">
        <v>1</v>
      </c>
      <c r="K245" s="3" t="n">
        <v>3</v>
      </c>
      <c r="L245" s="3" t="n">
        <v>1</v>
      </c>
      <c r="M245" s="3" t="n">
        <v>2</v>
      </c>
      <c r="N245" s="3" t="s">
        <v>20</v>
      </c>
    </row>
    <row r="246" customFormat="false" ht="15" hidden="false" customHeight="false" outlineLevel="0" collapsed="false">
      <c r="A246" s="3" t="s">
        <v>276</v>
      </c>
      <c r="B246" s="3" t="n">
        <v>47</v>
      </c>
      <c r="C246" s="3" t="s">
        <v>24</v>
      </c>
      <c r="D246" s="3" t="s">
        <v>23</v>
      </c>
      <c r="E246" s="3" t="s">
        <v>18</v>
      </c>
      <c r="F246" s="3" t="n">
        <v>0.9</v>
      </c>
      <c r="G246" s="3" t="n">
        <v>5595.46</v>
      </c>
      <c r="H246" s="3" t="s">
        <v>19</v>
      </c>
      <c r="I246" s="3" t="n">
        <v>3</v>
      </c>
      <c r="J246" s="3" t="n">
        <v>4</v>
      </c>
      <c r="K246" s="3" t="n">
        <v>2</v>
      </c>
      <c r="L246" s="3" t="n">
        <v>0</v>
      </c>
      <c r="M246" s="3" t="n">
        <v>1</v>
      </c>
      <c r="N246" s="3" t="s">
        <v>19</v>
      </c>
    </row>
    <row r="247" customFormat="false" ht="15" hidden="false" customHeight="false" outlineLevel="0" collapsed="false">
      <c r="A247" s="3" t="s">
        <v>277</v>
      </c>
      <c r="B247" s="3" t="n">
        <v>27</v>
      </c>
      <c r="C247" s="3" t="s">
        <v>24</v>
      </c>
      <c r="D247" s="3" t="s">
        <v>17</v>
      </c>
      <c r="E247" s="3" t="s">
        <v>41</v>
      </c>
      <c r="F247" s="3" t="n">
        <v>2.1</v>
      </c>
      <c r="G247" s="3" t="n">
        <v>3732.02</v>
      </c>
      <c r="H247" s="3" t="s">
        <v>20</v>
      </c>
      <c r="I247" s="3" t="n">
        <v>2</v>
      </c>
      <c r="J247" s="3" t="n">
        <v>3</v>
      </c>
      <c r="K247" s="3" t="n">
        <v>18</v>
      </c>
      <c r="L247" s="3" t="n">
        <v>0</v>
      </c>
      <c r="M247" s="3" t="n">
        <v>3</v>
      </c>
      <c r="N247" s="3" t="s">
        <v>19</v>
      </c>
    </row>
    <row r="248" customFormat="false" ht="15" hidden="false" customHeight="false" outlineLevel="0" collapsed="false">
      <c r="A248" s="3" t="s">
        <v>278</v>
      </c>
      <c r="B248" s="3" t="n">
        <v>49</v>
      </c>
      <c r="C248" s="3" t="s">
        <v>22</v>
      </c>
      <c r="D248" s="3" t="s">
        <v>17</v>
      </c>
      <c r="E248" s="3" t="s">
        <v>28</v>
      </c>
      <c r="F248" s="3" t="n">
        <v>3.4</v>
      </c>
      <c r="G248" s="3" t="n">
        <v>3724.92</v>
      </c>
      <c r="H248" s="3" t="s">
        <v>20</v>
      </c>
      <c r="I248" s="3" t="n">
        <v>3</v>
      </c>
      <c r="J248" s="3" t="n">
        <v>2</v>
      </c>
      <c r="K248" s="3" t="n">
        <v>3</v>
      </c>
      <c r="L248" s="3" t="n">
        <v>3</v>
      </c>
      <c r="M248" s="3" t="n">
        <v>3</v>
      </c>
      <c r="N248" s="3" t="s">
        <v>19</v>
      </c>
    </row>
    <row r="249" customFormat="false" ht="15" hidden="false" customHeight="false" outlineLevel="0" collapsed="false">
      <c r="A249" s="3" t="s">
        <v>279</v>
      </c>
      <c r="B249" s="3" t="n">
        <v>36</v>
      </c>
      <c r="C249" s="3" t="s">
        <v>16</v>
      </c>
      <c r="D249" s="3" t="s">
        <v>27</v>
      </c>
      <c r="E249" s="3" t="s">
        <v>28</v>
      </c>
      <c r="F249" s="3" t="n">
        <v>1.4</v>
      </c>
      <c r="G249" s="3" t="n">
        <v>7010.54</v>
      </c>
      <c r="H249" s="3" t="s">
        <v>19</v>
      </c>
      <c r="I249" s="3" t="n">
        <v>3</v>
      </c>
      <c r="J249" s="3" t="n">
        <v>1</v>
      </c>
      <c r="K249" s="3" t="n">
        <v>15</v>
      </c>
      <c r="L249" s="3" t="n">
        <v>0</v>
      </c>
      <c r="M249" s="3" t="n">
        <v>2</v>
      </c>
      <c r="N249" s="3" t="s">
        <v>19</v>
      </c>
    </row>
    <row r="250" customFormat="false" ht="15" hidden="false" customHeight="false" outlineLevel="0" collapsed="false">
      <c r="A250" s="3" t="s">
        <v>280</v>
      </c>
      <c r="B250" s="3" t="n">
        <v>37</v>
      </c>
      <c r="C250" s="3" t="s">
        <v>16</v>
      </c>
      <c r="D250" s="3" t="s">
        <v>27</v>
      </c>
      <c r="E250" s="3" t="s">
        <v>24</v>
      </c>
      <c r="F250" s="3" t="n">
        <v>0.4</v>
      </c>
      <c r="G250" s="3" t="n">
        <v>7285.14</v>
      </c>
      <c r="H250" s="3" t="s">
        <v>19</v>
      </c>
      <c r="I250" s="3" t="n">
        <v>1</v>
      </c>
      <c r="J250" s="3" t="n">
        <v>3</v>
      </c>
      <c r="K250" s="3" t="n">
        <v>13</v>
      </c>
      <c r="L250" s="3" t="n">
        <v>0</v>
      </c>
      <c r="M250" s="3" t="n">
        <v>1</v>
      </c>
      <c r="N250" s="3" t="s">
        <v>20</v>
      </c>
    </row>
    <row r="251" customFormat="false" ht="15" hidden="false" customHeight="false" outlineLevel="0" collapsed="false">
      <c r="A251" s="3" t="s">
        <v>281</v>
      </c>
      <c r="B251" s="3" t="n">
        <v>39</v>
      </c>
      <c r="C251" s="3" t="s">
        <v>45</v>
      </c>
      <c r="D251" s="3" t="s">
        <v>48</v>
      </c>
      <c r="E251" s="3" t="s">
        <v>28</v>
      </c>
      <c r="F251" s="3" t="n">
        <v>4.9</v>
      </c>
      <c r="G251" s="3" t="n">
        <v>8568.35</v>
      </c>
      <c r="H251" s="3" t="s">
        <v>19</v>
      </c>
      <c r="I251" s="3" t="n">
        <v>3</v>
      </c>
      <c r="J251" s="3" t="n">
        <v>3</v>
      </c>
      <c r="K251" s="3" t="n">
        <v>12</v>
      </c>
      <c r="L251" s="3" t="n">
        <v>0</v>
      </c>
      <c r="M251" s="3" t="n">
        <v>3</v>
      </c>
      <c r="N251" s="3" t="s">
        <v>19</v>
      </c>
    </row>
    <row r="252" customFormat="false" ht="15" hidden="false" customHeight="false" outlineLevel="0" collapsed="false">
      <c r="A252" s="3" t="s">
        <v>282</v>
      </c>
      <c r="B252" s="3" t="n">
        <v>36</v>
      </c>
      <c r="C252" s="3" t="s">
        <v>16</v>
      </c>
      <c r="D252" s="3" t="s">
        <v>17</v>
      </c>
      <c r="E252" s="3" t="s">
        <v>41</v>
      </c>
      <c r="F252" s="3" t="n">
        <v>0.3</v>
      </c>
      <c r="G252" s="3" t="n">
        <v>3687.41</v>
      </c>
      <c r="H252" s="3" t="s">
        <v>19</v>
      </c>
      <c r="I252" s="3" t="n">
        <v>2</v>
      </c>
      <c r="J252" s="3" t="n">
        <v>3</v>
      </c>
      <c r="K252" s="3" t="n">
        <v>32</v>
      </c>
      <c r="L252" s="3" t="n">
        <v>0</v>
      </c>
      <c r="M252" s="3" t="n">
        <v>4</v>
      </c>
      <c r="N252" s="3" t="s">
        <v>20</v>
      </c>
    </row>
    <row r="253" customFormat="false" ht="15" hidden="false" customHeight="false" outlineLevel="0" collapsed="false">
      <c r="A253" s="3" t="s">
        <v>283</v>
      </c>
      <c r="B253" s="3" t="n">
        <v>21</v>
      </c>
      <c r="C253" s="3" t="s">
        <v>22</v>
      </c>
      <c r="D253" s="3" t="s">
        <v>23</v>
      </c>
      <c r="E253" s="3" t="s">
        <v>41</v>
      </c>
      <c r="F253" s="3" t="n">
        <v>0</v>
      </c>
      <c r="G253" s="3" t="n">
        <v>4810.31</v>
      </c>
      <c r="H253" s="3" t="s">
        <v>19</v>
      </c>
      <c r="I253" s="3" t="n">
        <v>1</v>
      </c>
      <c r="J253" s="3" t="n">
        <v>4</v>
      </c>
      <c r="K253" s="3" t="n">
        <v>1</v>
      </c>
      <c r="L253" s="3" t="n">
        <v>0</v>
      </c>
      <c r="M253" s="3" t="n">
        <v>3</v>
      </c>
      <c r="N253" s="3" t="s">
        <v>20</v>
      </c>
    </row>
    <row r="254" customFormat="false" ht="15" hidden="false" customHeight="false" outlineLevel="0" collapsed="false">
      <c r="A254" s="3" t="s">
        <v>284</v>
      </c>
      <c r="B254" s="3" t="n">
        <v>21</v>
      </c>
      <c r="C254" s="3" t="s">
        <v>32</v>
      </c>
      <c r="D254" s="3" t="s">
        <v>48</v>
      </c>
      <c r="E254" s="3" t="s">
        <v>41</v>
      </c>
      <c r="F254" s="3" t="n">
        <v>0</v>
      </c>
      <c r="G254" s="3" t="n">
        <v>10110.47</v>
      </c>
      <c r="H254" s="3" t="s">
        <v>19</v>
      </c>
      <c r="I254" s="3" t="n">
        <v>3</v>
      </c>
      <c r="J254" s="3" t="n">
        <v>3</v>
      </c>
      <c r="K254" s="3" t="n">
        <v>15</v>
      </c>
      <c r="L254" s="3" t="n">
        <v>0</v>
      </c>
      <c r="M254" s="3" t="n">
        <v>4</v>
      </c>
      <c r="N254" s="3" t="s">
        <v>19</v>
      </c>
    </row>
    <row r="255" customFormat="false" ht="15" hidden="false" customHeight="false" outlineLevel="0" collapsed="false">
      <c r="A255" s="3" t="s">
        <v>285</v>
      </c>
      <c r="B255" s="3" t="n">
        <v>30</v>
      </c>
      <c r="C255" s="3" t="s">
        <v>22</v>
      </c>
      <c r="D255" s="3" t="s">
        <v>17</v>
      </c>
      <c r="E255" s="3" t="s">
        <v>24</v>
      </c>
      <c r="F255" s="3" t="n">
        <v>1.4</v>
      </c>
      <c r="G255" s="3" t="n">
        <v>2947.79</v>
      </c>
      <c r="H255" s="3" t="s">
        <v>20</v>
      </c>
      <c r="I255" s="3" t="n">
        <v>3</v>
      </c>
      <c r="J255" s="3" t="n">
        <v>3</v>
      </c>
      <c r="K255" s="3" t="n">
        <v>6</v>
      </c>
      <c r="L255" s="3" t="n">
        <v>1</v>
      </c>
      <c r="M255" s="3" t="n">
        <v>4</v>
      </c>
      <c r="N255" s="3" t="s">
        <v>19</v>
      </c>
    </row>
    <row r="256" customFormat="false" ht="15" hidden="false" customHeight="false" outlineLevel="0" collapsed="false">
      <c r="A256" s="3" t="s">
        <v>286</v>
      </c>
      <c r="B256" s="3" t="n">
        <v>30</v>
      </c>
      <c r="C256" s="3" t="s">
        <v>22</v>
      </c>
      <c r="D256" s="3" t="s">
        <v>23</v>
      </c>
      <c r="E256" s="3" t="s">
        <v>18</v>
      </c>
      <c r="F256" s="3" t="n">
        <v>5.9</v>
      </c>
      <c r="G256" s="3" t="n">
        <v>4412.59</v>
      </c>
      <c r="H256" s="3" t="s">
        <v>20</v>
      </c>
      <c r="I256" s="3" t="n">
        <v>4</v>
      </c>
      <c r="J256" s="3" t="n">
        <v>2</v>
      </c>
      <c r="K256" s="3" t="n">
        <v>14</v>
      </c>
      <c r="L256" s="3" t="n">
        <v>0</v>
      </c>
      <c r="M256" s="3" t="n">
        <v>3</v>
      </c>
      <c r="N256" s="3" t="s">
        <v>19</v>
      </c>
    </row>
    <row r="257" customFormat="false" ht="15" hidden="false" customHeight="false" outlineLevel="0" collapsed="false">
      <c r="A257" s="3" t="s">
        <v>287</v>
      </c>
      <c r="B257" s="3" t="n">
        <v>39</v>
      </c>
      <c r="C257" s="3" t="s">
        <v>26</v>
      </c>
      <c r="D257" s="3" t="s">
        <v>27</v>
      </c>
      <c r="E257" s="3" t="s">
        <v>41</v>
      </c>
      <c r="F257" s="3" t="n">
        <v>0.7</v>
      </c>
      <c r="G257" s="3" t="n">
        <v>7799.79</v>
      </c>
      <c r="H257" s="3" t="s">
        <v>19</v>
      </c>
      <c r="I257" s="3" t="n">
        <v>4</v>
      </c>
      <c r="J257" s="3" t="n">
        <v>3</v>
      </c>
      <c r="K257" s="3" t="n">
        <v>23</v>
      </c>
      <c r="L257" s="3" t="n">
        <v>0</v>
      </c>
      <c r="M257" s="3" t="n">
        <v>3</v>
      </c>
      <c r="N257" s="3" t="s">
        <v>19</v>
      </c>
    </row>
    <row r="258" customFormat="false" ht="15" hidden="false" customHeight="false" outlineLevel="0" collapsed="false">
      <c r="A258" s="3" t="s">
        <v>288</v>
      </c>
      <c r="B258" s="3" t="n">
        <v>36</v>
      </c>
      <c r="C258" s="3" t="s">
        <v>16</v>
      </c>
      <c r="D258" s="3" t="s">
        <v>27</v>
      </c>
      <c r="E258" s="3" t="s">
        <v>41</v>
      </c>
      <c r="F258" s="3" t="n">
        <v>2.5</v>
      </c>
      <c r="G258" s="3" t="n">
        <v>6522.27</v>
      </c>
      <c r="H258" s="3" t="s">
        <v>19</v>
      </c>
      <c r="I258" s="3" t="n">
        <v>2</v>
      </c>
      <c r="J258" s="3" t="n">
        <v>4</v>
      </c>
      <c r="K258" s="3" t="n">
        <v>1</v>
      </c>
      <c r="L258" s="3" t="n">
        <v>1</v>
      </c>
      <c r="M258" s="3" t="n">
        <v>3</v>
      </c>
      <c r="N258" s="3" t="s">
        <v>20</v>
      </c>
    </row>
    <row r="259" customFormat="false" ht="15" hidden="false" customHeight="false" outlineLevel="0" collapsed="false">
      <c r="A259" s="3" t="s">
        <v>289</v>
      </c>
      <c r="B259" s="3" t="n">
        <v>23</v>
      </c>
      <c r="C259" s="3" t="s">
        <v>22</v>
      </c>
      <c r="D259" s="3" t="s">
        <v>27</v>
      </c>
      <c r="E259" s="3" t="s">
        <v>28</v>
      </c>
      <c r="F259" s="3" t="n">
        <v>0.7</v>
      </c>
      <c r="G259" s="3" t="n">
        <v>8171.47</v>
      </c>
      <c r="H259" s="3" t="s">
        <v>20</v>
      </c>
      <c r="I259" s="3" t="n">
        <v>3</v>
      </c>
      <c r="J259" s="3" t="n">
        <v>2</v>
      </c>
      <c r="K259" s="3" t="n">
        <v>1</v>
      </c>
      <c r="L259" s="3" t="n">
        <v>0</v>
      </c>
      <c r="M259" s="3" t="n">
        <v>2</v>
      </c>
      <c r="N259" s="3" t="s">
        <v>19</v>
      </c>
    </row>
    <row r="260" customFormat="false" ht="15" hidden="false" customHeight="false" outlineLevel="0" collapsed="false">
      <c r="A260" s="3" t="s">
        <v>290</v>
      </c>
      <c r="B260" s="3" t="n">
        <v>23</v>
      </c>
      <c r="C260" s="3" t="s">
        <v>16</v>
      </c>
      <c r="D260" s="3" t="s">
        <v>27</v>
      </c>
      <c r="E260" s="3" t="s">
        <v>28</v>
      </c>
      <c r="F260" s="3" t="n">
        <v>1.4</v>
      </c>
      <c r="G260" s="3" t="n">
        <v>8388.58</v>
      </c>
      <c r="H260" s="3" t="s">
        <v>20</v>
      </c>
      <c r="I260" s="3" t="n">
        <v>2</v>
      </c>
      <c r="J260" s="3" t="n">
        <v>4</v>
      </c>
      <c r="K260" s="3" t="n">
        <v>1</v>
      </c>
      <c r="L260" s="3" t="n">
        <v>0</v>
      </c>
      <c r="M260" s="3" t="n">
        <v>4</v>
      </c>
      <c r="N260" s="3" t="s">
        <v>19</v>
      </c>
    </row>
    <row r="261" customFormat="false" ht="15" hidden="false" customHeight="false" outlineLevel="0" collapsed="false">
      <c r="A261" s="3" t="s">
        <v>291</v>
      </c>
      <c r="B261" s="3" t="n">
        <v>28</v>
      </c>
      <c r="C261" s="3" t="s">
        <v>16</v>
      </c>
      <c r="D261" s="3" t="s">
        <v>27</v>
      </c>
      <c r="E261" s="3" t="s">
        <v>41</v>
      </c>
      <c r="F261" s="3" t="n">
        <v>0.2</v>
      </c>
      <c r="G261" s="3" t="n">
        <v>7334.27</v>
      </c>
      <c r="H261" s="3" t="s">
        <v>19</v>
      </c>
      <c r="I261" s="3" t="n">
        <v>3</v>
      </c>
      <c r="J261" s="3" t="n">
        <v>4</v>
      </c>
      <c r="K261" s="3" t="n">
        <v>11</v>
      </c>
      <c r="L261" s="3" t="n">
        <v>0</v>
      </c>
      <c r="M261" s="3" t="n">
        <v>2</v>
      </c>
      <c r="N261" s="3" t="s">
        <v>19</v>
      </c>
    </row>
    <row r="262" customFormat="false" ht="15" hidden="false" customHeight="false" outlineLevel="0" collapsed="false">
      <c r="A262" s="3" t="s">
        <v>292</v>
      </c>
      <c r="B262" s="3" t="n">
        <v>37</v>
      </c>
      <c r="C262" s="3" t="s">
        <v>22</v>
      </c>
      <c r="D262" s="3" t="s">
        <v>23</v>
      </c>
      <c r="E262" s="3" t="s">
        <v>41</v>
      </c>
      <c r="F262" s="3" t="n">
        <v>5.8</v>
      </c>
      <c r="G262" s="3" t="n">
        <v>4584.96</v>
      </c>
      <c r="H262" s="3" t="s">
        <v>19</v>
      </c>
      <c r="I262" s="3" t="n">
        <v>1</v>
      </c>
      <c r="J262" s="3" t="n">
        <v>2</v>
      </c>
      <c r="K262" s="3" t="n">
        <v>1</v>
      </c>
      <c r="L262" s="3" t="n">
        <v>1</v>
      </c>
      <c r="M262" s="3" t="n">
        <v>2</v>
      </c>
      <c r="N262" s="3" t="s">
        <v>20</v>
      </c>
    </row>
    <row r="263" customFormat="false" ht="15" hidden="false" customHeight="false" outlineLevel="0" collapsed="false">
      <c r="A263" s="3" t="s">
        <v>293</v>
      </c>
      <c r="B263" s="3" t="n">
        <v>32</v>
      </c>
      <c r="C263" s="3" t="s">
        <v>22</v>
      </c>
      <c r="D263" s="3" t="s">
        <v>17</v>
      </c>
      <c r="E263" s="3" t="s">
        <v>18</v>
      </c>
      <c r="F263" s="3" t="n">
        <v>4.5</v>
      </c>
      <c r="G263" s="3" t="n">
        <v>3033.81</v>
      </c>
      <c r="H263" s="3" t="s">
        <v>19</v>
      </c>
      <c r="I263" s="3" t="n">
        <v>3</v>
      </c>
      <c r="J263" s="3" t="n">
        <v>3</v>
      </c>
      <c r="K263" s="3" t="n">
        <v>10</v>
      </c>
      <c r="L263" s="3" t="n">
        <v>1</v>
      </c>
      <c r="M263" s="3" t="n">
        <v>2</v>
      </c>
      <c r="N263" s="3" t="s">
        <v>19</v>
      </c>
    </row>
    <row r="264" customFormat="false" ht="15" hidden="false" customHeight="false" outlineLevel="0" collapsed="false">
      <c r="A264" s="3" t="s">
        <v>294</v>
      </c>
      <c r="B264" s="3" t="n">
        <v>44</v>
      </c>
      <c r="C264" s="3" t="s">
        <v>32</v>
      </c>
      <c r="D264" s="3" t="s">
        <v>17</v>
      </c>
      <c r="E264" s="3" t="s">
        <v>28</v>
      </c>
      <c r="F264" s="3" t="n">
        <v>1.3</v>
      </c>
      <c r="G264" s="3" t="n">
        <v>3561.43</v>
      </c>
      <c r="H264" s="3" t="s">
        <v>20</v>
      </c>
      <c r="I264" s="3" t="n">
        <v>1</v>
      </c>
      <c r="J264" s="3" t="n">
        <v>3</v>
      </c>
      <c r="K264" s="3" t="n">
        <v>34</v>
      </c>
      <c r="L264" s="3" t="n">
        <v>0</v>
      </c>
      <c r="M264" s="3" t="n">
        <v>1</v>
      </c>
      <c r="N264" s="3" t="s">
        <v>19</v>
      </c>
    </row>
    <row r="265" customFormat="false" ht="15" hidden="false" customHeight="false" outlineLevel="0" collapsed="false">
      <c r="A265" s="3" t="s">
        <v>295</v>
      </c>
      <c r="B265" s="3" t="n">
        <v>36</v>
      </c>
      <c r="C265" s="3" t="s">
        <v>45</v>
      </c>
      <c r="D265" s="3" t="s">
        <v>27</v>
      </c>
      <c r="E265" s="3" t="s">
        <v>24</v>
      </c>
      <c r="F265" s="3" t="n">
        <v>1.5</v>
      </c>
      <c r="G265" s="3" t="n">
        <v>7037.65</v>
      </c>
      <c r="H265" s="3" t="s">
        <v>19</v>
      </c>
      <c r="I265" s="3" t="n">
        <v>1</v>
      </c>
      <c r="J265" s="3" t="n">
        <v>4</v>
      </c>
      <c r="K265" s="3" t="n">
        <v>10</v>
      </c>
      <c r="L265" s="3" t="n">
        <v>1</v>
      </c>
      <c r="M265" s="3" t="n">
        <v>4</v>
      </c>
      <c r="N265" s="3" t="s">
        <v>19</v>
      </c>
    </row>
    <row r="266" customFormat="false" ht="15" hidden="false" customHeight="false" outlineLevel="0" collapsed="false">
      <c r="A266" s="3" t="s">
        <v>296</v>
      </c>
      <c r="B266" s="3" t="n">
        <v>33</v>
      </c>
      <c r="C266" s="3" t="s">
        <v>16</v>
      </c>
      <c r="D266" s="3" t="s">
        <v>17</v>
      </c>
      <c r="E266" s="3" t="s">
        <v>18</v>
      </c>
      <c r="F266" s="3" t="n">
        <v>12</v>
      </c>
      <c r="G266" s="3" t="n">
        <v>3528.29</v>
      </c>
      <c r="H266" s="3" t="s">
        <v>19</v>
      </c>
      <c r="I266" s="3" t="n">
        <v>4</v>
      </c>
      <c r="J266" s="3" t="n">
        <v>3</v>
      </c>
      <c r="K266" s="3" t="n">
        <v>17</v>
      </c>
      <c r="L266" s="3" t="n">
        <v>1</v>
      </c>
      <c r="M266" s="3" t="n">
        <v>6</v>
      </c>
      <c r="N266" s="3" t="s">
        <v>19</v>
      </c>
    </row>
    <row r="267" customFormat="false" ht="15" hidden="false" customHeight="false" outlineLevel="0" collapsed="false">
      <c r="A267" s="3" t="s">
        <v>297</v>
      </c>
      <c r="B267" s="3" t="n">
        <v>45</v>
      </c>
      <c r="C267" s="3" t="s">
        <v>16</v>
      </c>
      <c r="D267" s="3" t="s">
        <v>27</v>
      </c>
      <c r="E267" s="3" t="s">
        <v>24</v>
      </c>
      <c r="F267" s="3" t="n">
        <v>3</v>
      </c>
      <c r="G267" s="3" t="n">
        <v>7953.95</v>
      </c>
      <c r="H267" s="3" t="s">
        <v>19</v>
      </c>
      <c r="I267" s="3" t="n">
        <v>4</v>
      </c>
      <c r="J267" s="3" t="n">
        <v>4</v>
      </c>
      <c r="K267" s="3" t="n">
        <v>12</v>
      </c>
      <c r="L267" s="3" t="n">
        <v>3</v>
      </c>
      <c r="M267" s="3" t="n">
        <v>1</v>
      </c>
      <c r="N267" s="3" t="s">
        <v>19</v>
      </c>
    </row>
    <row r="268" customFormat="false" ht="15" hidden="false" customHeight="false" outlineLevel="0" collapsed="false">
      <c r="A268" s="3" t="s">
        <v>298</v>
      </c>
      <c r="B268" s="3" t="n">
        <v>26</v>
      </c>
      <c r="C268" s="3" t="s">
        <v>24</v>
      </c>
      <c r="D268" s="3" t="s">
        <v>17</v>
      </c>
      <c r="E268" s="3" t="s">
        <v>18</v>
      </c>
      <c r="F268" s="3" t="n">
        <v>1</v>
      </c>
      <c r="G268" s="3" t="n">
        <v>2748.15</v>
      </c>
      <c r="H268" s="3" t="s">
        <v>19</v>
      </c>
      <c r="I268" s="3" t="n">
        <v>3</v>
      </c>
      <c r="J268" s="3" t="n">
        <v>4</v>
      </c>
      <c r="K268" s="3" t="n">
        <v>6</v>
      </c>
      <c r="L268" s="3" t="n">
        <v>1</v>
      </c>
      <c r="M268" s="3" t="n">
        <v>1</v>
      </c>
      <c r="N268" s="3" t="s">
        <v>19</v>
      </c>
    </row>
    <row r="269" customFormat="false" ht="15" hidden="false" customHeight="false" outlineLevel="0" collapsed="false">
      <c r="A269" s="3" t="s">
        <v>299</v>
      </c>
      <c r="B269" s="3" t="n">
        <v>47</v>
      </c>
      <c r="C269" s="3" t="s">
        <v>22</v>
      </c>
      <c r="D269" s="3" t="s">
        <v>17</v>
      </c>
      <c r="E269" s="3" t="s">
        <v>41</v>
      </c>
      <c r="F269" s="3" t="n">
        <v>3.2</v>
      </c>
      <c r="G269" s="3" t="n">
        <v>3513.16</v>
      </c>
      <c r="H269" s="3" t="s">
        <v>19</v>
      </c>
      <c r="I269" s="3" t="n">
        <v>3</v>
      </c>
      <c r="J269" s="3" t="n">
        <v>3</v>
      </c>
      <c r="K269" s="3" t="n">
        <v>12</v>
      </c>
      <c r="L269" s="3" t="n">
        <v>2</v>
      </c>
      <c r="M269" s="3" t="n">
        <v>0</v>
      </c>
      <c r="N269" s="3" t="s">
        <v>19</v>
      </c>
    </row>
    <row r="270" customFormat="false" ht="15" hidden="false" customHeight="false" outlineLevel="0" collapsed="false">
      <c r="A270" s="3" t="s">
        <v>300</v>
      </c>
      <c r="B270" s="3" t="n">
        <v>40</v>
      </c>
      <c r="C270" s="3" t="s">
        <v>45</v>
      </c>
      <c r="D270" s="3" t="s">
        <v>23</v>
      </c>
      <c r="E270" s="3" t="s">
        <v>41</v>
      </c>
      <c r="F270" s="3" t="n">
        <v>0.5</v>
      </c>
      <c r="G270" s="3" t="n">
        <v>5664.68</v>
      </c>
      <c r="H270" s="3" t="s">
        <v>19</v>
      </c>
      <c r="I270" s="3" t="n">
        <v>2</v>
      </c>
      <c r="J270" s="3" t="n">
        <v>3</v>
      </c>
      <c r="K270" s="3" t="n">
        <v>1</v>
      </c>
      <c r="L270" s="3" t="n">
        <v>0</v>
      </c>
      <c r="M270" s="3" t="n">
        <v>3</v>
      </c>
      <c r="N270" s="3" t="s">
        <v>19</v>
      </c>
    </row>
    <row r="271" customFormat="false" ht="15" hidden="false" customHeight="false" outlineLevel="0" collapsed="false">
      <c r="A271" s="3" t="s">
        <v>301</v>
      </c>
      <c r="B271" s="3" t="n">
        <v>43</v>
      </c>
      <c r="C271" s="3" t="s">
        <v>32</v>
      </c>
      <c r="D271" s="3" t="s">
        <v>27</v>
      </c>
      <c r="E271" s="3" t="s">
        <v>41</v>
      </c>
      <c r="F271" s="3" t="n">
        <v>0.3</v>
      </c>
      <c r="G271" s="3" t="n">
        <v>6691.4</v>
      </c>
      <c r="H271" s="3" t="s">
        <v>20</v>
      </c>
      <c r="I271" s="3" t="n">
        <v>3</v>
      </c>
      <c r="J271" s="3" t="n">
        <v>4</v>
      </c>
      <c r="K271" s="3" t="n">
        <v>5</v>
      </c>
      <c r="L271" s="3" t="n">
        <v>0</v>
      </c>
      <c r="M271" s="3" t="n">
        <v>2</v>
      </c>
      <c r="N271" s="3" t="s">
        <v>20</v>
      </c>
    </row>
    <row r="272" customFormat="false" ht="15" hidden="false" customHeight="false" outlineLevel="0" collapsed="false">
      <c r="A272" s="3" t="s">
        <v>302</v>
      </c>
      <c r="B272" s="3" t="n">
        <v>21</v>
      </c>
      <c r="C272" s="3" t="s">
        <v>22</v>
      </c>
      <c r="D272" s="3" t="s">
        <v>23</v>
      </c>
      <c r="E272" s="3" t="s">
        <v>18</v>
      </c>
      <c r="F272" s="3" t="n">
        <v>0</v>
      </c>
      <c r="G272" s="3" t="n">
        <v>5339.5</v>
      </c>
      <c r="H272" s="3" t="s">
        <v>20</v>
      </c>
      <c r="I272" s="3" t="n">
        <v>3</v>
      </c>
      <c r="J272" s="3" t="n">
        <v>1</v>
      </c>
      <c r="K272" s="3" t="n">
        <v>5</v>
      </c>
      <c r="L272" s="3" t="n">
        <v>0</v>
      </c>
      <c r="M272" s="3" t="n">
        <v>1</v>
      </c>
      <c r="N272" s="3" t="s">
        <v>19</v>
      </c>
    </row>
    <row r="273" customFormat="false" ht="15" hidden="false" customHeight="false" outlineLevel="0" collapsed="false">
      <c r="A273" s="3" t="s">
        <v>303</v>
      </c>
      <c r="B273" s="3" t="n">
        <v>49</v>
      </c>
      <c r="C273" s="3" t="s">
        <v>32</v>
      </c>
      <c r="D273" s="3" t="s">
        <v>27</v>
      </c>
      <c r="E273" s="3" t="s">
        <v>28</v>
      </c>
      <c r="F273" s="3" t="n">
        <v>0.4</v>
      </c>
      <c r="G273" s="3" t="n">
        <v>8353.42</v>
      </c>
      <c r="H273" s="3" t="s">
        <v>19</v>
      </c>
      <c r="I273" s="3" t="n">
        <v>2</v>
      </c>
      <c r="J273" s="3" t="n">
        <v>2</v>
      </c>
      <c r="K273" s="3" t="n">
        <v>3</v>
      </c>
      <c r="L273" s="3" t="n">
        <v>0</v>
      </c>
      <c r="M273" s="3" t="n">
        <v>2</v>
      </c>
      <c r="N273" s="3" t="s">
        <v>20</v>
      </c>
    </row>
    <row r="274" customFormat="false" ht="15" hidden="false" customHeight="false" outlineLevel="0" collapsed="false">
      <c r="A274" s="3" t="s">
        <v>304</v>
      </c>
      <c r="B274" s="3" t="n">
        <v>40</v>
      </c>
      <c r="C274" s="3" t="s">
        <v>26</v>
      </c>
      <c r="D274" s="3" t="s">
        <v>17</v>
      </c>
      <c r="E274" s="3" t="s">
        <v>24</v>
      </c>
      <c r="F274" s="3" t="n">
        <v>0.6</v>
      </c>
      <c r="G274" s="3" t="n">
        <v>3365.4</v>
      </c>
      <c r="H274" s="3" t="s">
        <v>20</v>
      </c>
      <c r="I274" s="3" t="n">
        <v>3</v>
      </c>
      <c r="J274" s="3" t="n">
        <v>3</v>
      </c>
      <c r="K274" s="3" t="n">
        <v>9</v>
      </c>
      <c r="L274" s="3" t="n">
        <v>0</v>
      </c>
      <c r="M274" s="3" t="n">
        <v>1</v>
      </c>
      <c r="N274" s="3" t="s">
        <v>20</v>
      </c>
    </row>
    <row r="275" customFormat="false" ht="15" hidden="false" customHeight="false" outlineLevel="0" collapsed="false">
      <c r="A275" s="3" t="s">
        <v>305</v>
      </c>
      <c r="B275" s="3" t="n">
        <v>28</v>
      </c>
      <c r="C275" s="3" t="s">
        <v>16</v>
      </c>
      <c r="D275" s="3" t="s">
        <v>27</v>
      </c>
      <c r="E275" s="3" t="s">
        <v>18</v>
      </c>
      <c r="F275" s="3" t="n">
        <v>1.3</v>
      </c>
      <c r="G275" s="3" t="n">
        <v>8100.42</v>
      </c>
      <c r="H275" s="3" t="s">
        <v>20</v>
      </c>
      <c r="I275" s="3" t="n">
        <v>2</v>
      </c>
      <c r="J275" s="3" t="n">
        <v>3</v>
      </c>
      <c r="K275" s="3" t="n">
        <v>12</v>
      </c>
      <c r="L275" s="3" t="n">
        <v>1</v>
      </c>
      <c r="M275" s="3" t="n">
        <v>0</v>
      </c>
      <c r="N275" s="3" t="s">
        <v>19</v>
      </c>
    </row>
    <row r="276" customFormat="false" ht="15" hidden="false" customHeight="false" outlineLevel="0" collapsed="false">
      <c r="A276" s="3" t="s">
        <v>306</v>
      </c>
      <c r="B276" s="3" t="n">
        <v>27</v>
      </c>
      <c r="C276" s="3" t="s">
        <v>26</v>
      </c>
      <c r="D276" s="3" t="s">
        <v>23</v>
      </c>
      <c r="E276" s="3" t="s">
        <v>28</v>
      </c>
      <c r="F276" s="3" t="n">
        <v>5.7</v>
      </c>
      <c r="G276" s="3" t="n">
        <v>4264.91</v>
      </c>
      <c r="H276" s="3" t="s">
        <v>19</v>
      </c>
      <c r="I276" s="3" t="n">
        <v>4</v>
      </c>
      <c r="J276" s="3" t="n">
        <v>4</v>
      </c>
      <c r="K276" s="3" t="n">
        <v>1</v>
      </c>
      <c r="L276" s="3" t="n">
        <v>2</v>
      </c>
      <c r="M276" s="3" t="n">
        <v>2</v>
      </c>
      <c r="N276" s="3" t="s">
        <v>19</v>
      </c>
    </row>
    <row r="277" customFormat="false" ht="15" hidden="false" customHeight="false" outlineLevel="0" collapsed="false">
      <c r="A277" s="3" t="s">
        <v>307</v>
      </c>
      <c r="B277" s="3" t="n">
        <v>49</v>
      </c>
      <c r="C277" s="3" t="s">
        <v>22</v>
      </c>
      <c r="D277" s="3" t="s">
        <v>17</v>
      </c>
      <c r="E277" s="3" t="s">
        <v>18</v>
      </c>
      <c r="F277" s="3" t="n">
        <v>0.5</v>
      </c>
      <c r="G277" s="3" t="n">
        <v>3744.43</v>
      </c>
      <c r="H277" s="3" t="s">
        <v>20</v>
      </c>
      <c r="I277" s="3" t="n">
        <v>4</v>
      </c>
      <c r="J277" s="3" t="n">
        <v>2</v>
      </c>
      <c r="K277" s="3" t="n">
        <v>1</v>
      </c>
      <c r="L277" s="3" t="n">
        <v>0</v>
      </c>
      <c r="M277" s="3" t="n">
        <v>3</v>
      </c>
      <c r="N277" s="3" t="s">
        <v>19</v>
      </c>
    </row>
    <row r="278" customFormat="false" ht="15" hidden="false" customHeight="false" outlineLevel="0" collapsed="false">
      <c r="A278" s="3" t="s">
        <v>308</v>
      </c>
      <c r="B278" s="3" t="n">
        <v>31</v>
      </c>
      <c r="C278" s="3" t="s">
        <v>26</v>
      </c>
      <c r="D278" s="3" t="s">
        <v>23</v>
      </c>
      <c r="E278" s="3" t="s">
        <v>28</v>
      </c>
      <c r="F278" s="3" t="n">
        <v>3.2</v>
      </c>
      <c r="G278" s="3" t="n">
        <v>4507.92</v>
      </c>
      <c r="H278" s="3" t="s">
        <v>20</v>
      </c>
      <c r="I278" s="3" t="n">
        <v>3</v>
      </c>
      <c r="J278" s="3" t="n">
        <v>2</v>
      </c>
      <c r="K278" s="3" t="n">
        <v>1</v>
      </c>
      <c r="L278" s="3" t="n">
        <v>0</v>
      </c>
      <c r="M278" s="3" t="n">
        <v>4</v>
      </c>
      <c r="N278" s="3" t="s">
        <v>19</v>
      </c>
    </row>
    <row r="279" customFormat="false" ht="15" hidden="false" customHeight="false" outlineLevel="0" collapsed="false">
      <c r="A279" s="3" t="s">
        <v>309</v>
      </c>
      <c r="B279" s="3" t="n">
        <v>47</v>
      </c>
      <c r="C279" s="3" t="s">
        <v>24</v>
      </c>
      <c r="D279" s="3" t="s">
        <v>27</v>
      </c>
      <c r="E279" s="3" t="s">
        <v>18</v>
      </c>
      <c r="F279" s="3" t="n">
        <v>4.3</v>
      </c>
      <c r="G279" s="3" t="n">
        <v>6289.16</v>
      </c>
      <c r="H279" s="3" t="s">
        <v>19</v>
      </c>
      <c r="I279" s="3" t="n">
        <v>4</v>
      </c>
      <c r="J279" s="3" t="n">
        <v>3</v>
      </c>
      <c r="K279" s="3" t="n">
        <v>5</v>
      </c>
      <c r="L279" s="3" t="n">
        <v>1</v>
      </c>
      <c r="M279" s="3" t="n">
        <v>1</v>
      </c>
      <c r="N279" s="3" t="s">
        <v>19</v>
      </c>
    </row>
    <row r="280" customFormat="false" ht="15" hidden="false" customHeight="false" outlineLevel="0" collapsed="false">
      <c r="A280" s="3" t="s">
        <v>310</v>
      </c>
      <c r="B280" s="3" t="n">
        <v>34</v>
      </c>
      <c r="C280" s="3" t="s">
        <v>16</v>
      </c>
      <c r="D280" s="3" t="s">
        <v>17</v>
      </c>
      <c r="E280" s="3" t="s">
        <v>18</v>
      </c>
      <c r="F280" s="3" t="n">
        <v>0.8</v>
      </c>
      <c r="G280" s="3" t="n">
        <v>3736.92</v>
      </c>
      <c r="H280" s="3" t="s">
        <v>19</v>
      </c>
      <c r="I280" s="3" t="n">
        <v>2</v>
      </c>
      <c r="J280" s="3" t="n">
        <v>3</v>
      </c>
      <c r="K280" s="3" t="n">
        <v>1</v>
      </c>
      <c r="L280" s="3" t="n">
        <v>0</v>
      </c>
      <c r="M280" s="3" t="n">
        <v>1</v>
      </c>
      <c r="N280" s="3" t="s">
        <v>19</v>
      </c>
    </row>
    <row r="281" customFormat="false" ht="15" hidden="false" customHeight="false" outlineLevel="0" collapsed="false">
      <c r="A281" s="3" t="s">
        <v>311</v>
      </c>
      <c r="B281" s="3" t="n">
        <v>42</v>
      </c>
      <c r="C281" s="3" t="s">
        <v>16</v>
      </c>
      <c r="D281" s="3" t="s">
        <v>48</v>
      </c>
      <c r="E281" s="3" t="s">
        <v>41</v>
      </c>
      <c r="F281" s="3" t="n">
        <v>2.7</v>
      </c>
      <c r="G281" s="3" t="n">
        <v>8806.49</v>
      </c>
      <c r="H281" s="3" t="s">
        <v>19</v>
      </c>
      <c r="I281" s="3" t="n">
        <v>4</v>
      </c>
      <c r="J281" s="3" t="n">
        <v>2</v>
      </c>
      <c r="K281" s="3" t="n">
        <v>7</v>
      </c>
      <c r="L281" s="3" t="n">
        <v>1</v>
      </c>
      <c r="M281" s="3" t="n">
        <v>2</v>
      </c>
      <c r="N281" s="3" t="s">
        <v>19</v>
      </c>
    </row>
    <row r="282" customFormat="false" ht="15" hidden="false" customHeight="false" outlineLevel="0" collapsed="false">
      <c r="A282" s="3" t="s">
        <v>312</v>
      </c>
      <c r="B282" s="3" t="n">
        <v>44</v>
      </c>
      <c r="C282" s="3" t="s">
        <v>22</v>
      </c>
      <c r="D282" s="3" t="s">
        <v>17</v>
      </c>
      <c r="E282" s="3" t="s">
        <v>41</v>
      </c>
      <c r="F282" s="3" t="n">
        <v>0</v>
      </c>
      <c r="G282" s="3" t="n">
        <v>3393.05</v>
      </c>
      <c r="H282" s="3" t="s">
        <v>20</v>
      </c>
      <c r="I282" s="3" t="n">
        <v>2</v>
      </c>
      <c r="J282" s="3" t="n">
        <v>4</v>
      </c>
      <c r="K282" s="3" t="n">
        <v>2</v>
      </c>
      <c r="L282" s="3" t="n">
        <v>0</v>
      </c>
      <c r="M282" s="3" t="n">
        <v>3</v>
      </c>
      <c r="N282" s="3" t="s">
        <v>19</v>
      </c>
    </row>
    <row r="283" customFormat="false" ht="15" hidden="false" customHeight="false" outlineLevel="0" collapsed="false">
      <c r="A283" s="3" t="s">
        <v>313</v>
      </c>
      <c r="B283" s="3" t="n">
        <v>21</v>
      </c>
      <c r="C283" s="3" t="s">
        <v>26</v>
      </c>
      <c r="D283" s="3" t="s">
        <v>23</v>
      </c>
      <c r="E283" s="3" t="s">
        <v>18</v>
      </c>
      <c r="F283" s="3" t="n">
        <v>0</v>
      </c>
      <c r="G283" s="3" t="n">
        <v>4422.92</v>
      </c>
      <c r="H283" s="3" t="s">
        <v>20</v>
      </c>
      <c r="I283" s="3" t="n">
        <v>2</v>
      </c>
      <c r="J283" s="3" t="n">
        <v>2</v>
      </c>
      <c r="K283" s="3" t="n">
        <v>5</v>
      </c>
      <c r="L283" s="3" t="n">
        <v>0</v>
      </c>
      <c r="M283" s="3" t="n">
        <v>1</v>
      </c>
      <c r="N283" s="3" t="s">
        <v>20</v>
      </c>
    </row>
    <row r="284" customFormat="false" ht="15" hidden="false" customHeight="false" outlineLevel="0" collapsed="false">
      <c r="A284" s="3" t="s">
        <v>314</v>
      </c>
      <c r="B284" s="3" t="n">
        <v>32</v>
      </c>
      <c r="C284" s="3" t="s">
        <v>32</v>
      </c>
      <c r="D284" s="3" t="s">
        <v>17</v>
      </c>
      <c r="E284" s="3" t="s">
        <v>24</v>
      </c>
      <c r="F284" s="3" t="n">
        <v>3.5</v>
      </c>
      <c r="G284" s="3" t="n">
        <v>2978.26</v>
      </c>
      <c r="H284" s="3" t="s">
        <v>19</v>
      </c>
      <c r="I284" s="3" t="n">
        <v>3</v>
      </c>
      <c r="J284" s="3" t="n">
        <v>4</v>
      </c>
      <c r="K284" s="3" t="n">
        <v>1</v>
      </c>
      <c r="L284" s="3" t="n">
        <v>2</v>
      </c>
      <c r="M284" s="3" t="n">
        <v>2</v>
      </c>
      <c r="N284" s="3" t="s">
        <v>19</v>
      </c>
    </row>
    <row r="285" customFormat="false" ht="15" hidden="false" customHeight="false" outlineLevel="0" collapsed="false">
      <c r="A285" s="3" t="s">
        <v>315</v>
      </c>
      <c r="B285" s="3" t="n">
        <v>37</v>
      </c>
      <c r="C285" s="3" t="s">
        <v>26</v>
      </c>
      <c r="D285" s="3" t="s">
        <v>23</v>
      </c>
      <c r="E285" s="3" t="s">
        <v>24</v>
      </c>
      <c r="F285" s="3" t="n">
        <v>0.9</v>
      </c>
      <c r="G285" s="4"/>
      <c r="H285" s="3" t="s">
        <v>20</v>
      </c>
      <c r="I285" s="3" t="n">
        <v>4</v>
      </c>
      <c r="J285" s="3" t="n">
        <v>4</v>
      </c>
      <c r="K285" s="3" t="n">
        <v>9</v>
      </c>
      <c r="L285" s="3" t="n">
        <v>0</v>
      </c>
      <c r="M285" s="3" t="n">
        <v>2</v>
      </c>
      <c r="N285" s="3" t="s">
        <v>19</v>
      </c>
    </row>
    <row r="286" customFormat="false" ht="15" hidden="false" customHeight="false" outlineLevel="0" collapsed="false">
      <c r="A286" s="3" t="s">
        <v>316</v>
      </c>
      <c r="B286" s="3" t="n">
        <v>31</v>
      </c>
      <c r="C286" s="3" t="s">
        <v>22</v>
      </c>
      <c r="D286" s="3" t="s">
        <v>17</v>
      </c>
      <c r="E286" s="3" t="s">
        <v>28</v>
      </c>
      <c r="F286" s="3" t="n">
        <v>6</v>
      </c>
      <c r="G286" s="3" t="n">
        <v>3057</v>
      </c>
      <c r="H286" s="3" t="s">
        <v>20</v>
      </c>
      <c r="I286" s="3" t="n">
        <v>2</v>
      </c>
      <c r="J286" s="3" t="n">
        <v>2</v>
      </c>
      <c r="K286" s="3" t="n">
        <v>19</v>
      </c>
      <c r="L286" s="3" t="n">
        <v>3</v>
      </c>
      <c r="M286" s="3" t="n">
        <v>2</v>
      </c>
      <c r="N286" s="3" t="s">
        <v>20</v>
      </c>
    </row>
    <row r="287" customFormat="false" ht="15" hidden="false" customHeight="false" outlineLevel="0" collapsed="false">
      <c r="A287" s="3" t="s">
        <v>317</v>
      </c>
      <c r="B287" s="3" t="n">
        <v>39</v>
      </c>
      <c r="C287" s="3" t="s">
        <v>22</v>
      </c>
      <c r="D287" s="3" t="s">
        <v>17</v>
      </c>
      <c r="E287" s="3" t="s">
        <v>28</v>
      </c>
      <c r="F287" s="3" t="n">
        <v>3.3</v>
      </c>
      <c r="G287" s="3" t="n">
        <v>2901.78</v>
      </c>
      <c r="H287" s="3" t="s">
        <v>19</v>
      </c>
      <c r="I287" s="3" t="n">
        <v>3</v>
      </c>
      <c r="J287" s="3" t="n">
        <v>4</v>
      </c>
      <c r="K287" s="3" t="n">
        <v>8</v>
      </c>
      <c r="L287" s="3" t="n">
        <v>0</v>
      </c>
      <c r="M287" s="3" t="n">
        <v>3</v>
      </c>
      <c r="N287" s="3" t="s">
        <v>19</v>
      </c>
    </row>
    <row r="288" customFormat="false" ht="15" hidden="false" customHeight="false" outlineLevel="0" collapsed="false">
      <c r="A288" s="3" t="s">
        <v>318</v>
      </c>
      <c r="B288" s="3" t="n">
        <v>30</v>
      </c>
      <c r="C288" s="3" t="s">
        <v>16</v>
      </c>
      <c r="D288" s="3" t="s">
        <v>23</v>
      </c>
      <c r="E288" s="3" t="s">
        <v>28</v>
      </c>
      <c r="F288" s="3" t="n">
        <v>3.1</v>
      </c>
      <c r="G288" s="3" t="n">
        <v>4126.61</v>
      </c>
      <c r="H288" s="3" t="s">
        <v>19</v>
      </c>
      <c r="I288" s="3" t="n">
        <v>4</v>
      </c>
      <c r="J288" s="3" t="n">
        <v>2</v>
      </c>
      <c r="K288" s="3" t="n">
        <v>1</v>
      </c>
      <c r="L288" s="3" t="n">
        <v>2</v>
      </c>
      <c r="M288" s="3" t="n">
        <v>2</v>
      </c>
      <c r="N288" s="3" t="s">
        <v>19</v>
      </c>
    </row>
    <row r="289" customFormat="false" ht="15" hidden="false" customHeight="false" outlineLevel="0" collapsed="false">
      <c r="A289" s="3" t="s">
        <v>319</v>
      </c>
      <c r="B289" s="3" t="n">
        <v>23</v>
      </c>
      <c r="C289" s="3" t="s">
        <v>26</v>
      </c>
      <c r="D289" s="3" t="s">
        <v>17</v>
      </c>
      <c r="E289" s="3" t="s">
        <v>18</v>
      </c>
      <c r="F289" s="3" t="n">
        <v>0.3</v>
      </c>
      <c r="G289" s="3" t="n">
        <v>3553.44</v>
      </c>
      <c r="H289" s="3" t="s">
        <v>20</v>
      </c>
      <c r="I289" s="3" t="n">
        <v>4</v>
      </c>
      <c r="J289" s="3" t="n">
        <v>3</v>
      </c>
      <c r="K289" s="3" t="n">
        <v>1</v>
      </c>
      <c r="L289" s="3" t="n">
        <v>0</v>
      </c>
      <c r="M289" s="3" t="n">
        <v>1</v>
      </c>
      <c r="N289" s="3" t="s">
        <v>20</v>
      </c>
    </row>
    <row r="290" customFormat="false" ht="15" hidden="false" customHeight="false" outlineLevel="0" collapsed="false">
      <c r="A290" s="3" t="s">
        <v>320</v>
      </c>
      <c r="B290" s="3" t="n">
        <v>22</v>
      </c>
      <c r="C290" s="3" t="s">
        <v>26</v>
      </c>
      <c r="D290" s="3" t="s">
        <v>48</v>
      </c>
      <c r="E290" s="3" t="s">
        <v>18</v>
      </c>
      <c r="F290" s="3" t="n">
        <v>1</v>
      </c>
      <c r="G290" s="3" t="n">
        <v>10564.15</v>
      </c>
      <c r="H290" s="3" t="s">
        <v>19</v>
      </c>
      <c r="I290" s="3" t="n">
        <v>1</v>
      </c>
      <c r="J290" s="3" t="n">
        <v>2</v>
      </c>
      <c r="K290" s="3" t="n">
        <v>32</v>
      </c>
      <c r="L290" s="3" t="n">
        <v>1</v>
      </c>
      <c r="M290" s="3" t="n">
        <v>3</v>
      </c>
      <c r="N290" s="3" t="s">
        <v>20</v>
      </c>
    </row>
    <row r="291" customFormat="false" ht="15" hidden="false" customHeight="false" outlineLevel="0" collapsed="false">
      <c r="A291" s="3" t="s">
        <v>321</v>
      </c>
      <c r="B291" s="3" t="n">
        <v>50</v>
      </c>
      <c r="C291" s="3" t="s">
        <v>22</v>
      </c>
      <c r="D291" s="3" t="s">
        <v>27</v>
      </c>
      <c r="E291" s="3" t="s">
        <v>28</v>
      </c>
      <c r="F291" s="3" t="n">
        <v>4.2</v>
      </c>
      <c r="G291" s="3" t="n">
        <v>7166.47</v>
      </c>
      <c r="H291" s="3" t="s">
        <v>19</v>
      </c>
      <c r="I291" s="3" t="n">
        <v>4</v>
      </c>
      <c r="J291" s="3" t="n">
        <v>4</v>
      </c>
      <c r="K291" s="3" t="n">
        <v>1</v>
      </c>
      <c r="L291" s="3" t="n">
        <v>4</v>
      </c>
      <c r="M291" s="3" t="n">
        <v>1</v>
      </c>
      <c r="N291" s="3" t="s">
        <v>19</v>
      </c>
    </row>
    <row r="292" customFormat="false" ht="15" hidden="false" customHeight="false" outlineLevel="0" collapsed="false">
      <c r="A292" s="3" t="s">
        <v>322</v>
      </c>
      <c r="B292" s="3" t="n">
        <v>27</v>
      </c>
      <c r="C292" s="3" t="s">
        <v>32</v>
      </c>
      <c r="D292" s="3" t="s">
        <v>27</v>
      </c>
      <c r="E292" s="3" t="s">
        <v>18</v>
      </c>
      <c r="F292" s="3" t="n">
        <v>1.6</v>
      </c>
      <c r="G292" s="3" t="n">
        <v>7393.65</v>
      </c>
      <c r="H292" s="3" t="s">
        <v>20</v>
      </c>
      <c r="I292" s="3" t="n">
        <v>4</v>
      </c>
      <c r="J292" s="3" t="n">
        <v>4</v>
      </c>
      <c r="K292" s="3" t="n">
        <v>2</v>
      </c>
      <c r="L292" s="3" t="n">
        <v>1</v>
      </c>
      <c r="M292" s="3" t="n">
        <v>0</v>
      </c>
      <c r="N292" s="3" t="s">
        <v>20</v>
      </c>
    </row>
    <row r="293" customFormat="false" ht="15" hidden="false" customHeight="false" outlineLevel="0" collapsed="false">
      <c r="A293" s="3" t="s">
        <v>323</v>
      </c>
      <c r="B293" s="3" t="n">
        <v>24</v>
      </c>
      <c r="C293" s="3" t="s">
        <v>24</v>
      </c>
      <c r="D293" s="3" t="s">
        <v>17</v>
      </c>
      <c r="E293" s="3" t="s">
        <v>18</v>
      </c>
      <c r="F293" s="3" t="n">
        <v>3</v>
      </c>
      <c r="G293" s="3" t="n">
        <v>2991.65</v>
      </c>
      <c r="H293" s="3" t="s">
        <v>19</v>
      </c>
      <c r="I293" s="3" t="n">
        <v>1</v>
      </c>
      <c r="J293" s="3" t="n">
        <v>2</v>
      </c>
      <c r="K293" s="3" t="n">
        <v>1</v>
      </c>
      <c r="L293" s="3" t="n">
        <v>2</v>
      </c>
      <c r="M293" s="3" t="n">
        <v>0</v>
      </c>
      <c r="N293" s="3" t="s">
        <v>19</v>
      </c>
    </row>
    <row r="294" customFormat="false" ht="15" hidden="false" customHeight="false" outlineLevel="0" collapsed="false">
      <c r="A294" s="3" t="s">
        <v>324</v>
      </c>
      <c r="B294" s="3" t="n">
        <v>35</v>
      </c>
      <c r="C294" s="3" t="s">
        <v>22</v>
      </c>
      <c r="D294" s="3" t="s">
        <v>48</v>
      </c>
      <c r="E294" s="3" t="s">
        <v>28</v>
      </c>
      <c r="F294" s="3" t="n">
        <v>1.2</v>
      </c>
      <c r="G294" s="3" t="n">
        <v>8435.35</v>
      </c>
      <c r="H294" s="3" t="s">
        <v>19</v>
      </c>
      <c r="I294" s="3" t="n">
        <v>1</v>
      </c>
      <c r="J294" s="3" t="n">
        <v>3</v>
      </c>
      <c r="K294" s="3" t="n">
        <v>3</v>
      </c>
      <c r="L294" s="3" t="n">
        <v>1</v>
      </c>
      <c r="M294" s="3" t="n">
        <v>5</v>
      </c>
      <c r="N294" s="3" t="s">
        <v>19</v>
      </c>
    </row>
    <row r="295" customFormat="false" ht="15" hidden="false" customHeight="false" outlineLevel="0" collapsed="false">
      <c r="A295" s="3" t="s">
        <v>325</v>
      </c>
      <c r="B295" s="3" t="n">
        <v>41</v>
      </c>
      <c r="C295" s="3" t="s">
        <v>24</v>
      </c>
      <c r="D295" s="3" t="s">
        <v>23</v>
      </c>
      <c r="E295" s="3" t="s">
        <v>28</v>
      </c>
      <c r="F295" s="3" t="n">
        <v>4</v>
      </c>
      <c r="G295" s="3" t="n">
        <v>5337.91</v>
      </c>
      <c r="H295" s="3" t="s">
        <v>19</v>
      </c>
      <c r="I295" s="3" t="n">
        <v>3</v>
      </c>
      <c r="J295" s="3" t="n">
        <v>4</v>
      </c>
      <c r="K295" s="3" t="n">
        <v>11</v>
      </c>
      <c r="L295" s="3" t="n">
        <v>0</v>
      </c>
      <c r="M295" s="3" t="n">
        <v>1</v>
      </c>
      <c r="N295" s="3" t="s">
        <v>20</v>
      </c>
    </row>
    <row r="296" customFormat="false" ht="15" hidden="false" customHeight="false" outlineLevel="0" collapsed="false">
      <c r="A296" s="3" t="s">
        <v>326</v>
      </c>
      <c r="B296" s="3" t="n">
        <v>21</v>
      </c>
      <c r="C296" s="3" t="s">
        <v>16</v>
      </c>
      <c r="D296" s="3" t="s">
        <v>17</v>
      </c>
      <c r="E296" s="3" t="s">
        <v>18</v>
      </c>
      <c r="F296" s="3" t="n">
        <v>0</v>
      </c>
      <c r="G296" s="3" t="n">
        <v>3769.24</v>
      </c>
      <c r="H296" s="3" t="s">
        <v>19</v>
      </c>
      <c r="I296" s="3" t="n">
        <v>3</v>
      </c>
      <c r="J296" s="3" t="n">
        <v>4</v>
      </c>
      <c r="K296" s="3" t="n">
        <v>4</v>
      </c>
      <c r="L296" s="3" t="n">
        <v>0</v>
      </c>
      <c r="M296" s="3" t="n">
        <v>2</v>
      </c>
      <c r="N296" s="3" t="s">
        <v>19</v>
      </c>
    </row>
    <row r="297" customFormat="false" ht="15" hidden="false" customHeight="false" outlineLevel="0" collapsed="false">
      <c r="A297" s="3" t="s">
        <v>327</v>
      </c>
      <c r="B297" s="3" t="n">
        <v>24</v>
      </c>
      <c r="C297" s="3" t="s">
        <v>22</v>
      </c>
      <c r="D297" s="3" t="s">
        <v>23</v>
      </c>
      <c r="E297" s="3" t="s">
        <v>24</v>
      </c>
      <c r="F297" s="3" t="n">
        <v>3</v>
      </c>
      <c r="G297" s="3" t="n">
        <v>4504.79</v>
      </c>
      <c r="H297" s="3" t="s">
        <v>19</v>
      </c>
      <c r="I297" s="3" t="n">
        <v>4</v>
      </c>
      <c r="J297" s="3" t="n">
        <v>2</v>
      </c>
      <c r="K297" s="3" t="n">
        <v>5</v>
      </c>
      <c r="L297" s="3" t="n">
        <v>0</v>
      </c>
      <c r="M297" s="3" t="n">
        <v>2</v>
      </c>
      <c r="N297" s="3" t="s">
        <v>19</v>
      </c>
    </row>
    <row r="298" customFormat="false" ht="15" hidden="false" customHeight="false" outlineLevel="0" collapsed="false">
      <c r="A298" s="3" t="s">
        <v>328</v>
      </c>
      <c r="B298" s="3" t="n">
        <v>34</v>
      </c>
      <c r="C298" s="3" t="s">
        <v>22</v>
      </c>
      <c r="D298" s="3" t="s">
        <v>23</v>
      </c>
      <c r="E298" s="3" t="s">
        <v>28</v>
      </c>
      <c r="F298" s="3" t="n">
        <v>0</v>
      </c>
      <c r="G298" s="3" t="n">
        <v>4580.91</v>
      </c>
      <c r="H298" s="3" t="s">
        <v>19</v>
      </c>
      <c r="I298" s="3" t="n">
        <v>3</v>
      </c>
      <c r="J298" s="3" t="n">
        <v>4</v>
      </c>
      <c r="K298" s="3" t="n">
        <v>13</v>
      </c>
      <c r="L298" s="3" t="n">
        <v>0</v>
      </c>
      <c r="M298" s="3" t="n">
        <v>1</v>
      </c>
      <c r="N298" s="3" t="s">
        <v>19</v>
      </c>
    </row>
    <row r="299" customFormat="false" ht="15" hidden="false" customHeight="false" outlineLevel="0" collapsed="false">
      <c r="A299" s="3" t="s">
        <v>329</v>
      </c>
      <c r="B299" s="3" t="n">
        <v>23</v>
      </c>
      <c r="C299" s="3" t="s">
        <v>22</v>
      </c>
      <c r="D299" s="3" t="s">
        <v>48</v>
      </c>
      <c r="E299" s="3" t="s">
        <v>18</v>
      </c>
      <c r="F299" s="3" t="n">
        <v>0.8</v>
      </c>
      <c r="G299" s="3" t="n">
        <v>8324.66</v>
      </c>
      <c r="H299" s="3" t="s">
        <v>19</v>
      </c>
      <c r="I299" s="3" t="n">
        <v>3</v>
      </c>
      <c r="J299" s="3" t="n">
        <v>2</v>
      </c>
      <c r="K299" s="3" t="n">
        <v>1</v>
      </c>
      <c r="L299" s="3" t="n">
        <v>0</v>
      </c>
      <c r="M299" s="3" t="n">
        <v>2</v>
      </c>
      <c r="N299" s="3" t="s">
        <v>19</v>
      </c>
    </row>
    <row r="300" customFormat="false" ht="15" hidden="false" customHeight="false" outlineLevel="0" collapsed="false">
      <c r="A300" s="3" t="s">
        <v>330</v>
      </c>
      <c r="B300" s="3" t="n">
        <v>23</v>
      </c>
      <c r="C300" s="3" t="s">
        <v>26</v>
      </c>
      <c r="D300" s="3" t="s">
        <v>23</v>
      </c>
      <c r="E300" s="3" t="s">
        <v>28</v>
      </c>
      <c r="F300" s="3" t="n">
        <v>2</v>
      </c>
      <c r="G300" s="3" t="n">
        <v>4307.1</v>
      </c>
      <c r="H300" s="3" t="s">
        <v>19</v>
      </c>
      <c r="I300" s="3" t="n">
        <v>4</v>
      </c>
      <c r="J300" s="3" t="n">
        <v>3</v>
      </c>
      <c r="K300" s="3" t="n">
        <v>4</v>
      </c>
      <c r="L300" s="3" t="n">
        <v>2</v>
      </c>
      <c r="M300" s="3" t="n">
        <v>1</v>
      </c>
      <c r="N300" s="3" t="s">
        <v>19</v>
      </c>
    </row>
    <row r="301" customFormat="false" ht="15" hidden="false" customHeight="false" outlineLevel="0" collapsed="false">
      <c r="A301" s="3" t="s">
        <v>331</v>
      </c>
      <c r="B301" s="3" t="n">
        <v>51</v>
      </c>
      <c r="C301" s="3" t="s">
        <v>32</v>
      </c>
      <c r="D301" s="3" t="s">
        <v>27</v>
      </c>
      <c r="E301" s="3" t="s">
        <v>41</v>
      </c>
      <c r="F301" s="3" t="n">
        <v>2.4</v>
      </c>
      <c r="G301" s="3" t="n">
        <v>7712.44</v>
      </c>
      <c r="H301" s="3" t="s">
        <v>20</v>
      </c>
      <c r="I301" s="3" t="n">
        <v>4</v>
      </c>
      <c r="J301" s="3" t="n">
        <v>3</v>
      </c>
      <c r="K301" s="3" t="n">
        <v>1</v>
      </c>
      <c r="L301" s="3" t="n">
        <v>2</v>
      </c>
      <c r="M301" s="3" t="n">
        <v>5</v>
      </c>
      <c r="N301" s="3" t="s">
        <v>19</v>
      </c>
    </row>
    <row r="302" customFormat="false" ht="15" hidden="false" customHeight="false" outlineLevel="0" collapsed="false">
      <c r="A302" s="3" t="s">
        <v>332</v>
      </c>
      <c r="B302" s="3" t="n">
        <v>43</v>
      </c>
      <c r="C302" s="3" t="s">
        <v>45</v>
      </c>
      <c r="D302" s="3" t="s">
        <v>17</v>
      </c>
      <c r="E302" s="3" t="s">
        <v>24</v>
      </c>
      <c r="F302" s="3" t="n">
        <v>0.5</v>
      </c>
      <c r="G302" s="3" t="n">
        <v>3316.97</v>
      </c>
      <c r="H302" s="3" t="s">
        <v>19</v>
      </c>
      <c r="I302" s="3" t="n">
        <v>4</v>
      </c>
      <c r="J302" s="3" t="n">
        <v>4</v>
      </c>
      <c r="K302" s="3" t="n">
        <v>5</v>
      </c>
      <c r="L302" s="3" t="n">
        <v>0</v>
      </c>
      <c r="M302" s="3" t="n">
        <v>2</v>
      </c>
      <c r="N302" s="3" t="s">
        <v>19</v>
      </c>
    </row>
    <row r="303" customFormat="false" ht="15" hidden="false" customHeight="false" outlineLevel="0" collapsed="false">
      <c r="A303" s="3" t="s">
        <v>333</v>
      </c>
      <c r="B303" s="3" t="n">
        <v>29</v>
      </c>
      <c r="C303" s="3" t="s">
        <v>22</v>
      </c>
      <c r="D303" s="3" t="s">
        <v>17</v>
      </c>
      <c r="E303" s="3" t="s">
        <v>41</v>
      </c>
      <c r="F303" s="3" t="n">
        <v>2.5</v>
      </c>
      <c r="G303" s="3" t="n">
        <v>3209.27</v>
      </c>
      <c r="H303" s="3" t="s">
        <v>20</v>
      </c>
      <c r="I303" s="3" t="n">
        <v>3</v>
      </c>
      <c r="J303" s="3" t="n">
        <v>1</v>
      </c>
      <c r="K303" s="3" t="n">
        <v>6</v>
      </c>
      <c r="L303" s="3" t="n">
        <v>0</v>
      </c>
      <c r="M303" s="3" t="n">
        <v>0</v>
      </c>
      <c r="N303" s="3" t="s">
        <v>19</v>
      </c>
    </row>
    <row r="304" customFormat="false" ht="15" hidden="false" customHeight="false" outlineLevel="0" collapsed="false">
      <c r="A304" s="3" t="s">
        <v>334</v>
      </c>
      <c r="B304" s="3" t="n">
        <v>36</v>
      </c>
      <c r="C304" s="3" t="s">
        <v>26</v>
      </c>
      <c r="D304" s="3" t="s">
        <v>17</v>
      </c>
      <c r="E304" s="3" t="s">
        <v>18</v>
      </c>
      <c r="F304" s="3" t="n">
        <v>2</v>
      </c>
      <c r="G304" s="3" t="n">
        <v>2992.39</v>
      </c>
      <c r="H304" s="3" t="s">
        <v>19</v>
      </c>
      <c r="I304" s="3" t="n">
        <v>3</v>
      </c>
      <c r="J304" s="3" t="n">
        <v>4</v>
      </c>
      <c r="K304" s="3" t="n">
        <v>26</v>
      </c>
      <c r="L304" s="3" t="n">
        <v>1</v>
      </c>
      <c r="M304" s="3" t="n">
        <v>2</v>
      </c>
      <c r="N304" s="3" t="s">
        <v>19</v>
      </c>
    </row>
    <row r="305" customFormat="false" ht="15" hidden="false" customHeight="false" outlineLevel="0" collapsed="false">
      <c r="A305" s="3" t="s">
        <v>335</v>
      </c>
      <c r="B305" s="3" t="n">
        <v>28</v>
      </c>
      <c r="C305" s="3" t="s">
        <v>32</v>
      </c>
      <c r="D305" s="3" t="s">
        <v>23</v>
      </c>
      <c r="E305" s="3" t="s">
        <v>28</v>
      </c>
      <c r="F305" s="3" t="n">
        <v>0.3</v>
      </c>
      <c r="G305" s="3" t="n">
        <v>4542.34</v>
      </c>
      <c r="H305" s="3" t="s">
        <v>19</v>
      </c>
      <c r="I305" s="3" t="n">
        <v>4</v>
      </c>
      <c r="J305" s="3" t="n">
        <v>3</v>
      </c>
      <c r="K305" s="3" t="n">
        <v>26</v>
      </c>
      <c r="L305" s="3" t="n">
        <v>0</v>
      </c>
      <c r="M305" s="3" t="n">
        <v>2</v>
      </c>
      <c r="N305" s="3" t="s">
        <v>19</v>
      </c>
    </row>
    <row r="306" customFormat="false" ht="15" hidden="false" customHeight="false" outlineLevel="0" collapsed="false">
      <c r="A306" s="3" t="s">
        <v>336</v>
      </c>
      <c r="B306" s="3" t="n">
        <v>35</v>
      </c>
      <c r="C306" s="3" t="s">
        <v>26</v>
      </c>
      <c r="D306" s="3" t="s">
        <v>17</v>
      </c>
      <c r="E306" s="3" t="s">
        <v>28</v>
      </c>
      <c r="F306" s="3" t="n">
        <v>0.5</v>
      </c>
      <c r="G306" s="3" t="n">
        <v>3022.82</v>
      </c>
      <c r="H306" s="3" t="s">
        <v>20</v>
      </c>
      <c r="I306" s="3" t="n">
        <v>4</v>
      </c>
      <c r="J306" s="3" t="n">
        <v>1</v>
      </c>
      <c r="K306" s="3" t="n">
        <v>30</v>
      </c>
      <c r="L306" s="3" t="n">
        <v>0</v>
      </c>
      <c r="M306" s="3" t="n">
        <v>1</v>
      </c>
      <c r="N306" s="3" t="s">
        <v>20</v>
      </c>
    </row>
    <row r="307" customFormat="false" ht="15" hidden="false" customHeight="false" outlineLevel="0" collapsed="false">
      <c r="A307" s="3" t="s">
        <v>337</v>
      </c>
      <c r="B307" s="3" t="n">
        <v>30</v>
      </c>
      <c r="C307" s="3" t="s">
        <v>16</v>
      </c>
      <c r="D307" s="3" t="s">
        <v>17</v>
      </c>
      <c r="E307" s="3" t="s">
        <v>24</v>
      </c>
      <c r="F307" s="3" t="n">
        <v>0.8</v>
      </c>
      <c r="G307" s="3" t="n">
        <v>3573.18</v>
      </c>
      <c r="H307" s="3" t="s">
        <v>19</v>
      </c>
      <c r="I307" s="3" t="n">
        <v>3</v>
      </c>
      <c r="J307" s="3" t="n">
        <v>4</v>
      </c>
      <c r="K307" s="3" t="n">
        <v>10</v>
      </c>
      <c r="L307" s="3" t="n">
        <v>0</v>
      </c>
      <c r="M307" s="3" t="n">
        <v>1</v>
      </c>
      <c r="N307" s="3" t="s">
        <v>19</v>
      </c>
    </row>
    <row r="308" customFormat="false" ht="15" hidden="false" customHeight="false" outlineLevel="0" collapsed="false">
      <c r="A308" s="3" t="s">
        <v>338</v>
      </c>
      <c r="B308" s="3" t="n">
        <v>29</v>
      </c>
      <c r="C308" s="3" t="s">
        <v>26</v>
      </c>
      <c r="D308" s="3" t="s">
        <v>23</v>
      </c>
      <c r="E308" s="3" t="s">
        <v>18</v>
      </c>
      <c r="F308" s="3" t="n">
        <v>4.6</v>
      </c>
      <c r="G308" s="3" t="n">
        <v>4993.58</v>
      </c>
      <c r="H308" s="3" t="s">
        <v>19</v>
      </c>
      <c r="I308" s="3" t="n">
        <v>3</v>
      </c>
      <c r="J308" s="3" t="n">
        <v>1</v>
      </c>
      <c r="K308" s="3" t="n">
        <v>35</v>
      </c>
      <c r="L308" s="3" t="n">
        <v>0</v>
      </c>
      <c r="M308" s="3" t="n">
        <v>1</v>
      </c>
      <c r="N308" s="3" t="s">
        <v>19</v>
      </c>
    </row>
    <row r="309" customFormat="false" ht="15" hidden="false" customHeight="false" outlineLevel="0" collapsed="false">
      <c r="A309" s="3" t="s">
        <v>339</v>
      </c>
      <c r="B309" s="3" t="n">
        <v>21</v>
      </c>
      <c r="C309" s="3" t="s">
        <v>16</v>
      </c>
      <c r="D309" s="3" t="s">
        <v>23</v>
      </c>
      <c r="E309" s="3" t="s">
        <v>24</v>
      </c>
      <c r="F309" s="3" t="n">
        <v>0</v>
      </c>
      <c r="G309" s="3" t="n">
        <v>4563.58</v>
      </c>
      <c r="H309" s="3" t="s">
        <v>19</v>
      </c>
      <c r="I309" s="3" t="n">
        <v>2</v>
      </c>
      <c r="J309" s="3" t="n">
        <v>4</v>
      </c>
      <c r="K309" s="3" t="n">
        <v>12</v>
      </c>
      <c r="L309" s="3" t="n">
        <v>0</v>
      </c>
      <c r="M309" s="3" t="n">
        <v>0</v>
      </c>
      <c r="N309" s="3" t="s">
        <v>20</v>
      </c>
    </row>
    <row r="310" customFormat="false" ht="15" hidden="false" customHeight="false" outlineLevel="0" collapsed="false">
      <c r="A310" s="3" t="s">
        <v>340</v>
      </c>
      <c r="B310" s="3" t="n">
        <v>21</v>
      </c>
      <c r="C310" s="3" t="s">
        <v>16</v>
      </c>
      <c r="D310" s="3" t="s">
        <v>17</v>
      </c>
      <c r="E310" s="3" t="s">
        <v>24</v>
      </c>
      <c r="F310" s="3" t="n">
        <v>0</v>
      </c>
      <c r="G310" s="3" t="n">
        <v>2849.21</v>
      </c>
      <c r="H310" s="3" t="s">
        <v>19</v>
      </c>
      <c r="I310" s="3" t="n">
        <v>3</v>
      </c>
      <c r="J310" s="3" t="n">
        <v>1</v>
      </c>
      <c r="K310" s="3" t="n">
        <v>10</v>
      </c>
      <c r="L310" s="3" t="n">
        <v>0</v>
      </c>
      <c r="M310" s="3" t="n">
        <v>1</v>
      </c>
      <c r="N310" s="3" t="s">
        <v>20</v>
      </c>
    </row>
    <row r="311" customFormat="false" ht="15" hidden="false" customHeight="false" outlineLevel="0" collapsed="false">
      <c r="A311" s="3" t="s">
        <v>341</v>
      </c>
      <c r="B311" s="3" t="n">
        <v>37</v>
      </c>
      <c r="C311" s="3" t="s">
        <v>26</v>
      </c>
      <c r="D311" s="3" t="s">
        <v>23</v>
      </c>
      <c r="E311" s="3" t="s">
        <v>41</v>
      </c>
      <c r="F311" s="3" t="n">
        <v>0.4</v>
      </c>
      <c r="G311" s="3" t="n">
        <v>5036.67</v>
      </c>
      <c r="H311" s="3" t="s">
        <v>20</v>
      </c>
      <c r="I311" s="3" t="n">
        <v>2</v>
      </c>
      <c r="J311" s="3" t="n">
        <v>2</v>
      </c>
      <c r="K311" s="3" t="n">
        <v>40</v>
      </c>
      <c r="L311" s="3" t="n">
        <v>0</v>
      </c>
      <c r="M311" s="3" t="n">
        <v>1</v>
      </c>
      <c r="N311" s="3" t="s">
        <v>20</v>
      </c>
    </row>
    <row r="312" customFormat="false" ht="15" hidden="false" customHeight="false" outlineLevel="0" collapsed="false">
      <c r="A312" s="3" t="s">
        <v>342</v>
      </c>
      <c r="B312" s="3" t="n">
        <v>22</v>
      </c>
      <c r="C312" s="3" t="s">
        <v>22</v>
      </c>
      <c r="D312" s="3" t="s">
        <v>17</v>
      </c>
      <c r="E312" s="3" t="s">
        <v>28</v>
      </c>
      <c r="F312" s="3" t="n">
        <v>1</v>
      </c>
      <c r="G312" s="3" t="n">
        <v>2979.1</v>
      </c>
      <c r="H312" s="3" t="s">
        <v>20</v>
      </c>
      <c r="I312" s="3" t="n">
        <v>3</v>
      </c>
      <c r="J312" s="3" t="n">
        <v>3</v>
      </c>
      <c r="K312" s="3" t="n">
        <v>3</v>
      </c>
      <c r="L312" s="3" t="n">
        <v>1</v>
      </c>
      <c r="M312" s="3" t="n">
        <v>4</v>
      </c>
      <c r="N312" s="3" t="s">
        <v>20</v>
      </c>
    </row>
    <row r="313" customFormat="false" ht="15" hidden="false" customHeight="false" outlineLevel="0" collapsed="false">
      <c r="A313" s="3" t="s">
        <v>343</v>
      </c>
      <c r="B313" s="3" t="n">
        <v>38</v>
      </c>
      <c r="C313" s="3" t="s">
        <v>16</v>
      </c>
      <c r="D313" s="3" t="s">
        <v>27</v>
      </c>
      <c r="E313" s="3" t="s">
        <v>41</v>
      </c>
      <c r="F313" s="3" t="n">
        <v>0</v>
      </c>
      <c r="G313" s="3" t="n">
        <v>6952.44</v>
      </c>
      <c r="H313" s="3" t="s">
        <v>19</v>
      </c>
      <c r="I313" s="3" t="n">
        <v>2</v>
      </c>
      <c r="J313" s="3" t="n">
        <v>2</v>
      </c>
      <c r="K313" s="3" t="n">
        <v>4</v>
      </c>
      <c r="L313" s="3" t="n">
        <v>0</v>
      </c>
      <c r="M313" s="3" t="n">
        <v>0</v>
      </c>
      <c r="N313" s="3" t="s">
        <v>19</v>
      </c>
    </row>
    <row r="314" customFormat="false" ht="15" hidden="false" customHeight="false" outlineLevel="0" collapsed="false">
      <c r="A314" s="3" t="s">
        <v>344</v>
      </c>
      <c r="B314" s="3" t="n">
        <v>23</v>
      </c>
      <c r="C314" s="3" t="s">
        <v>26</v>
      </c>
      <c r="D314" s="3" t="s">
        <v>23</v>
      </c>
      <c r="E314" s="3" t="s">
        <v>28</v>
      </c>
      <c r="F314" s="3" t="n">
        <v>1.2</v>
      </c>
      <c r="G314" s="3" t="n">
        <v>5047.74</v>
      </c>
      <c r="H314" s="3" t="s">
        <v>20</v>
      </c>
      <c r="I314" s="3" t="n">
        <v>3</v>
      </c>
      <c r="J314" s="3" t="n">
        <v>3</v>
      </c>
      <c r="K314" s="3" t="n">
        <v>1</v>
      </c>
      <c r="L314" s="3" t="n">
        <v>1</v>
      </c>
      <c r="M314" s="3" t="n">
        <v>3</v>
      </c>
      <c r="N314" s="3" t="s">
        <v>19</v>
      </c>
    </row>
    <row r="315" customFormat="false" ht="15" hidden="false" customHeight="false" outlineLevel="0" collapsed="false">
      <c r="A315" s="3" t="s">
        <v>345</v>
      </c>
      <c r="B315" s="3" t="n">
        <v>34</v>
      </c>
      <c r="C315" s="3" t="s">
        <v>22</v>
      </c>
      <c r="D315" s="3" t="s">
        <v>17</v>
      </c>
      <c r="E315" s="3" t="s">
        <v>28</v>
      </c>
      <c r="F315" s="3" t="n">
        <v>12</v>
      </c>
      <c r="G315" s="3" t="n">
        <v>3598.02</v>
      </c>
      <c r="H315" s="3" t="s">
        <v>20</v>
      </c>
      <c r="I315" s="3" t="n">
        <v>3</v>
      </c>
      <c r="J315" s="3" t="n">
        <v>4</v>
      </c>
      <c r="K315" s="3" t="n">
        <v>6</v>
      </c>
      <c r="L315" s="3" t="n">
        <v>7</v>
      </c>
      <c r="M315" s="3" t="n">
        <v>1</v>
      </c>
      <c r="N315" s="3" t="s">
        <v>19</v>
      </c>
    </row>
    <row r="316" customFormat="false" ht="15" hidden="false" customHeight="false" outlineLevel="0" collapsed="false">
      <c r="A316" s="3" t="s">
        <v>346</v>
      </c>
      <c r="B316" s="3" t="n">
        <v>38</v>
      </c>
      <c r="C316" s="3" t="s">
        <v>26</v>
      </c>
      <c r="D316" s="3" t="s">
        <v>27</v>
      </c>
      <c r="E316" s="3" t="s">
        <v>18</v>
      </c>
      <c r="F316" s="3" t="n">
        <v>0.1</v>
      </c>
      <c r="G316" s="4"/>
      <c r="H316" s="3" t="s">
        <v>20</v>
      </c>
      <c r="I316" s="3" t="n">
        <v>4</v>
      </c>
      <c r="J316" s="3" t="n">
        <v>3</v>
      </c>
      <c r="K316" s="3" t="n">
        <v>3</v>
      </c>
      <c r="L316" s="3" t="n">
        <v>0</v>
      </c>
      <c r="M316" s="3" t="n">
        <v>1</v>
      </c>
      <c r="N316" s="3" t="s">
        <v>19</v>
      </c>
    </row>
    <row r="317" customFormat="false" ht="15" hidden="false" customHeight="false" outlineLevel="0" collapsed="false">
      <c r="A317" s="3" t="s">
        <v>347</v>
      </c>
      <c r="B317" s="3" t="n">
        <v>22</v>
      </c>
      <c r="C317" s="3" t="s">
        <v>26</v>
      </c>
      <c r="D317" s="3" t="s">
        <v>48</v>
      </c>
      <c r="E317" s="3" t="s">
        <v>28</v>
      </c>
      <c r="F317" s="3" t="n">
        <v>1</v>
      </c>
      <c r="G317" s="3" t="n">
        <v>10426.88</v>
      </c>
      <c r="H317" s="3" t="s">
        <v>20</v>
      </c>
      <c r="I317" s="3" t="n">
        <v>3</v>
      </c>
      <c r="J317" s="3" t="n">
        <v>2</v>
      </c>
      <c r="K317" s="3" t="n">
        <v>1</v>
      </c>
      <c r="L317" s="3" t="n">
        <v>1</v>
      </c>
      <c r="M317" s="3" t="n">
        <v>0</v>
      </c>
      <c r="N317" s="3" t="s">
        <v>20</v>
      </c>
    </row>
    <row r="318" customFormat="false" ht="15" hidden="false" customHeight="false" outlineLevel="0" collapsed="false">
      <c r="A318" s="3" t="s">
        <v>348</v>
      </c>
      <c r="B318" s="3" t="n">
        <v>34</v>
      </c>
      <c r="C318" s="3" t="s">
        <v>22</v>
      </c>
      <c r="D318" s="3" t="s">
        <v>17</v>
      </c>
      <c r="E318" s="3" t="s">
        <v>28</v>
      </c>
      <c r="F318" s="3" t="n">
        <v>1.6</v>
      </c>
      <c r="G318" s="3" t="n">
        <v>3777.76</v>
      </c>
      <c r="H318" s="3" t="s">
        <v>19</v>
      </c>
      <c r="I318" s="3" t="n">
        <v>4</v>
      </c>
      <c r="J318" s="3" t="n">
        <v>2</v>
      </c>
      <c r="K318" s="3" t="n">
        <v>17</v>
      </c>
      <c r="L318" s="3" t="n">
        <v>1</v>
      </c>
      <c r="M318" s="3" t="n">
        <v>2</v>
      </c>
      <c r="N318" s="3" t="s">
        <v>19</v>
      </c>
    </row>
    <row r="319" customFormat="false" ht="15" hidden="false" customHeight="false" outlineLevel="0" collapsed="false">
      <c r="A319" s="3" t="s">
        <v>349</v>
      </c>
      <c r="B319" s="3" t="n">
        <v>35</v>
      </c>
      <c r="C319" s="3" t="s">
        <v>24</v>
      </c>
      <c r="D319" s="3" t="s">
        <v>17</v>
      </c>
      <c r="E319" s="3" t="s">
        <v>41</v>
      </c>
      <c r="F319" s="3" t="n">
        <v>2.2</v>
      </c>
      <c r="G319" s="3" t="n">
        <v>3285.25</v>
      </c>
      <c r="H319" s="3" t="s">
        <v>19</v>
      </c>
      <c r="I319" s="3" t="n">
        <v>4</v>
      </c>
      <c r="J319" s="3" t="n">
        <v>2</v>
      </c>
      <c r="K319" s="3" t="n">
        <v>1</v>
      </c>
      <c r="L319" s="3" t="n">
        <v>0</v>
      </c>
      <c r="M319" s="3" t="n">
        <v>1</v>
      </c>
      <c r="N319" s="3" t="s">
        <v>19</v>
      </c>
    </row>
    <row r="320" customFormat="false" ht="15" hidden="false" customHeight="false" outlineLevel="0" collapsed="false">
      <c r="A320" s="3" t="s">
        <v>350</v>
      </c>
      <c r="B320" s="3" t="n">
        <v>32</v>
      </c>
      <c r="C320" s="3" t="s">
        <v>32</v>
      </c>
      <c r="D320" s="3" t="s">
        <v>27</v>
      </c>
      <c r="E320" s="3" t="s">
        <v>28</v>
      </c>
      <c r="F320" s="3" t="n">
        <v>6.9</v>
      </c>
      <c r="G320" s="3" t="n">
        <v>7333.48</v>
      </c>
      <c r="H320" s="3" t="s">
        <v>19</v>
      </c>
      <c r="I320" s="3" t="n">
        <v>2</v>
      </c>
      <c r="J320" s="3" t="n">
        <v>3</v>
      </c>
      <c r="K320" s="3" t="n">
        <v>2</v>
      </c>
      <c r="L320" s="3" t="n">
        <v>2</v>
      </c>
      <c r="M320" s="3" t="n">
        <v>2</v>
      </c>
      <c r="N320" s="3" t="s">
        <v>20</v>
      </c>
    </row>
    <row r="321" customFormat="false" ht="15" hidden="false" customHeight="false" outlineLevel="0" collapsed="false">
      <c r="A321" s="3" t="s">
        <v>351</v>
      </c>
      <c r="B321" s="3" t="n">
        <v>38</v>
      </c>
      <c r="C321" s="3" t="s">
        <v>16</v>
      </c>
      <c r="D321" s="3" t="s">
        <v>27</v>
      </c>
      <c r="E321" s="3" t="s">
        <v>18</v>
      </c>
      <c r="F321" s="3" t="n">
        <v>6.6</v>
      </c>
      <c r="G321" s="3" t="n">
        <v>8064.39</v>
      </c>
      <c r="H321" s="3" t="s">
        <v>19</v>
      </c>
      <c r="I321" s="3" t="n">
        <v>4</v>
      </c>
      <c r="J321" s="3" t="n">
        <v>4</v>
      </c>
      <c r="K321" s="3" t="n">
        <v>1</v>
      </c>
      <c r="L321" s="3" t="n">
        <v>0</v>
      </c>
      <c r="M321" s="3" t="n">
        <v>2</v>
      </c>
      <c r="N321" s="3" t="s">
        <v>19</v>
      </c>
    </row>
    <row r="322" customFormat="false" ht="15" hidden="false" customHeight="false" outlineLevel="0" collapsed="false">
      <c r="A322" s="3" t="s">
        <v>352</v>
      </c>
      <c r="B322" s="3" t="n">
        <v>31</v>
      </c>
      <c r="C322" s="3" t="s">
        <v>24</v>
      </c>
      <c r="D322" s="3" t="s">
        <v>23</v>
      </c>
      <c r="E322" s="3" t="s">
        <v>18</v>
      </c>
      <c r="F322" s="3" t="n">
        <v>7</v>
      </c>
      <c r="G322" s="3" t="n">
        <v>5521.76</v>
      </c>
      <c r="H322" s="3" t="s">
        <v>19</v>
      </c>
      <c r="I322" s="3" t="n">
        <v>4</v>
      </c>
      <c r="J322" s="3" t="n">
        <v>1</v>
      </c>
      <c r="K322" s="3" t="n">
        <v>1</v>
      </c>
      <c r="L322" s="3" t="n">
        <v>1</v>
      </c>
      <c r="M322" s="3" t="n">
        <v>2</v>
      </c>
      <c r="N322" s="3" t="s">
        <v>19</v>
      </c>
    </row>
    <row r="323" customFormat="false" ht="15" hidden="false" customHeight="false" outlineLevel="0" collapsed="false">
      <c r="A323" s="3" t="s">
        <v>353</v>
      </c>
      <c r="B323" s="3" t="n">
        <v>21</v>
      </c>
      <c r="C323" s="3" t="s">
        <v>26</v>
      </c>
      <c r="D323" s="3" t="s">
        <v>23</v>
      </c>
      <c r="E323" s="3" t="s">
        <v>18</v>
      </c>
      <c r="F323" s="3" t="n">
        <v>0</v>
      </c>
      <c r="G323" s="4"/>
      <c r="H323" s="3" t="s">
        <v>20</v>
      </c>
      <c r="I323" s="3" t="n">
        <v>4</v>
      </c>
      <c r="J323" s="3" t="n">
        <v>4</v>
      </c>
      <c r="K323" s="3" t="n">
        <v>7</v>
      </c>
      <c r="L323" s="3" t="n">
        <v>0</v>
      </c>
      <c r="M323" s="3" t="n">
        <v>6</v>
      </c>
      <c r="N323" s="3" t="s">
        <v>19</v>
      </c>
    </row>
    <row r="324" customFormat="false" ht="15" hidden="false" customHeight="false" outlineLevel="0" collapsed="false">
      <c r="A324" s="3" t="s">
        <v>354</v>
      </c>
      <c r="B324" s="3" t="n">
        <v>40</v>
      </c>
      <c r="C324" s="3" t="s">
        <v>24</v>
      </c>
      <c r="D324" s="3" t="s">
        <v>23</v>
      </c>
      <c r="E324" s="3" t="s">
        <v>28</v>
      </c>
      <c r="F324" s="3" t="n">
        <v>0.6</v>
      </c>
      <c r="G324" s="3" t="n">
        <v>4655.16</v>
      </c>
      <c r="H324" s="3" t="s">
        <v>19</v>
      </c>
      <c r="I324" s="3" t="n">
        <v>3</v>
      </c>
      <c r="J324" s="3" t="n">
        <v>3</v>
      </c>
      <c r="K324" s="3" t="n">
        <v>8</v>
      </c>
      <c r="L324" s="3" t="n">
        <v>0</v>
      </c>
      <c r="M324" s="3" t="n">
        <v>2</v>
      </c>
      <c r="N324" s="3" t="s">
        <v>19</v>
      </c>
    </row>
    <row r="325" customFormat="false" ht="15" hidden="false" customHeight="false" outlineLevel="0" collapsed="false">
      <c r="A325" s="3" t="s">
        <v>355</v>
      </c>
      <c r="B325" s="3" t="n">
        <v>24</v>
      </c>
      <c r="C325" s="3" t="s">
        <v>26</v>
      </c>
      <c r="D325" s="3" t="s">
        <v>27</v>
      </c>
      <c r="E325" s="3" t="s">
        <v>41</v>
      </c>
      <c r="F325" s="3" t="n">
        <v>1.4</v>
      </c>
      <c r="G325" s="3" t="n">
        <v>6785</v>
      </c>
      <c r="H325" s="3" t="s">
        <v>20</v>
      </c>
      <c r="I325" s="3" t="n">
        <v>3</v>
      </c>
      <c r="J325" s="3" t="n">
        <v>4</v>
      </c>
      <c r="K325" s="3" t="n">
        <v>1</v>
      </c>
      <c r="L325" s="3" t="n">
        <v>1</v>
      </c>
      <c r="M325" s="3" t="n">
        <v>0</v>
      </c>
      <c r="N325" s="3" t="s">
        <v>19</v>
      </c>
    </row>
    <row r="326" customFormat="false" ht="15" hidden="false" customHeight="false" outlineLevel="0" collapsed="false">
      <c r="A326" s="3" t="s">
        <v>356</v>
      </c>
      <c r="B326" s="3" t="n">
        <v>26</v>
      </c>
      <c r="C326" s="3" t="s">
        <v>26</v>
      </c>
      <c r="D326" s="3" t="s">
        <v>17</v>
      </c>
      <c r="E326" s="3" t="s">
        <v>41</v>
      </c>
      <c r="F326" s="3" t="n">
        <v>3.3</v>
      </c>
      <c r="G326" s="3" t="n">
        <v>3239.61</v>
      </c>
      <c r="H326" s="3" t="s">
        <v>20</v>
      </c>
      <c r="I326" s="3" t="n">
        <v>2</v>
      </c>
      <c r="J326" s="3" t="n">
        <v>4</v>
      </c>
      <c r="K326" s="3" t="n">
        <v>2</v>
      </c>
      <c r="L326" s="3" t="n">
        <v>2</v>
      </c>
      <c r="M326" s="3" t="n">
        <v>0</v>
      </c>
      <c r="N326" s="3" t="s">
        <v>19</v>
      </c>
    </row>
    <row r="327" customFormat="false" ht="15" hidden="false" customHeight="false" outlineLevel="0" collapsed="false">
      <c r="A327" s="3" t="s">
        <v>357</v>
      </c>
      <c r="B327" s="3" t="n">
        <v>22</v>
      </c>
      <c r="C327" s="3" t="s">
        <v>22</v>
      </c>
      <c r="D327" s="3" t="s">
        <v>17</v>
      </c>
      <c r="E327" s="3" t="s">
        <v>41</v>
      </c>
      <c r="F327" s="3" t="n">
        <v>1</v>
      </c>
      <c r="G327" s="3" t="n">
        <v>2925.23</v>
      </c>
      <c r="H327" s="3" t="s">
        <v>19</v>
      </c>
      <c r="I327" s="3" t="n">
        <v>1</v>
      </c>
      <c r="J327" s="3" t="n">
        <v>3</v>
      </c>
      <c r="K327" s="3" t="n">
        <v>16</v>
      </c>
      <c r="L327" s="3" t="n">
        <v>1</v>
      </c>
      <c r="M327" s="3" t="n">
        <v>1</v>
      </c>
      <c r="N327" s="3" t="s">
        <v>19</v>
      </c>
    </row>
    <row r="328" customFormat="false" ht="15" hidden="false" customHeight="false" outlineLevel="0" collapsed="false">
      <c r="A328" s="3" t="s">
        <v>358</v>
      </c>
      <c r="B328" s="3" t="n">
        <v>32</v>
      </c>
      <c r="C328" s="3" t="s">
        <v>24</v>
      </c>
      <c r="D328" s="3" t="s">
        <v>17</v>
      </c>
      <c r="E328" s="3" t="s">
        <v>24</v>
      </c>
      <c r="F328" s="3" t="n">
        <v>0.5</v>
      </c>
      <c r="G328" s="3" t="n">
        <v>3709.13</v>
      </c>
      <c r="H328" s="3" t="s">
        <v>19</v>
      </c>
      <c r="I328" s="3" t="n">
        <v>3</v>
      </c>
      <c r="J328" s="3" t="n">
        <v>4</v>
      </c>
      <c r="K328" s="3" t="n">
        <v>6</v>
      </c>
      <c r="L328" s="3" t="n">
        <v>0</v>
      </c>
      <c r="M328" s="3" t="n">
        <v>0</v>
      </c>
      <c r="N328" s="3" t="s">
        <v>19</v>
      </c>
    </row>
    <row r="329" customFormat="false" ht="15" hidden="false" customHeight="false" outlineLevel="0" collapsed="false">
      <c r="A329" s="3" t="s">
        <v>359</v>
      </c>
      <c r="B329" s="3" t="n">
        <v>28</v>
      </c>
      <c r="C329" s="3" t="s">
        <v>22</v>
      </c>
      <c r="D329" s="3" t="s">
        <v>17</v>
      </c>
      <c r="E329" s="3" t="s">
        <v>28</v>
      </c>
      <c r="F329" s="3" t="n">
        <v>3.4</v>
      </c>
      <c r="G329" s="3" t="n">
        <v>3411.44</v>
      </c>
      <c r="H329" s="3" t="s">
        <v>20</v>
      </c>
      <c r="I329" s="3" t="n">
        <v>2</v>
      </c>
      <c r="J329" s="3" t="n">
        <v>1</v>
      </c>
      <c r="K329" s="3" t="n">
        <v>1</v>
      </c>
      <c r="L329" s="3" t="n">
        <v>2</v>
      </c>
      <c r="M329" s="3" t="n">
        <v>3</v>
      </c>
      <c r="N329" s="3" t="s">
        <v>20</v>
      </c>
    </row>
    <row r="330" customFormat="false" ht="15" hidden="false" customHeight="false" outlineLevel="0" collapsed="false">
      <c r="A330" s="3" t="s">
        <v>360</v>
      </c>
      <c r="B330" s="3" t="n">
        <v>42</v>
      </c>
      <c r="C330" s="3" t="s">
        <v>22</v>
      </c>
      <c r="D330" s="3" t="s">
        <v>23</v>
      </c>
      <c r="E330" s="3" t="s">
        <v>18</v>
      </c>
      <c r="F330" s="3" t="n">
        <v>4</v>
      </c>
      <c r="G330" s="3" t="n">
        <v>5198.17</v>
      </c>
      <c r="H330" s="3" t="s">
        <v>19</v>
      </c>
      <c r="I330" s="3" t="n">
        <v>4</v>
      </c>
      <c r="J330" s="3" t="n">
        <v>2</v>
      </c>
      <c r="K330" s="3" t="n">
        <v>10</v>
      </c>
      <c r="L330" s="3" t="n">
        <v>1</v>
      </c>
      <c r="M330" s="3" t="n">
        <v>5</v>
      </c>
      <c r="N330" s="3" t="s">
        <v>20</v>
      </c>
    </row>
    <row r="331" customFormat="false" ht="15" hidden="false" customHeight="false" outlineLevel="0" collapsed="false">
      <c r="A331" s="3" t="s">
        <v>361</v>
      </c>
      <c r="B331" s="3" t="n">
        <v>26</v>
      </c>
      <c r="C331" s="3" t="s">
        <v>26</v>
      </c>
      <c r="D331" s="3" t="s">
        <v>17</v>
      </c>
      <c r="E331" s="3" t="s">
        <v>41</v>
      </c>
      <c r="F331" s="3" t="n">
        <v>1.6</v>
      </c>
      <c r="G331" s="3" t="n">
        <v>3526.62</v>
      </c>
      <c r="H331" s="3" t="s">
        <v>19</v>
      </c>
      <c r="I331" s="3" t="n">
        <v>4</v>
      </c>
      <c r="J331" s="3" t="n">
        <v>2</v>
      </c>
      <c r="K331" s="3" t="n">
        <v>9</v>
      </c>
      <c r="L331" s="3" t="n">
        <v>1</v>
      </c>
      <c r="M331" s="3" t="n">
        <v>1</v>
      </c>
      <c r="N331" s="3" t="s">
        <v>19</v>
      </c>
    </row>
    <row r="332" customFormat="false" ht="15" hidden="false" customHeight="false" outlineLevel="0" collapsed="false">
      <c r="A332" s="3" t="s">
        <v>362</v>
      </c>
      <c r="B332" s="3" t="n">
        <v>43</v>
      </c>
      <c r="C332" s="3" t="s">
        <v>26</v>
      </c>
      <c r="D332" s="3" t="s">
        <v>23</v>
      </c>
      <c r="E332" s="3" t="s">
        <v>24</v>
      </c>
      <c r="F332" s="3" t="n">
        <v>4.5</v>
      </c>
      <c r="G332" s="3" t="n">
        <v>5533.12</v>
      </c>
      <c r="H332" s="3" t="s">
        <v>20</v>
      </c>
      <c r="I332" s="3" t="n">
        <v>2</v>
      </c>
      <c r="J332" s="3" t="n">
        <v>2</v>
      </c>
      <c r="K332" s="3" t="n">
        <v>1</v>
      </c>
      <c r="L332" s="3" t="n">
        <v>1</v>
      </c>
      <c r="M332" s="3" t="n">
        <v>4</v>
      </c>
      <c r="N332" s="3" t="s">
        <v>20</v>
      </c>
    </row>
    <row r="333" customFormat="false" ht="15" hidden="false" customHeight="false" outlineLevel="0" collapsed="false">
      <c r="A333" s="3" t="s">
        <v>363</v>
      </c>
      <c r="B333" s="3" t="n">
        <v>29</v>
      </c>
      <c r="C333" s="3" t="s">
        <v>26</v>
      </c>
      <c r="D333" s="3" t="s">
        <v>17</v>
      </c>
      <c r="E333" s="3" t="s">
        <v>28</v>
      </c>
      <c r="F333" s="3" t="n">
        <v>0.2</v>
      </c>
      <c r="G333" s="3" t="n">
        <v>3340.5</v>
      </c>
      <c r="H333" s="3" t="s">
        <v>20</v>
      </c>
      <c r="I333" s="3" t="n">
        <v>2</v>
      </c>
      <c r="J333" s="3" t="n">
        <v>3</v>
      </c>
      <c r="K333" s="3" t="n">
        <v>7</v>
      </c>
      <c r="L333" s="3" t="n">
        <v>0</v>
      </c>
      <c r="M333" s="3" t="n">
        <v>0</v>
      </c>
      <c r="N333" s="3" t="s">
        <v>19</v>
      </c>
    </row>
    <row r="334" customFormat="false" ht="15" hidden="false" customHeight="false" outlineLevel="0" collapsed="false">
      <c r="A334" s="3" t="s">
        <v>364</v>
      </c>
      <c r="B334" s="3" t="n">
        <v>21</v>
      </c>
      <c r="C334" s="3" t="s">
        <v>16</v>
      </c>
      <c r="D334" s="3" t="s">
        <v>23</v>
      </c>
      <c r="E334" s="3" t="s">
        <v>41</v>
      </c>
      <c r="F334" s="3" t="n">
        <v>0</v>
      </c>
      <c r="G334" s="3" t="n">
        <v>4679.3</v>
      </c>
      <c r="H334" s="3" t="s">
        <v>19</v>
      </c>
      <c r="I334" s="3" t="n">
        <v>3</v>
      </c>
      <c r="J334" s="3" t="n">
        <v>4</v>
      </c>
      <c r="K334" s="3" t="n">
        <v>3</v>
      </c>
      <c r="L334" s="3" t="n">
        <v>0</v>
      </c>
      <c r="M334" s="3" t="n">
        <v>2</v>
      </c>
      <c r="N334" s="3" t="s">
        <v>19</v>
      </c>
    </row>
    <row r="335" customFormat="false" ht="15" hidden="false" customHeight="false" outlineLevel="0" collapsed="false">
      <c r="A335" s="3" t="s">
        <v>365</v>
      </c>
      <c r="B335" s="3" t="n">
        <v>28</v>
      </c>
      <c r="C335" s="3" t="s">
        <v>26</v>
      </c>
      <c r="D335" s="3" t="s">
        <v>17</v>
      </c>
      <c r="E335" s="3" t="s">
        <v>18</v>
      </c>
      <c r="F335" s="3" t="n">
        <v>3</v>
      </c>
      <c r="G335" s="3" t="n">
        <v>2885.88</v>
      </c>
      <c r="H335" s="3" t="s">
        <v>20</v>
      </c>
      <c r="I335" s="3" t="n">
        <v>2</v>
      </c>
      <c r="J335" s="3" t="n">
        <v>1</v>
      </c>
      <c r="K335" s="3" t="n">
        <v>5</v>
      </c>
      <c r="L335" s="3" t="n">
        <v>0</v>
      </c>
      <c r="M335" s="3" t="n">
        <v>2</v>
      </c>
      <c r="N335" s="3" t="s">
        <v>19</v>
      </c>
    </row>
    <row r="336" customFormat="false" ht="15" hidden="false" customHeight="false" outlineLevel="0" collapsed="false">
      <c r="A336" s="3" t="s">
        <v>366</v>
      </c>
      <c r="B336" s="3" t="n">
        <v>27</v>
      </c>
      <c r="C336" s="3" t="s">
        <v>26</v>
      </c>
      <c r="D336" s="3" t="s">
        <v>23</v>
      </c>
      <c r="E336" s="3" t="s">
        <v>28</v>
      </c>
      <c r="F336" s="3" t="n">
        <v>0.6</v>
      </c>
      <c r="G336" s="3" t="n">
        <v>4398.75</v>
      </c>
      <c r="H336" s="3" t="s">
        <v>20</v>
      </c>
      <c r="I336" s="3" t="n">
        <v>4</v>
      </c>
      <c r="J336" s="3" t="n">
        <v>3</v>
      </c>
      <c r="K336" s="3" t="n">
        <v>6</v>
      </c>
      <c r="L336" s="3" t="n">
        <v>0</v>
      </c>
      <c r="M336" s="3" t="n">
        <v>3</v>
      </c>
      <c r="N336" s="3" t="s">
        <v>20</v>
      </c>
    </row>
    <row r="337" customFormat="false" ht="15" hidden="false" customHeight="false" outlineLevel="0" collapsed="false">
      <c r="A337" s="3" t="s">
        <v>367</v>
      </c>
      <c r="B337" s="3" t="n">
        <v>48</v>
      </c>
      <c r="C337" s="3" t="s">
        <v>16</v>
      </c>
      <c r="D337" s="3" t="s">
        <v>23</v>
      </c>
      <c r="E337" s="3" t="s">
        <v>41</v>
      </c>
      <c r="F337" s="3" t="n">
        <v>0.3</v>
      </c>
      <c r="G337" s="4"/>
      <c r="H337" s="3" t="s">
        <v>19</v>
      </c>
      <c r="I337" s="3" t="n">
        <v>3</v>
      </c>
      <c r="J337" s="3" t="n">
        <v>3</v>
      </c>
      <c r="K337" s="3" t="n">
        <v>13</v>
      </c>
      <c r="L337" s="3" t="n">
        <v>0</v>
      </c>
      <c r="M337" s="3" t="n">
        <v>1</v>
      </c>
      <c r="N337" s="3" t="s">
        <v>19</v>
      </c>
    </row>
    <row r="338" customFormat="false" ht="15" hidden="false" customHeight="false" outlineLevel="0" collapsed="false">
      <c r="A338" s="3" t="s">
        <v>368</v>
      </c>
      <c r="B338" s="3" t="n">
        <v>33</v>
      </c>
      <c r="C338" s="3" t="s">
        <v>32</v>
      </c>
      <c r="D338" s="3" t="s">
        <v>27</v>
      </c>
      <c r="E338" s="3" t="s">
        <v>41</v>
      </c>
      <c r="F338" s="3" t="n">
        <v>11.6</v>
      </c>
      <c r="G338" s="3" t="n">
        <v>7313.57</v>
      </c>
      <c r="H338" s="3" t="s">
        <v>19</v>
      </c>
      <c r="I338" s="3" t="n">
        <v>2</v>
      </c>
      <c r="J338" s="3" t="n">
        <v>3</v>
      </c>
      <c r="K338" s="3" t="n">
        <v>3</v>
      </c>
      <c r="L338" s="3" t="n">
        <v>4</v>
      </c>
      <c r="M338" s="3" t="n">
        <v>3</v>
      </c>
      <c r="N338" s="3" t="s">
        <v>19</v>
      </c>
    </row>
    <row r="339" customFormat="false" ht="15" hidden="false" customHeight="false" outlineLevel="0" collapsed="false">
      <c r="A339" s="3" t="s">
        <v>369</v>
      </c>
      <c r="B339" s="3" t="n">
        <v>35</v>
      </c>
      <c r="C339" s="3" t="s">
        <v>22</v>
      </c>
      <c r="D339" s="3" t="s">
        <v>17</v>
      </c>
      <c r="E339" s="3" t="s">
        <v>41</v>
      </c>
      <c r="F339" s="3" t="n">
        <v>3.4</v>
      </c>
      <c r="G339" s="3" t="n">
        <v>3421.96</v>
      </c>
      <c r="H339" s="3" t="s">
        <v>20</v>
      </c>
      <c r="I339" s="3" t="n">
        <v>4</v>
      </c>
      <c r="J339" s="3" t="n">
        <v>2</v>
      </c>
      <c r="K339" s="3" t="n">
        <v>5</v>
      </c>
      <c r="L339" s="3" t="n">
        <v>0</v>
      </c>
      <c r="M339" s="3" t="n">
        <v>6</v>
      </c>
      <c r="N339" s="3" t="s">
        <v>20</v>
      </c>
    </row>
    <row r="340" customFormat="false" ht="15" hidden="false" customHeight="false" outlineLevel="0" collapsed="false">
      <c r="A340" s="3" t="s">
        <v>370</v>
      </c>
      <c r="B340" s="3" t="n">
        <v>32</v>
      </c>
      <c r="C340" s="3" t="s">
        <v>16</v>
      </c>
      <c r="D340" s="3" t="s">
        <v>27</v>
      </c>
      <c r="E340" s="3" t="s">
        <v>18</v>
      </c>
      <c r="F340" s="3" t="n">
        <v>0.8</v>
      </c>
      <c r="G340" s="3" t="n">
        <v>6519.03</v>
      </c>
      <c r="H340" s="3" t="s">
        <v>19</v>
      </c>
      <c r="I340" s="3" t="n">
        <v>4</v>
      </c>
      <c r="J340" s="3" t="n">
        <v>4</v>
      </c>
      <c r="K340" s="3" t="n">
        <v>1</v>
      </c>
      <c r="L340" s="3" t="n">
        <v>0</v>
      </c>
      <c r="M340" s="3" t="n">
        <v>2</v>
      </c>
      <c r="N340" s="3" t="s">
        <v>19</v>
      </c>
    </row>
    <row r="341" customFormat="false" ht="15" hidden="false" customHeight="false" outlineLevel="0" collapsed="false">
      <c r="A341" s="3" t="s">
        <v>371</v>
      </c>
      <c r="B341" s="3" t="n">
        <v>21</v>
      </c>
      <c r="C341" s="3" t="s">
        <v>22</v>
      </c>
      <c r="D341" s="3" t="s">
        <v>17</v>
      </c>
      <c r="E341" s="3" t="s">
        <v>24</v>
      </c>
      <c r="F341" s="3" t="n">
        <v>0</v>
      </c>
      <c r="G341" s="3" t="n">
        <v>3292.6</v>
      </c>
      <c r="H341" s="3" t="s">
        <v>20</v>
      </c>
      <c r="I341" s="3" t="n">
        <v>4</v>
      </c>
      <c r="J341" s="3" t="n">
        <v>2</v>
      </c>
      <c r="K341" s="3" t="n">
        <v>2</v>
      </c>
      <c r="L341" s="3" t="n">
        <v>0</v>
      </c>
      <c r="M341" s="3" t="n">
        <v>2</v>
      </c>
      <c r="N341" s="3" t="s">
        <v>19</v>
      </c>
    </row>
    <row r="342" customFormat="false" ht="15" hidden="false" customHeight="false" outlineLevel="0" collapsed="false">
      <c r="A342" s="3" t="s">
        <v>372</v>
      </c>
      <c r="B342" s="3" t="n">
        <v>45</v>
      </c>
      <c r="C342" s="3" t="s">
        <v>32</v>
      </c>
      <c r="D342" s="3" t="s">
        <v>23</v>
      </c>
      <c r="E342" s="3" t="s">
        <v>18</v>
      </c>
      <c r="F342" s="3" t="n">
        <v>1.3</v>
      </c>
      <c r="G342" s="3" t="n">
        <v>4183.9</v>
      </c>
      <c r="H342" s="3" t="s">
        <v>20</v>
      </c>
      <c r="I342" s="3" t="n">
        <v>3</v>
      </c>
      <c r="J342" s="3" t="n">
        <v>3</v>
      </c>
      <c r="K342" s="3" t="n">
        <v>19</v>
      </c>
      <c r="L342" s="3" t="n">
        <v>0</v>
      </c>
      <c r="M342" s="3" t="n">
        <v>4</v>
      </c>
      <c r="N342" s="3" t="s">
        <v>19</v>
      </c>
    </row>
    <row r="343" customFormat="false" ht="15" hidden="false" customHeight="false" outlineLevel="0" collapsed="false">
      <c r="A343" s="3" t="s">
        <v>373</v>
      </c>
      <c r="B343" s="3" t="n">
        <v>31</v>
      </c>
      <c r="C343" s="3" t="s">
        <v>32</v>
      </c>
      <c r="D343" s="3" t="s">
        <v>27</v>
      </c>
      <c r="E343" s="3" t="s">
        <v>28</v>
      </c>
      <c r="F343" s="3" t="n">
        <v>4.2</v>
      </c>
      <c r="G343" s="3" t="n">
        <v>7246.69</v>
      </c>
      <c r="H343" s="3" t="s">
        <v>19</v>
      </c>
      <c r="I343" s="3" t="n">
        <v>3</v>
      </c>
      <c r="J343" s="3" t="n">
        <v>2</v>
      </c>
      <c r="K343" s="3" t="n">
        <v>13</v>
      </c>
      <c r="L343" s="3" t="n">
        <v>0</v>
      </c>
      <c r="M343" s="3" t="n">
        <v>5</v>
      </c>
      <c r="N343" s="3" t="s">
        <v>19</v>
      </c>
    </row>
    <row r="344" customFormat="false" ht="15" hidden="false" customHeight="false" outlineLevel="0" collapsed="false">
      <c r="A344" s="3" t="s">
        <v>374</v>
      </c>
      <c r="B344" s="3" t="n">
        <v>38</v>
      </c>
      <c r="C344" s="3" t="s">
        <v>22</v>
      </c>
      <c r="D344" s="3" t="s">
        <v>17</v>
      </c>
      <c r="E344" s="3" t="s">
        <v>18</v>
      </c>
      <c r="F344" s="3" t="n">
        <v>1.8</v>
      </c>
      <c r="G344" s="3" t="n">
        <v>3742.71</v>
      </c>
      <c r="H344" s="3" t="s">
        <v>19</v>
      </c>
      <c r="I344" s="3" t="n">
        <v>3</v>
      </c>
      <c r="J344" s="3" t="n">
        <v>3</v>
      </c>
      <c r="K344" s="3" t="n">
        <v>6</v>
      </c>
      <c r="L344" s="3" t="n">
        <v>0</v>
      </c>
      <c r="M344" s="3" t="n">
        <v>1</v>
      </c>
      <c r="N344" s="3" t="s">
        <v>19</v>
      </c>
    </row>
    <row r="345" customFormat="false" ht="15" hidden="false" customHeight="false" outlineLevel="0" collapsed="false">
      <c r="A345" s="3" t="s">
        <v>375</v>
      </c>
      <c r="B345" s="3" t="n">
        <v>42</v>
      </c>
      <c r="C345" s="3" t="s">
        <v>22</v>
      </c>
      <c r="D345" s="3" t="s">
        <v>48</v>
      </c>
      <c r="E345" s="3" t="s">
        <v>41</v>
      </c>
      <c r="F345" s="3" t="n">
        <v>1.8</v>
      </c>
      <c r="G345" s="3" t="n">
        <v>11083.67</v>
      </c>
      <c r="H345" s="3" t="s">
        <v>19</v>
      </c>
      <c r="I345" s="3" t="n">
        <v>3</v>
      </c>
      <c r="J345" s="3" t="n">
        <v>2</v>
      </c>
      <c r="K345" s="3" t="n">
        <v>1</v>
      </c>
      <c r="L345" s="3" t="n">
        <v>0</v>
      </c>
      <c r="M345" s="3" t="n">
        <v>3</v>
      </c>
      <c r="N345" s="3" t="s">
        <v>19</v>
      </c>
    </row>
    <row r="346" customFormat="false" ht="15" hidden="false" customHeight="false" outlineLevel="0" collapsed="false">
      <c r="A346" s="3" t="s">
        <v>376</v>
      </c>
      <c r="B346" s="3" t="n">
        <v>21</v>
      </c>
      <c r="C346" s="3" t="s">
        <v>16</v>
      </c>
      <c r="D346" s="3" t="s">
        <v>27</v>
      </c>
      <c r="E346" s="3" t="s">
        <v>28</v>
      </c>
      <c r="F346" s="3" t="n">
        <v>0</v>
      </c>
      <c r="G346" s="3" t="n">
        <v>8339.19</v>
      </c>
      <c r="H346" s="3" t="s">
        <v>19</v>
      </c>
      <c r="I346" s="3" t="n">
        <v>2</v>
      </c>
      <c r="J346" s="3" t="n">
        <v>3</v>
      </c>
      <c r="K346" s="3" t="n">
        <v>1</v>
      </c>
      <c r="L346" s="3" t="n">
        <v>0</v>
      </c>
      <c r="M346" s="3" t="n">
        <v>3</v>
      </c>
      <c r="N346" s="3" t="s">
        <v>20</v>
      </c>
    </row>
    <row r="347" customFormat="false" ht="15" hidden="false" customHeight="false" outlineLevel="0" collapsed="false">
      <c r="A347" s="3" t="s">
        <v>377</v>
      </c>
      <c r="B347" s="3" t="n">
        <v>25</v>
      </c>
      <c r="C347" s="3" t="s">
        <v>45</v>
      </c>
      <c r="D347" s="3" t="s">
        <v>27</v>
      </c>
      <c r="E347" s="3" t="s">
        <v>28</v>
      </c>
      <c r="F347" s="3" t="n">
        <v>1</v>
      </c>
      <c r="G347" s="3" t="n">
        <v>7045.46</v>
      </c>
      <c r="H347" s="3" t="s">
        <v>19</v>
      </c>
      <c r="I347" s="3" t="n">
        <v>3</v>
      </c>
      <c r="J347" s="3" t="n">
        <v>3</v>
      </c>
      <c r="K347" s="3" t="n">
        <v>2</v>
      </c>
      <c r="L347" s="3" t="n">
        <v>1</v>
      </c>
      <c r="M347" s="3" t="n">
        <v>2</v>
      </c>
      <c r="N347" s="3" t="s">
        <v>19</v>
      </c>
    </row>
    <row r="348" customFormat="false" ht="15" hidden="false" customHeight="false" outlineLevel="0" collapsed="false">
      <c r="A348" s="3" t="s">
        <v>378</v>
      </c>
      <c r="B348" s="3" t="n">
        <v>21</v>
      </c>
      <c r="C348" s="3" t="s">
        <v>22</v>
      </c>
      <c r="D348" s="3" t="s">
        <v>23</v>
      </c>
      <c r="E348" s="3" t="s">
        <v>24</v>
      </c>
      <c r="F348" s="3" t="n">
        <v>0</v>
      </c>
      <c r="G348" s="3" t="n">
        <v>5110.97</v>
      </c>
      <c r="H348" s="3" t="s">
        <v>19</v>
      </c>
      <c r="I348" s="3" t="n">
        <v>3</v>
      </c>
      <c r="J348" s="3" t="n">
        <v>3</v>
      </c>
      <c r="K348" s="3" t="n">
        <v>1</v>
      </c>
      <c r="L348" s="3" t="n">
        <v>0</v>
      </c>
      <c r="M348" s="3" t="n">
        <v>0</v>
      </c>
      <c r="N348" s="3" t="s">
        <v>19</v>
      </c>
    </row>
    <row r="349" customFormat="false" ht="15" hidden="false" customHeight="false" outlineLevel="0" collapsed="false">
      <c r="A349" s="3" t="s">
        <v>379</v>
      </c>
      <c r="B349" s="3" t="n">
        <v>42</v>
      </c>
      <c r="C349" s="3" t="s">
        <v>22</v>
      </c>
      <c r="D349" s="3" t="s">
        <v>27</v>
      </c>
      <c r="E349" s="3" t="s">
        <v>24</v>
      </c>
      <c r="F349" s="3" t="n">
        <v>1.6</v>
      </c>
      <c r="G349" s="3" t="n">
        <v>7840.63</v>
      </c>
      <c r="H349" s="3" t="s">
        <v>20</v>
      </c>
      <c r="I349" s="3" t="n">
        <v>4</v>
      </c>
      <c r="J349" s="3" t="n">
        <v>4</v>
      </c>
      <c r="K349" s="3" t="n">
        <v>16</v>
      </c>
      <c r="L349" s="3" t="n">
        <v>1</v>
      </c>
      <c r="M349" s="3" t="n">
        <v>1</v>
      </c>
      <c r="N349" s="3" t="s">
        <v>19</v>
      </c>
    </row>
    <row r="350" customFormat="false" ht="15" hidden="false" customHeight="false" outlineLevel="0" collapsed="false">
      <c r="A350" s="3" t="s">
        <v>380</v>
      </c>
      <c r="B350" s="3" t="n">
        <v>33</v>
      </c>
      <c r="C350" s="3" t="s">
        <v>24</v>
      </c>
      <c r="D350" s="3" t="s">
        <v>23</v>
      </c>
      <c r="E350" s="3" t="s">
        <v>24</v>
      </c>
      <c r="F350" s="3" t="n">
        <v>0.8</v>
      </c>
      <c r="G350" s="3" t="n">
        <v>5093.3</v>
      </c>
      <c r="H350" s="3" t="s">
        <v>20</v>
      </c>
      <c r="I350" s="3" t="n">
        <v>4</v>
      </c>
      <c r="J350" s="3" t="n">
        <v>4</v>
      </c>
      <c r="K350" s="3" t="n">
        <v>7</v>
      </c>
      <c r="L350" s="3" t="n">
        <v>0</v>
      </c>
      <c r="M350" s="3" t="n">
        <v>2</v>
      </c>
      <c r="N350" s="3" t="s">
        <v>19</v>
      </c>
    </row>
    <row r="351" customFormat="false" ht="15" hidden="false" customHeight="false" outlineLevel="0" collapsed="false">
      <c r="A351" s="3" t="s">
        <v>381</v>
      </c>
      <c r="B351" s="3" t="n">
        <v>36</v>
      </c>
      <c r="C351" s="3" t="s">
        <v>26</v>
      </c>
      <c r="D351" s="3" t="s">
        <v>27</v>
      </c>
      <c r="E351" s="3" t="s">
        <v>28</v>
      </c>
      <c r="F351" s="3" t="n">
        <v>7.7</v>
      </c>
      <c r="G351" s="3" t="n">
        <v>7391.39</v>
      </c>
      <c r="H351" s="3" t="s">
        <v>19</v>
      </c>
      <c r="I351" s="3" t="n">
        <v>2</v>
      </c>
      <c r="J351" s="3" t="n">
        <v>1</v>
      </c>
      <c r="K351" s="3" t="n">
        <v>22</v>
      </c>
      <c r="L351" s="3" t="n">
        <v>5</v>
      </c>
      <c r="M351" s="3" t="n">
        <v>2</v>
      </c>
      <c r="N351" s="3" t="s">
        <v>20</v>
      </c>
    </row>
    <row r="352" customFormat="false" ht="15" hidden="false" customHeight="false" outlineLevel="0" collapsed="false">
      <c r="A352" s="3" t="s">
        <v>382</v>
      </c>
      <c r="B352" s="3" t="n">
        <v>39</v>
      </c>
      <c r="C352" s="3" t="s">
        <v>26</v>
      </c>
      <c r="D352" s="3" t="s">
        <v>23</v>
      </c>
      <c r="E352" s="3" t="s">
        <v>28</v>
      </c>
      <c r="F352" s="3" t="n">
        <v>2.1</v>
      </c>
      <c r="G352" s="3" t="n">
        <v>4906.05</v>
      </c>
      <c r="H352" s="3" t="s">
        <v>20</v>
      </c>
      <c r="I352" s="3" t="n">
        <v>3</v>
      </c>
      <c r="J352" s="3" t="n">
        <v>1</v>
      </c>
      <c r="K352" s="3" t="n">
        <v>2</v>
      </c>
      <c r="L352" s="3" t="n">
        <v>0</v>
      </c>
      <c r="M352" s="3" t="n">
        <v>4</v>
      </c>
      <c r="N352" s="3" t="s">
        <v>20</v>
      </c>
    </row>
    <row r="353" customFormat="false" ht="15" hidden="false" customHeight="false" outlineLevel="0" collapsed="false">
      <c r="A353" s="3" t="s">
        <v>383</v>
      </c>
      <c r="B353" s="3" t="n">
        <v>24</v>
      </c>
      <c r="C353" s="3" t="s">
        <v>16</v>
      </c>
      <c r="D353" s="3" t="s">
        <v>17</v>
      </c>
      <c r="E353" s="3" t="s">
        <v>28</v>
      </c>
      <c r="F353" s="3" t="n">
        <v>2.5</v>
      </c>
      <c r="G353" s="3" t="n">
        <v>3256.4</v>
      </c>
      <c r="H353" s="3" t="s">
        <v>19</v>
      </c>
      <c r="I353" s="3" t="n">
        <v>4</v>
      </c>
      <c r="J353" s="3" t="n">
        <v>4</v>
      </c>
      <c r="K353" s="3" t="n">
        <v>10</v>
      </c>
      <c r="L353" s="3" t="n">
        <v>0</v>
      </c>
      <c r="M353" s="3" t="n">
        <v>2</v>
      </c>
      <c r="N353" s="3" t="s">
        <v>19</v>
      </c>
    </row>
    <row r="354" customFormat="false" ht="15" hidden="false" customHeight="false" outlineLevel="0" collapsed="false">
      <c r="A354" s="3" t="s">
        <v>384</v>
      </c>
      <c r="B354" s="3" t="n">
        <v>36</v>
      </c>
      <c r="C354" s="3" t="s">
        <v>16</v>
      </c>
      <c r="D354" s="3" t="s">
        <v>23</v>
      </c>
      <c r="E354" s="3" t="s">
        <v>24</v>
      </c>
      <c r="F354" s="3" t="n">
        <v>1.1</v>
      </c>
      <c r="G354" s="3" t="n">
        <v>5425.86</v>
      </c>
      <c r="H354" s="3" t="s">
        <v>19</v>
      </c>
      <c r="I354" s="3" t="n">
        <v>4</v>
      </c>
      <c r="J354" s="3" t="n">
        <v>3</v>
      </c>
      <c r="K354" s="3" t="n">
        <v>1</v>
      </c>
      <c r="L354" s="3" t="n">
        <v>1</v>
      </c>
      <c r="M354" s="3" t="n">
        <v>0</v>
      </c>
      <c r="N354" s="3" t="s">
        <v>19</v>
      </c>
    </row>
    <row r="355" customFormat="false" ht="15" hidden="false" customHeight="false" outlineLevel="0" collapsed="false">
      <c r="A355" s="3" t="s">
        <v>385</v>
      </c>
      <c r="B355" s="3" t="n">
        <v>44</v>
      </c>
      <c r="C355" s="3" t="s">
        <v>45</v>
      </c>
      <c r="D355" s="3" t="s">
        <v>27</v>
      </c>
      <c r="E355" s="3" t="s">
        <v>28</v>
      </c>
      <c r="F355" s="3" t="n">
        <v>2.8</v>
      </c>
      <c r="G355" s="3" t="n">
        <v>7860.21</v>
      </c>
      <c r="H355" s="3" t="s">
        <v>19</v>
      </c>
      <c r="I355" s="3" t="n">
        <v>1</v>
      </c>
      <c r="J355" s="3" t="n">
        <v>3</v>
      </c>
      <c r="K355" s="3" t="n">
        <v>12</v>
      </c>
      <c r="L355" s="3" t="n">
        <v>2</v>
      </c>
      <c r="M355" s="3" t="n">
        <v>1</v>
      </c>
      <c r="N355" s="3" t="s">
        <v>19</v>
      </c>
    </row>
    <row r="356" customFormat="false" ht="15" hidden="false" customHeight="false" outlineLevel="0" collapsed="false">
      <c r="A356" s="3" t="s">
        <v>386</v>
      </c>
      <c r="B356" s="3" t="n">
        <v>28</v>
      </c>
      <c r="C356" s="3" t="s">
        <v>32</v>
      </c>
      <c r="D356" s="3" t="s">
        <v>17</v>
      </c>
      <c r="E356" s="3" t="s">
        <v>18</v>
      </c>
      <c r="F356" s="3" t="n">
        <v>0.4</v>
      </c>
      <c r="G356" s="3" t="n">
        <v>3000.84</v>
      </c>
      <c r="H356" s="3" t="s">
        <v>19</v>
      </c>
      <c r="I356" s="3" t="n">
        <v>3</v>
      </c>
      <c r="J356" s="3" t="n">
        <v>2</v>
      </c>
      <c r="K356" s="3" t="n">
        <v>1</v>
      </c>
      <c r="L356" s="3" t="n">
        <v>0</v>
      </c>
      <c r="M356" s="3" t="n">
        <v>1</v>
      </c>
      <c r="N356" s="3" t="s">
        <v>19</v>
      </c>
    </row>
    <row r="357" customFormat="false" ht="15" hidden="false" customHeight="false" outlineLevel="0" collapsed="false">
      <c r="A357" s="3" t="s">
        <v>387</v>
      </c>
      <c r="B357" s="3" t="n">
        <v>41</v>
      </c>
      <c r="C357" s="3" t="s">
        <v>26</v>
      </c>
      <c r="D357" s="3" t="s">
        <v>23</v>
      </c>
      <c r="E357" s="3" t="s">
        <v>41</v>
      </c>
      <c r="F357" s="3" t="n">
        <v>0.6</v>
      </c>
      <c r="G357" s="3" t="n">
        <v>4744.15</v>
      </c>
      <c r="H357" s="3" t="s">
        <v>20</v>
      </c>
      <c r="I357" s="3" t="n">
        <v>4</v>
      </c>
      <c r="J357" s="3" t="n">
        <v>4</v>
      </c>
      <c r="K357" s="3" t="n">
        <v>2</v>
      </c>
      <c r="L357" s="3" t="n">
        <v>0</v>
      </c>
      <c r="M357" s="3" t="n">
        <v>1</v>
      </c>
      <c r="N357" s="3" t="s">
        <v>20</v>
      </c>
    </row>
    <row r="358" customFormat="false" ht="15" hidden="false" customHeight="false" outlineLevel="0" collapsed="false">
      <c r="A358" s="3" t="s">
        <v>388</v>
      </c>
      <c r="B358" s="3" t="n">
        <v>21</v>
      </c>
      <c r="C358" s="3" t="s">
        <v>26</v>
      </c>
      <c r="D358" s="3" t="s">
        <v>23</v>
      </c>
      <c r="E358" s="3" t="s">
        <v>18</v>
      </c>
      <c r="F358" s="3" t="n">
        <v>0</v>
      </c>
      <c r="G358" s="3" t="n">
        <v>5675.92</v>
      </c>
      <c r="H358" s="3" t="s">
        <v>20</v>
      </c>
      <c r="I358" s="3" t="n">
        <v>3</v>
      </c>
      <c r="J358" s="3" t="n">
        <v>4</v>
      </c>
      <c r="K358" s="3" t="n">
        <v>9</v>
      </c>
      <c r="L358" s="3" t="n">
        <v>0</v>
      </c>
      <c r="M358" s="3" t="n">
        <v>1</v>
      </c>
      <c r="N358" s="3" t="s">
        <v>20</v>
      </c>
    </row>
    <row r="359" customFormat="false" ht="15" hidden="false" customHeight="false" outlineLevel="0" collapsed="false">
      <c r="A359" s="3" t="s">
        <v>389</v>
      </c>
      <c r="B359" s="3" t="n">
        <v>21</v>
      </c>
      <c r="C359" s="3" t="s">
        <v>16</v>
      </c>
      <c r="D359" s="3" t="s">
        <v>23</v>
      </c>
      <c r="E359" s="3" t="s">
        <v>41</v>
      </c>
      <c r="F359" s="3" t="n">
        <v>0</v>
      </c>
      <c r="G359" s="3" t="n">
        <v>5123.3</v>
      </c>
      <c r="H359" s="3" t="s">
        <v>19</v>
      </c>
      <c r="I359" s="3" t="n">
        <v>1</v>
      </c>
      <c r="J359" s="3" t="n">
        <v>4</v>
      </c>
      <c r="K359" s="3" t="n">
        <v>9</v>
      </c>
      <c r="L359" s="3" t="n">
        <v>0</v>
      </c>
      <c r="M359" s="3" t="n">
        <v>3</v>
      </c>
      <c r="N359" s="3" t="s">
        <v>19</v>
      </c>
    </row>
    <row r="360" customFormat="false" ht="15" hidden="false" customHeight="false" outlineLevel="0" collapsed="false">
      <c r="A360" s="3" t="s">
        <v>390</v>
      </c>
      <c r="B360" s="3" t="n">
        <v>22</v>
      </c>
      <c r="C360" s="3" t="s">
        <v>45</v>
      </c>
      <c r="D360" s="3" t="s">
        <v>23</v>
      </c>
      <c r="E360" s="3" t="s">
        <v>41</v>
      </c>
      <c r="F360" s="3" t="n">
        <v>1</v>
      </c>
      <c r="G360" s="3" t="n">
        <v>5053.91</v>
      </c>
      <c r="H360" s="3" t="s">
        <v>20</v>
      </c>
      <c r="I360" s="3" t="n">
        <v>3</v>
      </c>
      <c r="J360" s="3" t="n">
        <v>4</v>
      </c>
      <c r="K360" s="3" t="n">
        <v>4</v>
      </c>
      <c r="L360" s="3" t="n">
        <v>1</v>
      </c>
      <c r="M360" s="3" t="n">
        <v>0</v>
      </c>
      <c r="N360" s="3" t="s">
        <v>20</v>
      </c>
    </row>
    <row r="361" customFormat="false" ht="15" hidden="false" customHeight="false" outlineLevel="0" collapsed="false">
      <c r="A361" s="3" t="s">
        <v>391</v>
      </c>
      <c r="B361" s="3" t="n">
        <v>44</v>
      </c>
      <c r="C361" s="3" t="s">
        <v>24</v>
      </c>
      <c r="D361" s="3" t="s">
        <v>23</v>
      </c>
      <c r="E361" s="3" t="s">
        <v>24</v>
      </c>
      <c r="F361" s="3" t="n">
        <v>0.9</v>
      </c>
      <c r="G361" s="3" t="n">
        <v>5676.67</v>
      </c>
      <c r="H361" s="3" t="s">
        <v>20</v>
      </c>
      <c r="I361" s="3" t="n">
        <v>2</v>
      </c>
      <c r="J361" s="3" t="n">
        <v>3</v>
      </c>
      <c r="K361" s="3" t="n">
        <v>17</v>
      </c>
      <c r="L361" s="3" t="n">
        <v>0</v>
      </c>
      <c r="M361" s="3" t="n">
        <v>1</v>
      </c>
      <c r="N361" s="3" t="s">
        <v>19</v>
      </c>
    </row>
    <row r="362" customFormat="false" ht="15" hidden="false" customHeight="false" outlineLevel="0" collapsed="false">
      <c r="A362" s="3" t="s">
        <v>392</v>
      </c>
      <c r="B362" s="3" t="n">
        <v>31</v>
      </c>
      <c r="C362" s="3" t="s">
        <v>16</v>
      </c>
      <c r="D362" s="3" t="s">
        <v>17</v>
      </c>
      <c r="E362" s="3" t="s">
        <v>28</v>
      </c>
      <c r="F362" s="3" t="n">
        <v>0</v>
      </c>
      <c r="G362" s="3" t="n">
        <v>3754.65</v>
      </c>
      <c r="H362" s="3" t="s">
        <v>19</v>
      </c>
      <c r="I362" s="3" t="n">
        <v>4</v>
      </c>
      <c r="J362" s="3" t="n">
        <v>2</v>
      </c>
      <c r="K362" s="3" t="n">
        <v>10</v>
      </c>
      <c r="L362" s="3" t="n">
        <v>0</v>
      </c>
      <c r="M362" s="3" t="n">
        <v>1</v>
      </c>
      <c r="N362" s="3" t="s">
        <v>19</v>
      </c>
    </row>
    <row r="363" customFormat="false" ht="15" hidden="false" customHeight="false" outlineLevel="0" collapsed="false">
      <c r="A363" s="3" t="s">
        <v>393</v>
      </c>
      <c r="B363" s="3" t="n">
        <v>39</v>
      </c>
      <c r="C363" s="3" t="s">
        <v>22</v>
      </c>
      <c r="D363" s="3" t="s">
        <v>27</v>
      </c>
      <c r="E363" s="3" t="s">
        <v>18</v>
      </c>
      <c r="F363" s="3" t="n">
        <v>6.5</v>
      </c>
      <c r="G363" s="3" t="n">
        <v>8001.75</v>
      </c>
      <c r="H363" s="3" t="s">
        <v>19</v>
      </c>
      <c r="I363" s="3" t="n">
        <v>3</v>
      </c>
      <c r="J363" s="3" t="n">
        <v>2</v>
      </c>
      <c r="K363" s="3" t="n">
        <v>1</v>
      </c>
      <c r="L363" s="3" t="n">
        <v>0</v>
      </c>
      <c r="M363" s="3" t="n">
        <v>2</v>
      </c>
      <c r="N363" s="3" t="s">
        <v>19</v>
      </c>
    </row>
    <row r="364" customFormat="false" ht="15" hidden="false" customHeight="false" outlineLevel="0" collapsed="false">
      <c r="A364" s="3" t="s">
        <v>394</v>
      </c>
      <c r="B364" s="3" t="n">
        <v>23</v>
      </c>
      <c r="C364" s="3" t="s">
        <v>16</v>
      </c>
      <c r="D364" s="3" t="s">
        <v>23</v>
      </c>
      <c r="E364" s="3" t="s">
        <v>24</v>
      </c>
      <c r="F364" s="3" t="n">
        <v>0.3</v>
      </c>
      <c r="G364" s="3" t="n">
        <v>4902.49</v>
      </c>
      <c r="H364" s="3" t="s">
        <v>19</v>
      </c>
      <c r="I364" s="3" t="n">
        <v>2</v>
      </c>
      <c r="J364" s="3" t="n">
        <v>3</v>
      </c>
      <c r="K364" s="3" t="n">
        <v>12</v>
      </c>
      <c r="L364" s="3" t="n">
        <v>0</v>
      </c>
      <c r="M364" s="3" t="n">
        <v>3</v>
      </c>
      <c r="N364" s="3" t="s">
        <v>19</v>
      </c>
    </row>
    <row r="365" customFormat="false" ht="15" hidden="false" customHeight="false" outlineLevel="0" collapsed="false">
      <c r="A365" s="3" t="s">
        <v>395</v>
      </c>
      <c r="B365" s="3" t="n">
        <v>32</v>
      </c>
      <c r="C365" s="3" t="s">
        <v>26</v>
      </c>
      <c r="D365" s="3" t="s">
        <v>48</v>
      </c>
      <c r="E365" s="3" t="s">
        <v>24</v>
      </c>
      <c r="F365" s="3" t="n">
        <v>0.3</v>
      </c>
      <c r="G365" s="3" t="n">
        <v>8606.61</v>
      </c>
      <c r="H365" s="3" t="s">
        <v>20</v>
      </c>
      <c r="I365" s="3" t="n">
        <v>2</v>
      </c>
      <c r="J365" s="3" t="n">
        <v>4</v>
      </c>
      <c r="K365" s="3" t="n">
        <v>1</v>
      </c>
      <c r="L365" s="3" t="n">
        <v>0</v>
      </c>
      <c r="M365" s="3" t="n">
        <v>2</v>
      </c>
      <c r="N365" s="3" t="s">
        <v>19</v>
      </c>
    </row>
    <row r="366" customFormat="false" ht="15" hidden="false" customHeight="false" outlineLevel="0" collapsed="false">
      <c r="A366" s="3" t="s">
        <v>396</v>
      </c>
      <c r="B366" s="3" t="n">
        <v>23</v>
      </c>
      <c r="C366" s="3" t="s">
        <v>45</v>
      </c>
      <c r="D366" s="3" t="s">
        <v>27</v>
      </c>
      <c r="E366" s="3" t="s">
        <v>28</v>
      </c>
      <c r="F366" s="3" t="n">
        <v>2</v>
      </c>
      <c r="G366" s="3" t="n">
        <v>7362.84</v>
      </c>
      <c r="H366" s="3" t="s">
        <v>19</v>
      </c>
      <c r="I366" s="3" t="n">
        <v>2</v>
      </c>
      <c r="J366" s="3" t="n">
        <v>4</v>
      </c>
      <c r="K366" s="3" t="n">
        <v>12</v>
      </c>
      <c r="L366" s="3" t="n">
        <v>1</v>
      </c>
      <c r="M366" s="3" t="n">
        <v>2</v>
      </c>
      <c r="N366" s="3" t="s">
        <v>20</v>
      </c>
    </row>
    <row r="367" customFormat="false" ht="15" hidden="false" customHeight="false" outlineLevel="0" collapsed="false">
      <c r="A367" s="3" t="s">
        <v>397</v>
      </c>
      <c r="B367" s="3" t="n">
        <v>42</v>
      </c>
      <c r="C367" s="3" t="s">
        <v>22</v>
      </c>
      <c r="D367" s="3" t="s">
        <v>23</v>
      </c>
      <c r="E367" s="3" t="s">
        <v>41</v>
      </c>
      <c r="F367" s="3" t="n">
        <v>3.1</v>
      </c>
      <c r="G367" s="3" t="n">
        <v>5210.36</v>
      </c>
      <c r="H367" s="3" t="s">
        <v>19</v>
      </c>
      <c r="I367" s="3" t="n">
        <v>3</v>
      </c>
      <c r="J367" s="3" t="n">
        <v>3</v>
      </c>
      <c r="K367" s="3" t="n">
        <v>6</v>
      </c>
      <c r="L367" s="3" t="n">
        <v>1</v>
      </c>
      <c r="M367" s="3" t="n">
        <v>5</v>
      </c>
      <c r="N367" s="3" t="s">
        <v>19</v>
      </c>
    </row>
    <row r="368" customFormat="false" ht="15" hidden="false" customHeight="false" outlineLevel="0" collapsed="false">
      <c r="A368" s="3" t="s">
        <v>398</v>
      </c>
      <c r="B368" s="3" t="n">
        <v>42</v>
      </c>
      <c r="C368" s="3" t="s">
        <v>16</v>
      </c>
      <c r="D368" s="3" t="s">
        <v>23</v>
      </c>
      <c r="E368" s="3" t="s">
        <v>18</v>
      </c>
      <c r="F368" s="3" t="n">
        <v>0.7</v>
      </c>
      <c r="G368" s="3" t="n">
        <v>5419.54</v>
      </c>
      <c r="H368" s="3" t="s">
        <v>19</v>
      </c>
      <c r="I368" s="3" t="n">
        <v>4</v>
      </c>
      <c r="J368" s="3" t="n">
        <v>3</v>
      </c>
      <c r="K368" s="3" t="n">
        <v>2</v>
      </c>
      <c r="L368" s="3" t="n">
        <v>0</v>
      </c>
      <c r="M368" s="3" t="n">
        <v>3</v>
      </c>
      <c r="N368" s="3" t="s">
        <v>19</v>
      </c>
    </row>
    <row r="369" customFormat="false" ht="15" hidden="false" customHeight="false" outlineLevel="0" collapsed="false">
      <c r="A369" s="3" t="s">
        <v>399</v>
      </c>
      <c r="B369" s="3" t="n">
        <v>29</v>
      </c>
      <c r="C369" s="3" t="s">
        <v>22</v>
      </c>
      <c r="D369" s="3" t="s">
        <v>17</v>
      </c>
      <c r="E369" s="3" t="s">
        <v>18</v>
      </c>
      <c r="F369" s="3" t="n">
        <v>1.5</v>
      </c>
      <c r="G369" s="3" t="n">
        <v>2916.42</v>
      </c>
      <c r="H369" s="3" t="s">
        <v>19</v>
      </c>
      <c r="I369" s="3" t="n">
        <v>3</v>
      </c>
      <c r="J369" s="3" t="n">
        <v>4</v>
      </c>
      <c r="K369" s="3" t="n">
        <v>5</v>
      </c>
      <c r="L369" s="3" t="n">
        <v>1</v>
      </c>
      <c r="M369" s="3" t="n">
        <v>2</v>
      </c>
      <c r="N369" s="3" t="s">
        <v>19</v>
      </c>
    </row>
    <row r="370" customFormat="false" ht="15" hidden="false" customHeight="false" outlineLevel="0" collapsed="false">
      <c r="A370" s="3" t="s">
        <v>400</v>
      </c>
      <c r="B370" s="3" t="n">
        <v>41</v>
      </c>
      <c r="C370" s="3" t="s">
        <v>22</v>
      </c>
      <c r="D370" s="3" t="s">
        <v>17</v>
      </c>
      <c r="E370" s="3" t="s">
        <v>24</v>
      </c>
      <c r="F370" s="3" t="n">
        <v>2.8</v>
      </c>
      <c r="G370" s="3" t="n">
        <v>3064.08</v>
      </c>
      <c r="H370" s="3" t="s">
        <v>19</v>
      </c>
      <c r="I370" s="3" t="n">
        <v>4</v>
      </c>
      <c r="J370" s="3" t="n">
        <v>1</v>
      </c>
      <c r="K370" s="3" t="n">
        <v>2</v>
      </c>
      <c r="L370" s="3" t="n">
        <v>2</v>
      </c>
      <c r="M370" s="3" t="n">
        <v>3</v>
      </c>
      <c r="N370" s="3" t="s">
        <v>20</v>
      </c>
    </row>
    <row r="371" customFormat="false" ht="15" hidden="false" customHeight="false" outlineLevel="0" collapsed="false">
      <c r="A371" s="3" t="s">
        <v>401</v>
      </c>
      <c r="B371" s="3" t="n">
        <v>30</v>
      </c>
      <c r="C371" s="3" t="s">
        <v>16</v>
      </c>
      <c r="D371" s="3" t="s">
        <v>23</v>
      </c>
      <c r="E371" s="3" t="s">
        <v>28</v>
      </c>
      <c r="F371" s="3" t="n">
        <v>1.7</v>
      </c>
      <c r="G371" s="3" t="n">
        <v>4186.85</v>
      </c>
      <c r="H371" s="3" t="s">
        <v>19</v>
      </c>
      <c r="I371" s="3" t="n">
        <v>4</v>
      </c>
      <c r="J371" s="3" t="n">
        <v>3</v>
      </c>
      <c r="K371" s="3" t="n">
        <v>6</v>
      </c>
      <c r="L371" s="3" t="n">
        <v>0</v>
      </c>
      <c r="M371" s="3" t="n">
        <v>1</v>
      </c>
      <c r="N371" s="3" t="s">
        <v>19</v>
      </c>
    </row>
    <row r="372" customFormat="false" ht="15" hidden="false" customHeight="false" outlineLevel="0" collapsed="false">
      <c r="A372" s="3" t="s">
        <v>402</v>
      </c>
      <c r="B372" s="3" t="n">
        <v>31</v>
      </c>
      <c r="C372" s="3" t="s">
        <v>16</v>
      </c>
      <c r="D372" s="3" t="s">
        <v>17</v>
      </c>
      <c r="E372" s="3" t="s">
        <v>28</v>
      </c>
      <c r="F372" s="3" t="n">
        <v>0.4</v>
      </c>
      <c r="G372" s="3" t="n">
        <v>3648.88</v>
      </c>
      <c r="H372" s="3" t="s">
        <v>19</v>
      </c>
      <c r="I372" s="3" t="n">
        <v>4</v>
      </c>
      <c r="J372" s="3" t="n">
        <v>3</v>
      </c>
      <c r="K372" s="3" t="n">
        <v>2</v>
      </c>
      <c r="L372" s="3" t="n">
        <v>0</v>
      </c>
      <c r="M372" s="3" t="n">
        <v>1</v>
      </c>
      <c r="N372" s="3" t="s">
        <v>19</v>
      </c>
    </row>
    <row r="373" customFormat="false" ht="15" hidden="false" customHeight="false" outlineLevel="0" collapsed="false">
      <c r="A373" s="3" t="s">
        <v>403</v>
      </c>
      <c r="B373" s="3" t="n">
        <v>40</v>
      </c>
      <c r="C373" s="3" t="s">
        <v>22</v>
      </c>
      <c r="D373" s="3" t="s">
        <v>23</v>
      </c>
      <c r="E373" s="3" t="s">
        <v>41</v>
      </c>
      <c r="F373" s="3" t="n">
        <v>2.5</v>
      </c>
      <c r="G373" s="3" t="n">
        <v>5390.58</v>
      </c>
      <c r="H373" s="3" t="s">
        <v>20</v>
      </c>
      <c r="I373" s="3" t="n">
        <v>2</v>
      </c>
      <c r="J373" s="3" t="n">
        <v>1</v>
      </c>
      <c r="K373" s="3" t="n">
        <v>33</v>
      </c>
      <c r="L373" s="3" t="n">
        <v>0</v>
      </c>
      <c r="M373" s="3" t="n">
        <v>1</v>
      </c>
      <c r="N373" s="3" t="s">
        <v>20</v>
      </c>
    </row>
    <row r="374" customFormat="false" ht="15" hidden="false" customHeight="false" outlineLevel="0" collapsed="false">
      <c r="A374" s="3" t="s">
        <v>404</v>
      </c>
      <c r="B374" s="3" t="n">
        <v>37</v>
      </c>
      <c r="C374" s="3" t="s">
        <v>22</v>
      </c>
      <c r="D374" s="3" t="s">
        <v>17</v>
      </c>
      <c r="E374" s="3" t="s">
        <v>28</v>
      </c>
      <c r="F374" s="3" t="n">
        <v>3.4</v>
      </c>
      <c r="G374" s="3" t="n">
        <v>2961.36</v>
      </c>
      <c r="H374" s="3" t="s">
        <v>19</v>
      </c>
      <c r="I374" s="3" t="n">
        <v>4</v>
      </c>
      <c r="J374" s="3" t="n">
        <v>2</v>
      </c>
      <c r="K374" s="3" t="n">
        <v>4</v>
      </c>
      <c r="L374" s="3" t="n">
        <v>0</v>
      </c>
      <c r="M374" s="3" t="n">
        <v>4</v>
      </c>
      <c r="N374" s="3" t="s">
        <v>19</v>
      </c>
    </row>
    <row r="375" customFormat="false" ht="15" hidden="false" customHeight="false" outlineLevel="0" collapsed="false">
      <c r="A375" s="3" t="s">
        <v>405</v>
      </c>
      <c r="B375" s="3" t="n">
        <v>52</v>
      </c>
      <c r="C375" s="3" t="s">
        <v>45</v>
      </c>
      <c r="D375" s="3" t="s">
        <v>23</v>
      </c>
      <c r="E375" s="3" t="s">
        <v>18</v>
      </c>
      <c r="F375" s="3" t="n">
        <v>0.1</v>
      </c>
      <c r="G375" s="3" t="n">
        <v>5196.28</v>
      </c>
      <c r="H375" s="3" t="s">
        <v>19</v>
      </c>
      <c r="I375" s="3" t="n">
        <v>4</v>
      </c>
      <c r="J375" s="3" t="n">
        <v>3</v>
      </c>
      <c r="K375" s="3" t="n">
        <v>1</v>
      </c>
      <c r="L375" s="3" t="n">
        <v>0</v>
      </c>
      <c r="M375" s="3" t="n">
        <v>1</v>
      </c>
      <c r="N375" s="3" t="s">
        <v>19</v>
      </c>
    </row>
    <row r="376" customFormat="false" ht="15" hidden="false" customHeight="false" outlineLevel="0" collapsed="false">
      <c r="A376" s="3" t="s">
        <v>406</v>
      </c>
      <c r="B376" s="3" t="n">
        <v>48</v>
      </c>
      <c r="C376" s="3" t="s">
        <v>26</v>
      </c>
      <c r="D376" s="3" t="s">
        <v>27</v>
      </c>
      <c r="E376" s="3" t="s">
        <v>24</v>
      </c>
      <c r="F376" s="3" t="n">
        <v>3.6</v>
      </c>
      <c r="G376" s="3" t="n">
        <v>7693.1</v>
      </c>
      <c r="H376" s="3" t="s">
        <v>19</v>
      </c>
      <c r="I376" s="3" t="n">
        <v>4</v>
      </c>
      <c r="J376" s="3" t="n">
        <v>1</v>
      </c>
      <c r="K376" s="3" t="n">
        <v>27</v>
      </c>
      <c r="L376" s="3" t="n">
        <v>3</v>
      </c>
      <c r="M376" s="3" t="n">
        <v>3</v>
      </c>
      <c r="N376" s="3" t="s">
        <v>19</v>
      </c>
    </row>
    <row r="377" customFormat="false" ht="15" hidden="false" customHeight="false" outlineLevel="0" collapsed="false">
      <c r="A377" s="3" t="s">
        <v>407</v>
      </c>
      <c r="B377" s="3" t="n">
        <v>32</v>
      </c>
      <c r="C377" s="3" t="s">
        <v>16</v>
      </c>
      <c r="D377" s="3" t="s">
        <v>17</v>
      </c>
      <c r="E377" s="3" t="s">
        <v>18</v>
      </c>
      <c r="F377" s="3" t="n">
        <v>0.5</v>
      </c>
      <c r="G377" s="3" t="n">
        <v>3008.42</v>
      </c>
      <c r="H377" s="3" t="s">
        <v>19</v>
      </c>
      <c r="I377" s="3" t="n">
        <v>3</v>
      </c>
      <c r="J377" s="3" t="n">
        <v>2</v>
      </c>
      <c r="K377" s="3" t="n">
        <v>1</v>
      </c>
      <c r="L377" s="3" t="n">
        <v>0</v>
      </c>
      <c r="M377" s="3" t="n">
        <v>0</v>
      </c>
      <c r="N377" s="3" t="s">
        <v>19</v>
      </c>
    </row>
    <row r="378" customFormat="false" ht="15" hidden="false" customHeight="false" outlineLevel="0" collapsed="false">
      <c r="A378" s="3" t="s">
        <v>408</v>
      </c>
      <c r="B378" s="3" t="n">
        <v>31</v>
      </c>
      <c r="C378" s="3" t="s">
        <v>22</v>
      </c>
      <c r="D378" s="3" t="s">
        <v>27</v>
      </c>
      <c r="E378" s="3" t="s">
        <v>24</v>
      </c>
      <c r="F378" s="3" t="n">
        <v>2.2</v>
      </c>
      <c r="G378" s="3" t="n">
        <v>8511.25</v>
      </c>
      <c r="H378" s="3" t="s">
        <v>20</v>
      </c>
      <c r="I378" s="3" t="n">
        <v>2</v>
      </c>
      <c r="J378" s="3" t="n">
        <v>3</v>
      </c>
      <c r="K378" s="3" t="n">
        <v>3</v>
      </c>
      <c r="L378" s="3" t="n">
        <v>2</v>
      </c>
      <c r="M378" s="3" t="n">
        <v>0</v>
      </c>
      <c r="N378" s="3" t="s">
        <v>20</v>
      </c>
    </row>
    <row r="379" customFormat="false" ht="15" hidden="false" customHeight="false" outlineLevel="0" collapsed="false">
      <c r="A379" s="3" t="s">
        <v>409</v>
      </c>
      <c r="B379" s="3" t="n">
        <v>41</v>
      </c>
      <c r="C379" s="3" t="s">
        <v>26</v>
      </c>
      <c r="D379" s="3" t="s">
        <v>23</v>
      </c>
      <c r="E379" s="3" t="s">
        <v>41</v>
      </c>
      <c r="F379" s="3" t="n">
        <v>4.6</v>
      </c>
      <c r="G379" s="3" t="n">
        <v>4084.53</v>
      </c>
      <c r="H379" s="3" t="s">
        <v>20</v>
      </c>
      <c r="I379" s="3" t="n">
        <v>3</v>
      </c>
      <c r="J379" s="3" t="n">
        <v>1</v>
      </c>
      <c r="K379" s="3" t="n">
        <v>3</v>
      </c>
      <c r="L379" s="3" t="n">
        <v>0</v>
      </c>
      <c r="M379" s="3" t="n">
        <v>3</v>
      </c>
      <c r="N379" s="3" t="s">
        <v>20</v>
      </c>
    </row>
    <row r="380" customFormat="false" ht="15" hidden="false" customHeight="false" outlineLevel="0" collapsed="false">
      <c r="A380" s="3" t="s">
        <v>410</v>
      </c>
      <c r="B380" s="3" t="n">
        <v>38</v>
      </c>
      <c r="C380" s="3" t="s">
        <v>22</v>
      </c>
      <c r="D380" s="3" t="s">
        <v>27</v>
      </c>
      <c r="E380" s="3" t="s">
        <v>18</v>
      </c>
      <c r="F380" s="3" t="n">
        <v>1.2</v>
      </c>
      <c r="G380" s="3" t="n">
        <v>6266.98</v>
      </c>
      <c r="H380" s="3" t="s">
        <v>20</v>
      </c>
      <c r="I380" s="3" t="n">
        <v>4</v>
      </c>
      <c r="J380" s="3" t="n">
        <v>2</v>
      </c>
      <c r="K380" s="3" t="n">
        <v>1</v>
      </c>
      <c r="L380" s="3" t="n">
        <v>0</v>
      </c>
      <c r="M380" s="3" t="n">
        <v>2</v>
      </c>
      <c r="N380" s="3" t="s">
        <v>19</v>
      </c>
    </row>
    <row r="381" customFormat="false" ht="15" hidden="false" customHeight="false" outlineLevel="0" collapsed="false">
      <c r="A381" s="3" t="s">
        <v>411</v>
      </c>
      <c r="B381" s="3" t="n">
        <v>36</v>
      </c>
      <c r="C381" s="3" t="s">
        <v>22</v>
      </c>
      <c r="D381" s="3" t="s">
        <v>17</v>
      </c>
      <c r="E381" s="3" t="s">
        <v>28</v>
      </c>
      <c r="F381" s="3" t="n">
        <v>7.9</v>
      </c>
      <c r="G381" s="3" t="n">
        <v>3274.48</v>
      </c>
      <c r="H381" s="3" t="s">
        <v>19</v>
      </c>
      <c r="I381" s="3" t="n">
        <v>4</v>
      </c>
      <c r="J381" s="3" t="n">
        <v>3</v>
      </c>
      <c r="K381" s="3" t="n">
        <v>4</v>
      </c>
      <c r="L381" s="3" t="n">
        <v>3</v>
      </c>
      <c r="M381" s="3" t="n">
        <v>1</v>
      </c>
      <c r="N381" s="3" t="s">
        <v>19</v>
      </c>
    </row>
    <row r="382" customFormat="false" ht="15" hidden="false" customHeight="false" outlineLevel="0" collapsed="false">
      <c r="A382" s="3" t="s">
        <v>412</v>
      </c>
      <c r="B382" s="3" t="n">
        <v>31</v>
      </c>
      <c r="C382" s="3" t="s">
        <v>22</v>
      </c>
      <c r="D382" s="3" t="s">
        <v>17</v>
      </c>
      <c r="E382" s="3" t="s">
        <v>18</v>
      </c>
      <c r="F382" s="3" t="n">
        <v>0.5</v>
      </c>
      <c r="G382" s="3" t="n">
        <v>3777.79</v>
      </c>
      <c r="H382" s="3" t="s">
        <v>20</v>
      </c>
      <c r="I382" s="3" t="n">
        <v>3</v>
      </c>
      <c r="J382" s="3" t="n">
        <v>3</v>
      </c>
      <c r="K382" s="3" t="n">
        <v>1</v>
      </c>
      <c r="L382" s="3" t="n">
        <v>0</v>
      </c>
      <c r="M382" s="3" t="n">
        <v>2</v>
      </c>
      <c r="N382" s="3" t="s">
        <v>19</v>
      </c>
    </row>
    <row r="383" customFormat="false" ht="15" hidden="false" customHeight="false" outlineLevel="0" collapsed="false">
      <c r="A383" s="3" t="s">
        <v>413</v>
      </c>
      <c r="B383" s="3" t="n">
        <v>32</v>
      </c>
      <c r="C383" s="3" t="s">
        <v>22</v>
      </c>
      <c r="D383" s="3" t="s">
        <v>23</v>
      </c>
      <c r="E383" s="3" t="s">
        <v>28</v>
      </c>
      <c r="F383" s="3" t="n">
        <v>4.8</v>
      </c>
      <c r="G383" s="3" t="n">
        <v>4607.82</v>
      </c>
      <c r="H383" s="3" t="s">
        <v>20</v>
      </c>
      <c r="I383" s="3" t="n">
        <v>1</v>
      </c>
      <c r="J383" s="3" t="n">
        <v>2</v>
      </c>
      <c r="K383" s="3" t="n">
        <v>8</v>
      </c>
      <c r="L383" s="3" t="n">
        <v>4</v>
      </c>
      <c r="M383" s="3" t="n">
        <v>1</v>
      </c>
      <c r="N383" s="3" t="s">
        <v>19</v>
      </c>
    </row>
    <row r="384" customFormat="false" ht="15" hidden="false" customHeight="false" outlineLevel="0" collapsed="false">
      <c r="A384" s="3" t="s">
        <v>414</v>
      </c>
      <c r="B384" s="3" t="n">
        <v>32</v>
      </c>
      <c r="C384" s="3" t="s">
        <v>22</v>
      </c>
      <c r="D384" s="3" t="s">
        <v>17</v>
      </c>
      <c r="E384" s="3" t="s">
        <v>41</v>
      </c>
      <c r="F384" s="3" t="n">
        <v>0.5</v>
      </c>
      <c r="G384" s="3" t="n">
        <v>3478.26</v>
      </c>
      <c r="H384" s="3" t="s">
        <v>19</v>
      </c>
      <c r="I384" s="3" t="n">
        <v>3</v>
      </c>
      <c r="J384" s="3" t="n">
        <v>3</v>
      </c>
      <c r="K384" s="3" t="n">
        <v>1</v>
      </c>
      <c r="L384" s="3" t="n">
        <v>0</v>
      </c>
      <c r="M384" s="3" t="n">
        <v>3</v>
      </c>
      <c r="N384" s="3" t="s">
        <v>19</v>
      </c>
    </row>
    <row r="385" customFormat="false" ht="15" hidden="false" customHeight="false" outlineLevel="0" collapsed="false">
      <c r="A385" s="3" t="s">
        <v>415</v>
      </c>
      <c r="B385" s="3" t="n">
        <v>39</v>
      </c>
      <c r="C385" s="3" t="s">
        <v>32</v>
      </c>
      <c r="D385" s="3" t="s">
        <v>17</v>
      </c>
      <c r="E385" s="3" t="s">
        <v>24</v>
      </c>
      <c r="F385" s="3" t="n">
        <v>7.5</v>
      </c>
      <c r="G385" s="3" t="n">
        <v>3538.27</v>
      </c>
      <c r="H385" s="3" t="s">
        <v>19</v>
      </c>
      <c r="I385" s="3" t="n">
        <v>2</v>
      </c>
      <c r="J385" s="3" t="n">
        <v>3</v>
      </c>
      <c r="K385" s="3" t="n">
        <v>18</v>
      </c>
      <c r="L385" s="3" t="n">
        <v>2</v>
      </c>
      <c r="M385" s="3" t="n">
        <v>3</v>
      </c>
      <c r="N385" s="3" t="s">
        <v>19</v>
      </c>
    </row>
    <row r="386" customFormat="false" ht="15" hidden="false" customHeight="false" outlineLevel="0" collapsed="false">
      <c r="A386" s="3" t="s">
        <v>416</v>
      </c>
      <c r="B386" s="3" t="n">
        <v>30</v>
      </c>
      <c r="C386" s="3" t="s">
        <v>22</v>
      </c>
      <c r="D386" s="3" t="s">
        <v>23</v>
      </c>
      <c r="E386" s="3" t="s">
        <v>41</v>
      </c>
      <c r="F386" s="3" t="n">
        <v>6.1</v>
      </c>
      <c r="G386" s="3" t="n">
        <v>4466.55</v>
      </c>
      <c r="H386" s="3" t="s">
        <v>19</v>
      </c>
      <c r="I386" s="3" t="n">
        <v>1</v>
      </c>
      <c r="J386" s="3" t="n">
        <v>1</v>
      </c>
      <c r="K386" s="3" t="n">
        <v>4</v>
      </c>
      <c r="L386" s="3" t="n">
        <v>1</v>
      </c>
      <c r="M386" s="3" t="n">
        <v>1</v>
      </c>
      <c r="N386" s="3" t="s">
        <v>19</v>
      </c>
    </row>
    <row r="387" customFormat="false" ht="15" hidden="false" customHeight="false" outlineLevel="0" collapsed="false">
      <c r="A387" s="3" t="s">
        <v>417</v>
      </c>
      <c r="B387" s="3" t="n">
        <v>31</v>
      </c>
      <c r="C387" s="3" t="s">
        <v>45</v>
      </c>
      <c r="D387" s="3" t="s">
        <v>17</v>
      </c>
      <c r="E387" s="3" t="s">
        <v>41</v>
      </c>
      <c r="F387" s="3" t="n">
        <v>0.6</v>
      </c>
      <c r="G387" s="3" t="n">
        <v>2991.76</v>
      </c>
      <c r="H387" s="3" t="s">
        <v>19</v>
      </c>
      <c r="I387" s="3" t="n">
        <v>2</v>
      </c>
      <c r="J387" s="3" t="n">
        <v>4</v>
      </c>
      <c r="K387" s="3" t="n">
        <v>13</v>
      </c>
      <c r="L387" s="3" t="n">
        <v>0</v>
      </c>
      <c r="M387" s="3" t="n">
        <v>2</v>
      </c>
      <c r="N387" s="3" t="s">
        <v>20</v>
      </c>
    </row>
    <row r="388" customFormat="false" ht="15" hidden="false" customHeight="false" outlineLevel="0" collapsed="false">
      <c r="A388" s="3" t="s">
        <v>418</v>
      </c>
      <c r="B388" s="3" t="n">
        <v>40</v>
      </c>
      <c r="C388" s="3" t="s">
        <v>45</v>
      </c>
      <c r="D388" s="3" t="s">
        <v>23</v>
      </c>
      <c r="E388" s="3" t="s">
        <v>41</v>
      </c>
      <c r="F388" s="3" t="n">
        <v>2.3</v>
      </c>
      <c r="G388" s="3" t="n">
        <v>4298.29</v>
      </c>
      <c r="H388" s="3" t="s">
        <v>19</v>
      </c>
      <c r="I388" s="3" t="n">
        <v>3</v>
      </c>
      <c r="J388" s="3" t="n">
        <v>3</v>
      </c>
      <c r="K388" s="3" t="n">
        <v>13</v>
      </c>
      <c r="L388" s="3" t="n">
        <v>0</v>
      </c>
      <c r="M388" s="3" t="n">
        <v>1</v>
      </c>
      <c r="N388" s="3" t="s">
        <v>19</v>
      </c>
    </row>
    <row r="389" customFormat="false" ht="15" hidden="false" customHeight="false" outlineLevel="0" collapsed="false">
      <c r="A389" s="3" t="s">
        <v>419</v>
      </c>
      <c r="B389" s="3" t="n">
        <v>43</v>
      </c>
      <c r="C389" s="3" t="s">
        <v>22</v>
      </c>
      <c r="D389" s="3" t="s">
        <v>48</v>
      </c>
      <c r="E389" s="3" t="s">
        <v>24</v>
      </c>
      <c r="F389" s="3" t="n">
        <v>5</v>
      </c>
      <c r="G389" s="3" t="n">
        <v>10150.48</v>
      </c>
      <c r="H389" s="3" t="s">
        <v>20</v>
      </c>
      <c r="I389" s="3" t="n">
        <v>2</v>
      </c>
      <c r="J389" s="3" t="n">
        <v>3</v>
      </c>
      <c r="K389" s="3" t="n">
        <v>15</v>
      </c>
      <c r="L389" s="3" t="n">
        <v>1</v>
      </c>
      <c r="M389" s="3" t="n">
        <v>0</v>
      </c>
      <c r="N389" s="3" t="s">
        <v>19</v>
      </c>
    </row>
    <row r="390" customFormat="false" ht="15" hidden="false" customHeight="false" outlineLevel="0" collapsed="false">
      <c r="A390" s="3" t="s">
        <v>420</v>
      </c>
      <c r="B390" s="3" t="n">
        <v>36</v>
      </c>
      <c r="C390" s="3" t="s">
        <v>22</v>
      </c>
      <c r="D390" s="3" t="s">
        <v>17</v>
      </c>
      <c r="E390" s="3" t="s">
        <v>24</v>
      </c>
      <c r="F390" s="3" t="n">
        <v>0.1</v>
      </c>
      <c r="G390" s="3" t="n">
        <v>3223.33</v>
      </c>
      <c r="H390" s="3" t="s">
        <v>20</v>
      </c>
      <c r="I390" s="3" t="n">
        <v>1</v>
      </c>
      <c r="J390" s="3" t="n">
        <v>3</v>
      </c>
      <c r="K390" s="3" t="n">
        <v>5</v>
      </c>
      <c r="L390" s="3" t="n">
        <v>0</v>
      </c>
      <c r="M390" s="3" t="n">
        <v>1</v>
      </c>
      <c r="N390" s="3" t="s">
        <v>19</v>
      </c>
    </row>
    <row r="391" customFormat="false" ht="15" hidden="false" customHeight="false" outlineLevel="0" collapsed="false">
      <c r="A391" s="3" t="s">
        <v>421</v>
      </c>
      <c r="B391" s="3" t="n">
        <v>40</v>
      </c>
      <c r="C391" s="3" t="s">
        <v>24</v>
      </c>
      <c r="D391" s="3" t="s">
        <v>48</v>
      </c>
      <c r="E391" s="3" t="s">
        <v>24</v>
      </c>
      <c r="F391" s="3" t="n">
        <v>0.3</v>
      </c>
      <c r="G391" s="3" t="n">
        <v>9834.88</v>
      </c>
      <c r="H391" s="3" t="s">
        <v>19</v>
      </c>
      <c r="I391" s="3" t="n">
        <v>2</v>
      </c>
      <c r="J391" s="3" t="n">
        <v>1</v>
      </c>
      <c r="K391" s="3" t="n">
        <v>5</v>
      </c>
      <c r="L391" s="3" t="n">
        <v>0</v>
      </c>
      <c r="M391" s="3" t="n">
        <v>1</v>
      </c>
      <c r="N391" s="3" t="s">
        <v>19</v>
      </c>
    </row>
    <row r="392" customFormat="false" ht="15" hidden="false" customHeight="false" outlineLevel="0" collapsed="false">
      <c r="A392" s="3" t="s">
        <v>422</v>
      </c>
      <c r="B392" s="3" t="n">
        <v>33</v>
      </c>
      <c r="C392" s="3" t="s">
        <v>45</v>
      </c>
      <c r="D392" s="3" t="s">
        <v>17</v>
      </c>
      <c r="E392" s="3" t="s">
        <v>41</v>
      </c>
      <c r="F392" s="3" t="n">
        <v>4.4</v>
      </c>
      <c r="G392" s="3" t="n">
        <v>3665.84</v>
      </c>
      <c r="H392" s="3" t="s">
        <v>19</v>
      </c>
      <c r="I392" s="3" t="n">
        <v>3</v>
      </c>
      <c r="J392" s="3" t="n">
        <v>2</v>
      </c>
      <c r="K392" s="3" t="n">
        <v>5</v>
      </c>
      <c r="L392" s="3" t="n">
        <v>0</v>
      </c>
      <c r="M392" s="3" t="n">
        <v>4</v>
      </c>
      <c r="N392" s="3" t="s">
        <v>19</v>
      </c>
    </row>
    <row r="393" customFormat="false" ht="15" hidden="false" customHeight="false" outlineLevel="0" collapsed="false">
      <c r="A393" s="3" t="s">
        <v>423</v>
      </c>
      <c r="B393" s="3" t="n">
        <v>31</v>
      </c>
      <c r="C393" s="3" t="s">
        <v>45</v>
      </c>
      <c r="D393" s="3" t="s">
        <v>27</v>
      </c>
      <c r="E393" s="3" t="s">
        <v>24</v>
      </c>
      <c r="F393" s="3" t="n">
        <v>2.3</v>
      </c>
      <c r="G393" s="3" t="n">
        <v>6807.87</v>
      </c>
      <c r="H393" s="3" t="s">
        <v>19</v>
      </c>
      <c r="I393" s="3" t="n">
        <v>3</v>
      </c>
      <c r="J393" s="3" t="n">
        <v>1</v>
      </c>
      <c r="K393" s="3" t="n">
        <v>2</v>
      </c>
      <c r="L393" s="3" t="n">
        <v>2</v>
      </c>
      <c r="M393" s="3" t="n">
        <v>3</v>
      </c>
      <c r="N393" s="3" t="s">
        <v>19</v>
      </c>
    </row>
    <row r="394" customFormat="false" ht="15" hidden="false" customHeight="false" outlineLevel="0" collapsed="false">
      <c r="A394" s="3" t="s">
        <v>424</v>
      </c>
      <c r="B394" s="3" t="n">
        <v>23</v>
      </c>
      <c r="C394" s="3" t="s">
        <v>16</v>
      </c>
      <c r="D394" s="3" t="s">
        <v>48</v>
      </c>
      <c r="E394" s="3" t="s">
        <v>28</v>
      </c>
      <c r="F394" s="3" t="n">
        <v>0.7</v>
      </c>
      <c r="G394" s="3" t="n">
        <v>8373.35</v>
      </c>
      <c r="H394" s="3" t="s">
        <v>20</v>
      </c>
      <c r="I394" s="3" t="n">
        <v>2</v>
      </c>
      <c r="J394" s="3" t="n">
        <v>2</v>
      </c>
      <c r="K394" s="3" t="n">
        <v>25</v>
      </c>
      <c r="L394" s="3" t="n">
        <v>0</v>
      </c>
      <c r="M394" s="3" t="n">
        <v>1</v>
      </c>
      <c r="N394" s="3" t="s">
        <v>20</v>
      </c>
    </row>
    <row r="395" customFormat="false" ht="15" hidden="false" customHeight="false" outlineLevel="0" collapsed="false">
      <c r="A395" s="3" t="s">
        <v>425</v>
      </c>
      <c r="B395" s="3" t="n">
        <v>27</v>
      </c>
      <c r="C395" s="3" t="s">
        <v>22</v>
      </c>
      <c r="D395" s="3" t="s">
        <v>23</v>
      </c>
      <c r="E395" s="3" t="s">
        <v>28</v>
      </c>
      <c r="F395" s="3" t="n">
        <v>0.1</v>
      </c>
      <c r="G395" s="3" t="n">
        <v>4538.91</v>
      </c>
      <c r="H395" s="3" t="s">
        <v>20</v>
      </c>
      <c r="I395" s="3" t="n">
        <v>3</v>
      </c>
      <c r="J395" s="3" t="n">
        <v>1</v>
      </c>
      <c r="K395" s="3" t="n">
        <v>5</v>
      </c>
      <c r="L395" s="3" t="n">
        <v>0</v>
      </c>
      <c r="M395" s="3" t="n">
        <v>4</v>
      </c>
      <c r="N395" s="3" t="s">
        <v>19</v>
      </c>
    </row>
    <row r="396" customFormat="false" ht="15" hidden="false" customHeight="false" outlineLevel="0" collapsed="false">
      <c r="A396" s="3" t="s">
        <v>426</v>
      </c>
      <c r="B396" s="3" t="n">
        <v>44</v>
      </c>
      <c r="C396" s="3" t="s">
        <v>16</v>
      </c>
      <c r="D396" s="3" t="s">
        <v>17</v>
      </c>
      <c r="E396" s="3" t="s">
        <v>28</v>
      </c>
      <c r="F396" s="3" t="n">
        <v>4.8</v>
      </c>
      <c r="G396" s="3" t="n">
        <v>2897.19</v>
      </c>
      <c r="H396" s="3" t="s">
        <v>19</v>
      </c>
      <c r="I396" s="3" t="n">
        <v>3</v>
      </c>
      <c r="J396" s="3" t="n">
        <v>1</v>
      </c>
      <c r="K396" s="3" t="n">
        <v>2</v>
      </c>
      <c r="L396" s="3" t="n">
        <v>0</v>
      </c>
      <c r="M396" s="3" t="n">
        <v>2</v>
      </c>
      <c r="N396" s="3" t="s">
        <v>19</v>
      </c>
    </row>
    <row r="397" customFormat="false" ht="15" hidden="false" customHeight="false" outlineLevel="0" collapsed="false">
      <c r="A397" s="3" t="s">
        <v>427</v>
      </c>
      <c r="B397" s="3" t="n">
        <v>35</v>
      </c>
      <c r="C397" s="3" t="s">
        <v>24</v>
      </c>
      <c r="D397" s="3" t="s">
        <v>27</v>
      </c>
      <c r="E397" s="3" t="s">
        <v>24</v>
      </c>
      <c r="F397" s="3" t="n">
        <v>0.5</v>
      </c>
      <c r="G397" s="3" t="n">
        <v>7993.24</v>
      </c>
      <c r="H397" s="3" t="s">
        <v>19</v>
      </c>
      <c r="I397" s="3" t="n">
        <v>2</v>
      </c>
      <c r="J397" s="3" t="n">
        <v>3</v>
      </c>
      <c r="K397" s="3" t="n">
        <v>9</v>
      </c>
      <c r="L397" s="3" t="n">
        <v>0</v>
      </c>
      <c r="M397" s="3" t="n">
        <v>3</v>
      </c>
      <c r="N397" s="3" t="s">
        <v>20</v>
      </c>
    </row>
    <row r="398" customFormat="false" ht="15" hidden="false" customHeight="false" outlineLevel="0" collapsed="false">
      <c r="A398" s="3" t="s">
        <v>428</v>
      </c>
      <c r="B398" s="3" t="n">
        <v>43</v>
      </c>
      <c r="C398" s="3" t="s">
        <v>22</v>
      </c>
      <c r="D398" s="3" t="s">
        <v>23</v>
      </c>
      <c r="E398" s="3" t="s">
        <v>28</v>
      </c>
      <c r="F398" s="3" t="n">
        <v>5.4</v>
      </c>
      <c r="G398" s="3" t="n">
        <v>4326.82</v>
      </c>
      <c r="H398" s="3" t="s">
        <v>19</v>
      </c>
      <c r="I398" s="3" t="n">
        <v>2</v>
      </c>
      <c r="J398" s="3" t="n">
        <v>4</v>
      </c>
      <c r="K398" s="3" t="n">
        <v>19</v>
      </c>
      <c r="L398" s="3" t="n">
        <v>0</v>
      </c>
      <c r="M398" s="3" t="n">
        <v>0</v>
      </c>
      <c r="N398" s="3" t="s">
        <v>19</v>
      </c>
    </row>
    <row r="399" customFormat="false" ht="15" hidden="false" customHeight="false" outlineLevel="0" collapsed="false">
      <c r="A399" s="3" t="s">
        <v>429</v>
      </c>
      <c r="B399" s="3" t="n">
        <v>23</v>
      </c>
      <c r="C399" s="3" t="s">
        <v>16</v>
      </c>
      <c r="D399" s="3" t="s">
        <v>27</v>
      </c>
      <c r="E399" s="3" t="s">
        <v>41</v>
      </c>
      <c r="F399" s="3" t="n">
        <v>1.7</v>
      </c>
      <c r="G399" s="3" t="n">
        <v>7030.07</v>
      </c>
      <c r="H399" s="3" t="s">
        <v>19</v>
      </c>
      <c r="I399" s="3" t="n">
        <v>4</v>
      </c>
      <c r="J399" s="3" t="n">
        <v>2</v>
      </c>
      <c r="K399" s="3" t="n">
        <v>2</v>
      </c>
      <c r="L399" s="3" t="n">
        <v>1</v>
      </c>
      <c r="M399" s="3" t="n">
        <v>3</v>
      </c>
      <c r="N399" s="3" t="s">
        <v>20</v>
      </c>
    </row>
    <row r="400" customFormat="false" ht="15" hidden="false" customHeight="false" outlineLevel="0" collapsed="false">
      <c r="A400" s="3" t="s">
        <v>430</v>
      </c>
      <c r="B400" s="3" t="n">
        <v>29</v>
      </c>
      <c r="C400" s="3" t="s">
        <v>26</v>
      </c>
      <c r="D400" s="3" t="s">
        <v>23</v>
      </c>
      <c r="E400" s="3" t="s">
        <v>18</v>
      </c>
      <c r="F400" s="3" t="n">
        <v>0.5</v>
      </c>
      <c r="G400" s="3" t="n">
        <v>4311.97</v>
      </c>
      <c r="H400" s="3" t="s">
        <v>20</v>
      </c>
      <c r="I400" s="3" t="n">
        <v>4</v>
      </c>
      <c r="J400" s="3" t="n">
        <v>4</v>
      </c>
      <c r="K400" s="3" t="n">
        <v>1</v>
      </c>
      <c r="L400" s="3" t="n">
        <v>0</v>
      </c>
      <c r="M400" s="3" t="n">
        <v>5</v>
      </c>
      <c r="N400" s="3" t="s">
        <v>19</v>
      </c>
    </row>
    <row r="401" customFormat="false" ht="15" hidden="false" customHeight="false" outlineLevel="0" collapsed="false">
      <c r="A401" s="3" t="s">
        <v>431</v>
      </c>
      <c r="B401" s="3" t="n">
        <v>32</v>
      </c>
      <c r="C401" s="3" t="s">
        <v>32</v>
      </c>
      <c r="D401" s="3" t="s">
        <v>23</v>
      </c>
      <c r="E401" s="3" t="s">
        <v>28</v>
      </c>
      <c r="F401" s="3" t="n">
        <v>0.4</v>
      </c>
      <c r="G401" s="3" t="n">
        <v>5728.46</v>
      </c>
      <c r="H401" s="3" t="s">
        <v>19</v>
      </c>
      <c r="I401" s="3" t="n">
        <v>3</v>
      </c>
      <c r="J401" s="3" t="n">
        <v>4</v>
      </c>
      <c r="K401" s="3" t="n">
        <v>6</v>
      </c>
      <c r="L401" s="3" t="n">
        <v>0</v>
      </c>
      <c r="M401" s="3" t="n">
        <v>3</v>
      </c>
      <c r="N401" s="3" t="s">
        <v>19</v>
      </c>
    </row>
    <row r="402" customFormat="false" ht="15" hidden="false" customHeight="false" outlineLevel="0" collapsed="false">
      <c r="A402" s="3" t="s">
        <v>432</v>
      </c>
      <c r="B402" s="3" t="n">
        <v>27</v>
      </c>
      <c r="C402" s="3" t="s">
        <v>26</v>
      </c>
      <c r="D402" s="3" t="s">
        <v>17</v>
      </c>
      <c r="E402" s="3" t="s">
        <v>28</v>
      </c>
      <c r="F402" s="3" t="n">
        <v>1.6</v>
      </c>
      <c r="G402" s="3" t="n">
        <v>3742.67</v>
      </c>
      <c r="H402" s="3" t="s">
        <v>20</v>
      </c>
      <c r="I402" s="3" t="n">
        <v>4</v>
      </c>
      <c r="J402" s="3" t="n">
        <v>1</v>
      </c>
      <c r="K402" s="3" t="n">
        <v>1</v>
      </c>
      <c r="L402" s="3" t="n">
        <v>0</v>
      </c>
      <c r="M402" s="3" t="n">
        <v>2</v>
      </c>
      <c r="N402" s="3" t="s">
        <v>19</v>
      </c>
    </row>
    <row r="403" customFormat="false" ht="15" hidden="false" customHeight="false" outlineLevel="0" collapsed="false">
      <c r="A403" s="3" t="s">
        <v>433</v>
      </c>
      <c r="B403" s="3" t="n">
        <v>32</v>
      </c>
      <c r="C403" s="3" t="s">
        <v>16</v>
      </c>
      <c r="D403" s="3" t="s">
        <v>23</v>
      </c>
      <c r="E403" s="3" t="s">
        <v>28</v>
      </c>
      <c r="F403" s="3" t="n">
        <v>2.5</v>
      </c>
      <c r="G403" s="3" t="n">
        <v>4353.42</v>
      </c>
      <c r="H403" s="3" t="s">
        <v>19</v>
      </c>
      <c r="I403" s="3" t="n">
        <v>2</v>
      </c>
      <c r="J403" s="3" t="n">
        <v>3</v>
      </c>
      <c r="K403" s="3" t="n">
        <v>5</v>
      </c>
      <c r="L403" s="3" t="n">
        <v>2</v>
      </c>
      <c r="M403" s="3" t="n">
        <v>1</v>
      </c>
      <c r="N403" s="3" t="s">
        <v>19</v>
      </c>
    </row>
    <row r="404" customFormat="false" ht="15" hidden="false" customHeight="false" outlineLevel="0" collapsed="false">
      <c r="A404" s="3" t="s">
        <v>434</v>
      </c>
      <c r="B404" s="3" t="n">
        <v>36</v>
      </c>
      <c r="C404" s="3" t="s">
        <v>22</v>
      </c>
      <c r="D404" s="3" t="s">
        <v>17</v>
      </c>
      <c r="E404" s="3" t="s">
        <v>18</v>
      </c>
      <c r="F404" s="3" t="n">
        <v>0.9</v>
      </c>
      <c r="G404" s="3" t="n">
        <v>3727.85</v>
      </c>
      <c r="H404" s="3" t="s">
        <v>20</v>
      </c>
      <c r="I404" s="3" t="n">
        <v>2</v>
      </c>
      <c r="J404" s="3" t="n">
        <v>4</v>
      </c>
      <c r="K404" s="3" t="n">
        <v>10</v>
      </c>
      <c r="L404" s="3" t="n">
        <v>0</v>
      </c>
      <c r="M404" s="3" t="n">
        <v>3</v>
      </c>
      <c r="N404" s="3" t="s">
        <v>19</v>
      </c>
    </row>
    <row r="405" customFormat="false" ht="15" hidden="false" customHeight="false" outlineLevel="0" collapsed="false">
      <c r="A405" s="3" t="s">
        <v>435</v>
      </c>
      <c r="B405" s="3" t="n">
        <v>36</v>
      </c>
      <c r="C405" s="3" t="s">
        <v>26</v>
      </c>
      <c r="D405" s="3" t="s">
        <v>17</v>
      </c>
      <c r="E405" s="3" t="s">
        <v>28</v>
      </c>
      <c r="F405" s="3" t="n">
        <v>6.5</v>
      </c>
      <c r="G405" s="3" t="n">
        <v>3291.31</v>
      </c>
      <c r="H405" s="3" t="s">
        <v>20</v>
      </c>
      <c r="I405" s="3" t="n">
        <v>4</v>
      </c>
      <c r="J405" s="3" t="n">
        <v>4</v>
      </c>
      <c r="K405" s="3" t="n">
        <v>2</v>
      </c>
      <c r="L405" s="3" t="n">
        <v>6</v>
      </c>
      <c r="M405" s="3" t="n">
        <v>0</v>
      </c>
      <c r="N405" s="3" t="s">
        <v>19</v>
      </c>
    </row>
    <row r="406" customFormat="false" ht="15" hidden="false" customHeight="false" outlineLevel="0" collapsed="false">
      <c r="A406" s="3" t="s">
        <v>436</v>
      </c>
      <c r="B406" s="3" t="n">
        <v>39</v>
      </c>
      <c r="C406" s="3" t="s">
        <v>45</v>
      </c>
      <c r="D406" s="3" t="s">
        <v>17</v>
      </c>
      <c r="E406" s="3" t="s">
        <v>28</v>
      </c>
      <c r="F406" s="3" t="n">
        <v>2.6</v>
      </c>
      <c r="G406" s="3" t="n">
        <v>2973.5</v>
      </c>
      <c r="H406" s="3" t="s">
        <v>19</v>
      </c>
      <c r="I406" s="3" t="n">
        <v>4</v>
      </c>
      <c r="J406" s="3" t="n">
        <v>2</v>
      </c>
      <c r="K406" s="3" t="n">
        <v>5</v>
      </c>
      <c r="L406" s="3" t="n">
        <v>2</v>
      </c>
      <c r="M406" s="3" t="n">
        <v>5</v>
      </c>
      <c r="N406" s="3" t="s">
        <v>19</v>
      </c>
    </row>
    <row r="407" customFormat="false" ht="15" hidden="false" customHeight="false" outlineLevel="0" collapsed="false">
      <c r="A407" s="3" t="s">
        <v>437</v>
      </c>
      <c r="B407" s="3" t="n">
        <v>37</v>
      </c>
      <c r="C407" s="3" t="s">
        <v>45</v>
      </c>
      <c r="D407" s="3" t="s">
        <v>23</v>
      </c>
      <c r="E407" s="3" t="s">
        <v>18</v>
      </c>
      <c r="F407" s="3" t="n">
        <v>0.9</v>
      </c>
      <c r="G407" s="3" t="n">
        <v>4857.21</v>
      </c>
      <c r="H407" s="3" t="s">
        <v>20</v>
      </c>
      <c r="I407" s="3" t="n">
        <v>2</v>
      </c>
      <c r="J407" s="3" t="n">
        <v>4</v>
      </c>
      <c r="K407" s="3" t="n">
        <v>4</v>
      </c>
      <c r="L407" s="3" t="n">
        <v>0</v>
      </c>
      <c r="M407" s="3" t="n">
        <v>1</v>
      </c>
      <c r="N407" s="3" t="s">
        <v>19</v>
      </c>
    </row>
    <row r="408" customFormat="false" ht="15" hidden="false" customHeight="false" outlineLevel="0" collapsed="false">
      <c r="A408" s="3" t="s">
        <v>438</v>
      </c>
      <c r="B408" s="3" t="n">
        <v>43</v>
      </c>
      <c r="C408" s="3" t="s">
        <v>45</v>
      </c>
      <c r="D408" s="3" t="s">
        <v>17</v>
      </c>
      <c r="E408" s="3" t="s">
        <v>24</v>
      </c>
      <c r="F408" s="3" t="n">
        <v>4.8</v>
      </c>
      <c r="G408" s="3" t="n">
        <v>3830.53</v>
      </c>
      <c r="H408" s="3" t="s">
        <v>20</v>
      </c>
      <c r="I408" s="3" t="n">
        <v>4</v>
      </c>
      <c r="J408" s="3" t="n">
        <v>2</v>
      </c>
      <c r="K408" s="3" t="n">
        <v>2</v>
      </c>
      <c r="L408" s="3" t="n">
        <v>0</v>
      </c>
      <c r="M408" s="3" t="n">
        <v>1</v>
      </c>
      <c r="N408" s="3" t="s">
        <v>19</v>
      </c>
    </row>
    <row r="409" customFormat="false" ht="15" hidden="false" customHeight="false" outlineLevel="0" collapsed="false">
      <c r="A409" s="3" t="s">
        <v>439</v>
      </c>
      <c r="B409" s="3" t="n">
        <v>37</v>
      </c>
      <c r="C409" s="3" t="s">
        <v>22</v>
      </c>
      <c r="D409" s="3" t="s">
        <v>48</v>
      </c>
      <c r="E409" s="3" t="s">
        <v>18</v>
      </c>
      <c r="F409" s="3" t="n">
        <v>0.6</v>
      </c>
      <c r="G409" s="3" t="n">
        <v>10621.03</v>
      </c>
      <c r="H409" s="3" t="s">
        <v>20</v>
      </c>
      <c r="I409" s="3" t="n">
        <v>1</v>
      </c>
      <c r="J409" s="3" t="n">
        <v>4</v>
      </c>
      <c r="K409" s="3" t="n">
        <v>2</v>
      </c>
      <c r="L409" s="3" t="n">
        <v>0</v>
      </c>
      <c r="M409" s="3" t="n">
        <v>1</v>
      </c>
      <c r="N409" s="3" t="s">
        <v>19</v>
      </c>
    </row>
    <row r="410" customFormat="false" ht="15" hidden="false" customHeight="false" outlineLevel="0" collapsed="false">
      <c r="A410" s="3" t="s">
        <v>440</v>
      </c>
      <c r="B410" s="3" t="n">
        <v>21</v>
      </c>
      <c r="C410" s="3" t="s">
        <v>24</v>
      </c>
      <c r="D410" s="3" t="s">
        <v>27</v>
      </c>
      <c r="E410" s="3" t="s">
        <v>41</v>
      </c>
      <c r="F410" s="3" t="n">
        <v>0</v>
      </c>
      <c r="G410" s="3" t="n">
        <v>8539.59</v>
      </c>
      <c r="H410" s="3" t="s">
        <v>20</v>
      </c>
      <c r="I410" s="3" t="n">
        <v>3</v>
      </c>
      <c r="J410" s="3" t="n">
        <v>2</v>
      </c>
      <c r="K410" s="3" t="n">
        <v>1</v>
      </c>
      <c r="L410" s="3" t="n">
        <v>0</v>
      </c>
      <c r="M410" s="3" t="n">
        <v>1</v>
      </c>
      <c r="N410" s="3" t="s">
        <v>19</v>
      </c>
    </row>
    <row r="411" customFormat="false" ht="15" hidden="false" customHeight="false" outlineLevel="0" collapsed="false">
      <c r="A411" s="3" t="s">
        <v>441</v>
      </c>
      <c r="B411" s="3" t="n">
        <v>43</v>
      </c>
      <c r="C411" s="3" t="s">
        <v>22</v>
      </c>
      <c r="D411" s="3" t="s">
        <v>17</v>
      </c>
      <c r="E411" s="3" t="s">
        <v>18</v>
      </c>
      <c r="F411" s="3" t="n">
        <v>0.5</v>
      </c>
      <c r="G411" s="3" t="n">
        <v>3458.69</v>
      </c>
      <c r="H411" s="3" t="s">
        <v>20</v>
      </c>
      <c r="I411" s="3" t="n">
        <v>4</v>
      </c>
      <c r="J411" s="3" t="n">
        <v>3</v>
      </c>
      <c r="K411" s="3" t="n">
        <v>13</v>
      </c>
      <c r="L411" s="3" t="n">
        <v>0</v>
      </c>
      <c r="M411" s="3" t="n">
        <v>0</v>
      </c>
      <c r="N411" s="3" t="s">
        <v>19</v>
      </c>
    </row>
    <row r="412" customFormat="false" ht="15" hidden="false" customHeight="false" outlineLevel="0" collapsed="false">
      <c r="A412" s="3" t="s">
        <v>442</v>
      </c>
      <c r="B412" s="3" t="n">
        <v>29</v>
      </c>
      <c r="C412" s="3" t="s">
        <v>22</v>
      </c>
      <c r="D412" s="3" t="s">
        <v>48</v>
      </c>
      <c r="E412" s="3" t="s">
        <v>18</v>
      </c>
      <c r="F412" s="3" t="n">
        <v>2.6</v>
      </c>
      <c r="G412" s="3" t="n">
        <v>10130.04</v>
      </c>
      <c r="H412" s="3" t="s">
        <v>19</v>
      </c>
      <c r="I412" s="3" t="n">
        <v>2</v>
      </c>
      <c r="J412" s="3" t="n">
        <v>3</v>
      </c>
      <c r="K412" s="3" t="n">
        <v>9</v>
      </c>
      <c r="L412" s="3" t="n">
        <v>0</v>
      </c>
      <c r="M412" s="3" t="n">
        <v>0</v>
      </c>
      <c r="N412" s="3" t="s">
        <v>19</v>
      </c>
    </row>
    <row r="413" customFormat="false" ht="15" hidden="false" customHeight="false" outlineLevel="0" collapsed="false">
      <c r="A413" s="3" t="s">
        <v>443</v>
      </c>
      <c r="B413" s="3" t="n">
        <v>21</v>
      </c>
      <c r="C413" s="3" t="s">
        <v>32</v>
      </c>
      <c r="D413" s="3" t="s">
        <v>23</v>
      </c>
      <c r="E413" s="3" t="s">
        <v>24</v>
      </c>
      <c r="F413" s="3" t="n">
        <v>0</v>
      </c>
      <c r="G413" s="3" t="n">
        <v>5126.82</v>
      </c>
      <c r="H413" s="3" t="s">
        <v>19</v>
      </c>
      <c r="I413" s="3" t="n">
        <v>3</v>
      </c>
      <c r="J413" s="3" t="n">
        <v>4</v>
      </c>
      <c r="K413" s="3" t="n">
        <v>27</v>
      </c>
      <c r="L413" s="3" t="n">
        <v>0</v>
      </c>
      <c r="M413" s="3" t="n">
        <v>4</v>
      </c>
      <c r="N413" s="3" t="s">
        <v>19</v>
      </c>
    </row>
    <row r="414" customFormat="false" ht="15" hidden="false" customHeight="false" outlineLevel="0" collapsed="false">
      <c r="A414" s="3" t="s">
        <v>444</v>
      </c>
      <c r="B414" s="3" t="n">
        <v>45</v>
      </c>
      <c r="C414" s="3" t="s">
        <v>26</v>
      </c>
      <c r="D414" s="3" t="s">
        <v>17</v>
      </c>
      <c r="E414" s="3" t="s">
        <v>28</v>
      </c>
      <c r="F414" s="3" t="n">
        <v>1</v>
      </c>
      <c r="G414" s="3" t="n">
        <v>3749.95</v>
      </c>
      <c r="H414" s="3" t="s">
        <v>19</v>
      </c>
      <c r="I414" s="3" t="n">
        <v>4</v>
      </c>
      <c r="J414" s="3" t="n">
        <v>4</v>
      </c>
      <c r="K414" s="3" t="n">
        <v>5</v>
      </c>
      <c r="L414" s="3" t="n">
        <v>1</v>
      </c>
      <c r="M414" s="3" t="n">
        <v>0</v>
      </c>
      <c r="N414" s="3" t="s">
        <v>20</v>
      </c>
    </row>
    <row r="415" customFormat="false" ht="15" hidden="false" customHeight="false" outlineLevel="0" collapsed="false">
      <c r="A415" s="3" t="s">
        <v>445</v>
      </c>
      <c r="B415" s="3" t="n">
        <v>30</v>
      </c>
      <c r="C415" s="3" t="s">
        <v>16</v>
      </c>
      <c r="D415" s="3" t="s">
        <v>17</v>
      </c>
      <c r="E415" s="3" t="s">
        <v>24</v>
      </c>
      <c r="F415" s="3" t="n">
        <v>4.7</v>
      </c>
      <c r="G415" s="3" t="n">
        <v>3397.81</v>
      </c>
      <c r="H415" s="3" t="s">
        <v>19</v>
      </c>
      <c r="I415" s="3" t="n">
        <v>3</v>
      </c>
      <c r="J415" s="3" t="n">
        <v>2</v>
      </c>
      <c r="K415" s="3" t="n">
        <v>1</v>
      </c>
      <c r="L415" s="3" t="n">
        <v>4</v>
      </c>
      <c r="M415" s="3" t="n">
        <v>1</v>
      </c>
      <c r="N415" s="3" t="s">
        <v>19</v>
      </c>
    </row>
    <row r="416" customFormat="false" ht="15" hidden="false" customHeight="false" outlineLevel="0" collapsed="false">
      <c r="A416" s="3" t="s">
        <v>446</v>
      </c>
      <c r="B416" s="3" t="n">
        <v>29</v>
      </c>
      <c r="C416" s="3" t="s">
        <v>22</v>
      </c>
      <c r="D416" s="3" t="s">
        <v>17</v>
      </c>
      <c r="E416" s="3" t="s">
        <v>24</v>
      </c>
      <c r="F416" s="3" t="n">
        <v>2.9</v>
      </c>
      <c r="G416" s="3" t="n">
        <v>3188.31</v>
      </c>
      <c r="H416" s="3" t="s">
        <v>19</v>
      </c>
      <c r="I416" s="3" t="n">
        <v>1</v>
      </c>
      <c r="J416" s="3" t="n">
        <v>1</v>
      </c>
      <c r="K416" s="3" t="n">
        <v>12</v>
      </c>
      <c r="L416" s="3" t="n">
        <v>2</v>
      </c>
      <c r="M416" s="3" t="n">
        <v>2</v>
      </c>
      <c r="N416" s="3" t="s">
        <v>20</v>
      </c>
    </row>
    <row r="417" customFormat="false" ht="15" hidden="false" customHeight="false" outlineLevel="0" collapsed="false">
      <c r="A417" s="3" t="s">
        <v>447</v>
      </c>
      <c r="B417" s="3" t="n">
        <v>26</v>
      </c>
      <c r="C417" s="3" t="s">
        <v>22</v>
      </c>
      <c r="D417" s="3" t="s">
        <v>27</v>
      </c>
      <c r="E417" s="3" t="s">
        <v>24</v>
      </c>
      <c r="F417" s="3" t="n">
        <v>2.2</v>
      </c>
      <c r="G417" s="3" t="n">
        <v>7244.85</v>
      </c>
      <c r="H417" s="3" t="s">
        <v>20</v>
      </c>
      <c r="I417" s="3" t="n">
        <v>4</v>
      </c>
      <c r="J417" s="3" t="n">
        <v>4</v>
      </c>
      <c r="K417" s="3" t="n">
        <v>1</v>
      </c>
      <c r="L417" s="3" t="n">
        <v>2</v>
      </c>
      <c r="M417" s="3" t="n">
        <v>0</v>
      </c>
      <c r="N417" s="3" t="s">
        <v>19</v>
      </c>
    </row>
    <row r="418" customFormat="false" ht="15" hidden="false" customHeight="false" outlineLevel="0" collapsed="false">
      <c r="A418" s="3" t="s">
        <v>448</v>
      </c>
      <c r="B418" s="3" t="n">
        <v>34</v>
      </c>
      <c r="C418" s="3" t="s">
        <v>32</v>
      </c>
      <c r="D418" s="3" t="s">
        <v>23</v>
      </c>
      <c r="E418" s="3" t="s">
        <v>41</v>
      </c>
      <c r="F418" s="3" t="n">
        <v>5</v>
      </c>
      <c r="G418" s="3" t="n">
        <v>5649.5</v>
      </c>
      <c r="H418" s="3" t="s">
        <v>19</v>
      </c>
      <c r="I418" s="3" t="n">
        <v>3</v>
      </c>
      <c r="J418" s="3" t="n">
        <v>4</v>
      </c>
      <c r="K418" s="3" t="n">
        <v>2</v>
      </c>
      <c r="L418" s="3" t="n">
        <v>2</v>
      </c>
      <c r="M418" s="3" t="n">
        <v>3</v>
      </c>
      <c r="N418" s="3" t="s">
        <v>19</v>
      </c>
    </row>
    <row r="419" customFormat="false" ht="15" hidden="false" customHeight="false" outlineLevel="0" collapsed="false">
      <c r="A419" s="3" t="s">
        <v>449</v>
      </c>
      <c r="B419" s="3" t="n">
        <v>44</v>
      </c>
      <c r="C419" s="3" t="s">
        <v>32</v>
      </c>
      <c r="D419" s="3" t="s">
        <v>23</v>
      </c>
      <c r="E419" s="3" t="s">
        <v>18</v>
      </c>
      <c r="F419" s="3" t="n">
        <v>2.9</v>
      </c>
      <c r="G419" s="3" t="n">
        <v>4631.7</v>
      </c>
      <c r="H419" s="3" t="s">
        <v>20</v>
      </c>
      <c r="I419" s="3" t="n">
        <v>4</v>
      </c>
      <c r="J419" s="3" t="n">
        <v>1</v>
      </c>
      <c r="K419" s="3" t="n">
        <v>6</v>
      </c>
      <c r="L419" s="3" t="n">
        <v>0</v>
      </c>
      <c r="M419" s="3" t="n">
        <v>4</v>
      </c>
      <c r="N419" s="3" t="s">
        <v>20</v>
      </c>
    </row>
    <row r="420" customFormat="false" ht="15" hidden="false" customHeight="false" outlineLevel="0" collapsed="false">
      <c r="A420" s="3" t="s">
        <v>450</v>
      </c>
      <c r="B420" s="3" t="n">
        <v>49</v>
      </c>
      <c r="C420" s="3" t="s">
        <v>32</v>
      </c>
      <c r="D420" s="3" t="s">
        <v>17</v>
      </c>
      <c r="E420" s="3" t="s">
        <v>18</v>
      </c>
      <c r="F420" s="3" t="n">
        <v>2.1</v>
      </c>
      <c r="G420" s="3" t="n">
        <v>3780.88</v>
      </c>
      <c r="H420" s="3" t="s">
        <v>19</v>
      </c>
      <c r="I420" s="3" t="n">
        <v>3</v>
      </c>
      <c r="J420" s="3" t="n">
        <v>3</v>
      </c>
      <c r="K420" s="3" t="n">
        <v>17</v>
      </c>
      <c r="L420" s="3" t="n">
        <v>2</v>
      </c>
      <c r="M420" s="3" t="n">
        <v>1</v>
      </c>
      <c r="N420" s="3" t="s">
        <v>19</v>
      </c>
    </row>
    <row r="421" customFormat="false" ht="15" hidden="false" customHeight="false" outlineLevel="0" collapsed="false">
      <c r="A421" s="3" t="s">
        <v>451</v>
      </c>
      <c r="B421" s="3" t="n">
        <v>24</v>
      </c>
      <c r="C421" s="3" t="s">
        <v>16</v>
      </c>
      <c r="D421" s="3" t="s">
        <v>27</v>
      </c>
      <c r="E421" s="3" t="s">
        <v>28</v>
      </c>
      <c r="F421" s="3" t="n">
        <v>3</v>
      </c>
      <c r="G421" s="3" t="n">
        <v>7053.09</v>
      </c>
      <c r="H421" s="3" t="s">
        <v>19</v>
      </c>
      <c r="I421" s="3" t="n">
        <v>4</v>
      </c>
      <c r="J421" s="3" t="n">
        <v>2</v>
      </c>
      <c r="K421" s="3" t="n">
        <v>6</v>
      </c>
      <c r="L421" s="3" t="n">
        <v>3</v>
      </c>
      <c r="M421" s="3" t="n">
        <v>1</v>
      </c>
      <c r="N421" s="3" t="s">
        <v>20</v>
      </c>
    </row>
    <row r="422" customFormat="false" ht="15" hidden="false" customHeight="false" outlineLevel="0" collapsed="false">
      <c r="A422" s="3" t="s">
        <v>452</v>
      </c>
      <c r="B422" s="3" t="n">
        <v>60</v>
      </c>
      <c r="C422" s="3" t="s">
        <v>45</v>
      </c>
      <c r="D422" s="3" t="s">
        <v>27</v>
      </c>
      <c r="E422" s="3" t="s">
        <v>24</v>
      </c>
      <c r="F422" s="3" t="n">
        <v>0.9</v>
      </c>
      <c r="G422" s="3" t="n">
        <v>8390.89</v>
      </c>
      <c r="H422" s="3" t="s">
        <v>19</v>
      </c>
      <c r="I422" s="3" t="n">
        <v>4</v>
      </c>
      <c r="J422" s="3" t="n">
        <v>4</v>
      </c>
      <c r="K422" s="3" t="n">
        <v>1</v>
      </c>
      <c r="L422" s="3" t="n">
        <v>0</v>
      </c>
      <c r="M422" s="3" t="n">
        <v>1</v>
      </c>
      <c r="N422" s="3" t="s">
        <v>19</v>
      </c>
    </row>
    <row r="423" customFormat="false" ht="15" hidden="false" customHeight="false" outlineLevel="0" collapsed="false">
      <c r="A423" s="3" t="s">
        <v>453</v>
      </c>
      <c r="B423" s="3" t="n">
        <v>22</v>
      </c>
      <c r="C423" s="3" t="s">
        <v>22</v>
      </c>
      <c r="D423" s="3" t="s">
        <v>17</v>
      </c>
      <c r="E423" s="3" t="s">
        <v>28</v>
      </c>
      <c r="F423" s="3" t="n">
        <v>1</v>
      </c>
      <c r="G423" s="3" t="n">
        <v>3234.79</v>
      </c>
      <c r="H423" s="3" t="s">
        <v>20</v>
      </c>
      <c r="I423" s="3" t="n">
        <v>4</v>
      </c>
      <c r="J423" s="3" t="n">
        <v>3</v>
      </c>
      <c r="K423" s="3" t="n">
        <v>1</v>
      </c>
      <c r="L423" s="3" t="n">
        <v>1</v>
      </c>
      <c r="M423" s="3" t="n">
        <v>3</v>
      </c>
      <c r="N423" s="3" t="s">
        <v>19</v>
      </c>
    </row>
    <row r="424" customFormat="false" ht="15" hidden="false" customHeight="false" outlineLevel="0" collapsed="false">
      <c r="A424" s="3" t="s">
        <v>454</v>
      </c>
      <c r="B424" s="3" t="n">
        <v>30</v>
      </c>
      <c r="C424" s="3" t="s">
        <v>16</v>
      </c>
      <c r="D424" s="3" t="s">
        <v>27</v>
      </c>
      <c r="E424" s="3" t="s">
        <v>18</v>
      </c>
      <c r="F424" s="3" t="n">
        <v>7.5</v>
      </c>
      <c r="G424" s="3" t="n">
        <v>6923.48</v>
      </c>
      <c r="H424" s="3" t="s">
        <v>19</v>
      </c>
      <c r="I424" s="3" t="n">
        <v>2</v>
      </c>
      <c r="J424" s="3" t="n">
        <v>2</v>
      </c>
      <c r="K424" s="3" t="n">
        <v>3</v>
      </c>
      <c r="L424" s="3" t="n">
        <v>1</v>
      </c>
      <c r="M424" s="3" t="n">
        <v>4</v>
      </c>
      <c r="N424" s="3" t="s">
        <v>19</v>
      </c>
    </row>
    <row r="425" customFormat="false" ht="15" hidden="false" customHeight="false" outlineLevel="0" collapsed="false">
      <c r="A425" s="3" t="s">
        <v>455</v>
      </c>
      <c r="B425" s="3" t="n">
        <v>23</v>
      </c>
      <c r="C425" s="3" t="s">
        <v>22</v>
      </c>
      <c r="D425" s="3" t="s">
        <v>23</v>
      </c>
      <c r="E425" s="3" t="s">
        <v>41</v>
      </c>
      <c r="F425" s="3" t="n">
        <v>0.9</v>
      </c>
      <c r="G425" s="3" t="n">
        <v>4704.69</v>
      </c>
      <c r="H425" s="3" t="s">
        <v>20</v>
      </c>
      <c r="I425" s="3" t="n">
        <v>3</v>
      </c>
      <c r="J425" s="3" t="n">
        <v>4</v>
      </c>
      <c r="K425" s="3" t="n">
        <v>3</v>
      </c>
      <c r="L425" s="3" t="n">
        <v>0</v>
      </c>
      <c r="M425" s="3" t="n">
        <v>2</v>
      </c>
      <c r="N425" s="3" t="s">
        <v>20</v>
      </c>
    </row>
    <row r="426" customFormat="false" ht="15" hidden="false" customHeight="false" outlineLevel="0" collapsed="false">
      <c r="A426" s="3" t="s">
        <v>456</v>
      </c>
      <c r="B426" s="3" t="n">
        <v>32</v>
      </c>
      <c r="C426" s="3" t="s">
        <v>45</v>
      </c>
      <c r="D426" s="3" t="s">
        <v>27</v>
      </c>
      <c r="E426" s="3" t="s">
        <v>41</v>
      </c>
      <c r="F426" s="3" t="n">
        <v>3.3</v>
      </c>
      <c r="G426" s="3" t="n">
        <v>7335.4</v>
      </c>
      <c r="H426" s="3" t="s">
        <v>19</v>
      </c>
      <c r="I426" s="3" t="n">
        <v>3</v>
      </c>
      <c r="J426" s="3" t="n">
        <v>4</v>
      </c>
      <c r="K426" s="3" t="n">
        <v>19</v>
      </c>
      <c r="L426" s="3" t="n">
        <v>3</v>
      </c>
      <c r="M426" s="3" t="n">
        <v>1</v>
      </c>
      <c r="N426" s="3" t="s">
        <v>19</v>
      </c>
    </row>
    <row r="427" customFormat="false" ht="15" hidden="false" customHeight="false" outlineLevel="0" collapsed="false">
      <c r="A427" s="3" t="s">
        <v>457</v>
      </c>
      <c r="B427" s="3" t="n">
        <v>38</v>
      </c>
      <c r="C427" s="3" t="s">
        <v>26</v>
      </c>
      <c r="D427" s="3" t="s">
        <v>48</v>
      </c>
      <c r="E427" s="3" t="s">
        <v>24</v>
      </c>
      <c r="F427" s="3" t="n">
        <v>4.6</v>
      </c>
      <c r="G427" s="3" t="n">
        <v>10240.2</v>
      </c>
      <c r="H427" s="3" t="s">
        <v>20</v>
      </c>
      <c r="I427" s="3" t="n">
        <v>3</v>
      </c>
      <c r="J427" s="3" t="n">
        <v>2</v>
      </c>
      <c r="K427" s="3" t="n">
        <v>13</v>
      </c>
      <c r="L427" s="3" t="n">
        <v>4</v>
      </c>
      <c r="M427" s="3" t="n">
        <v>3</v>
      </c>
      <c r="N427" s="3" t="s">
        <v>20</v>
      </c>
    </row>
    <row r="428" customFormat="false" ht="15" hidden="false" customHeight="false" outlineLevel="0" collapsed="false">
      <c r="A428" s="3" t="s">
        <v>458</v>
      </c>
      <c r="B428" s="3" t="n">
        <v>41</v>
      </c>
      <c r="C428" s="3" t="s">
        <v>26</v>
      </c>
      <c r="D428" s="3" t="s">
        <v>17</v>
      </c>
      <c r="E428" s="3" t="s">
        <v>28</v>
      </c>
      <c r="F428" s="3" t="n">
        <v>3.8</v>
      </c>
      <c r="G428" s="3" t="n">
        <v>3760.18</v>
      </c>
      <c r="H428" s="3" t="s">
        <v>20</v>
      </c>
      <c r="I428" s="3" t="n">
        <v>4</v>
      </c>
      <c r="J428" s="3" t="n">
        <v>3</v>
      </c>
      <c r="K428" s="3" t="n">
        <v>22</v>
      </c>
      <c r="L428" s="3" t="n">
        <v>2</v>
      </c>
      <c r="M428" s="3" t="n">
        <v>3</v>
      </c>
      <c r="N428" s="3" t="s">
        <v>20</v>
      </c>
    </row>
    <row r="429" customFormat="false" ht="15" hidden="false" customHeight="false" outlineLevel="0" collapsed="false">
      <c r="A429" s="3" t="s">
        <v>459</v>
      </c>
      <c r="B429" s="3" t="n">
        <v>30</v>
      </c>
      <c r="C429" s="3" t="s">
        <v>24</v>
      </c>
      <c r="D429" s="3" t="s">
        <v>17</v>
      </c>
      <c r="E429" s="3" t="s">
        <v>28</v>
      </c>
      <c r="F429" s="3" t="n">
        <v>1.6</v>
      </c>
      <c r="G429" s="3" t="n">
        <v>3061.57</v>
      </c>
      <c r="H429" s="3" t="s">
        <v>19</v>
      </c>
      <c r="I429" s="3" t="n">
        <v>3</v>
      </c>
      <c r="J429" s="3" t="n">
        <v>3</v>
      </c>
      <c r="K429" s="3" t="n">
        <v>1</v>
      </c>
      <c r="L429" s="3" t="n">
        <v>1</v>
      </c>
      <c r="M429" s="3" t="n">
        <v>1</v>
      </c>
      <c r="N429" s="3" t="s">
        <v>19</v>
      </c>
    </row>
    <row r="430" customFormat="false" ht="15" hidden="false" customHeight="false" outlineLevel="0" collapsed="false">
      <c r="A430" s="3" t="s">
        <v>460</v>
      </c>
      <c r="B430" s="3" t="n">
        <v>28</v>
      </c>
      <c r="C430" s="3" t="s">
        <v>22</v>
      </c>
      <c r="D430" s="3" t="s">
        <v>23</v>
      </c>
      <c r="E430" s="3" t="s">
        <v>18</v>
      </c>
      <c r="F430" s="3" t="n">
        <v>1.1</v>
      </c>
      <c r="G430" s="3" t="n">
        <v>4459.03</v>
      </c>
      <c r="H430" s="3" t="s">
        <v>19</v>
      </c>
      <c r="I430" s="3" t="n">
        <v>2</v>
      </c>
      <c r="J430" s="3" t="n">
        <v>4</v>
      </c>
      <c r="K430" s="3" t="n">
        <v>6</v>
      </c>
      <c r="L430" s="3" t="n">
        <v>1</v>
      </c>
      <c r="M430" s="3" t="n">
        <v>4</v>
      </c>
      <c r="N430" s="3" t="s">
        <v>19</v>
      </c>
    </row>
    <row r="431" customFormat="false" ht="15" hidden="false" customHeight="false" outlineLevel="0" collapsed="false">
      <c r="A431" s="3" t="s">
        <v>461</v>
      </c>
      <c r="B431" s="3" t="n">
        <v>26</v>
      </c>
      <c r="C431" s="3" t="s">
        <v>26</v>
      </c>
      <c r="D431" s="3" t="s">
        <v>48</v>
      </c>
      <c r="E431" s="3" t="s">
        <v>18</v>
      </c>
      <c r="F431" s="3" t="n">
        <v>2.1</v>
      </c>
      <c r="G431" s="3" t="n">
        <v>9218.22</v>
      </c>
      <c r="H431" s="3" t="s">
        <v>20</v>
      </c>
      <c r="I431" s="3" t="n">
        <v>3</v>
      </c>
      <c r="J431" s="3" t="n">
        <v>3</v>
      </c>
      <c r="K431" s="3" t="n">
        <v>4</v>
      </c>
      <c r="L431" s="3" t="n">
        <v>0</v>
      </c>
      <c r="M431" s="3" t="n">
        <v>2</v>
      </c>
      <c r="N431" s="3" t="s">
        <v>20</v>
      </c>
    </row>
    <row r="432" customFormat="false" ht="15" hidden="false" customHeight="false" outlineLevel="0" collapsed="false">
      <c r="A432" s="3" t="s">
        <v>462</v>
      </c>
      <c r="B432" s="3" t="n">
        <v>30</v>
      </c>
      <c r="C432" s="3" t="s">
        <v>26</v>
      </c>
      <c r="D432" s="3" t="s">
        <v>23</v>
      </c>
      <c r="E432" s="3" t="s">
        <v>41</v>
      </c>
      <c r="F432" s="3" t="n">
        <v>3.2</v>
      </c>
      <c r="G432" s="3" t="n">
        <v>4591.16</v>
      </c>
      <c r="H432" s="3" t="s">
        <v>20</v>
      </c>
      <c r="I432" s="3" t="n">
        <v>3</v>
      </c>
      <c r="J432" s="3" t="n">
        <v>4</v>
      </c>
      <c r="K432" s="3" t="n">
        <v>1</v>
      </c>
      <c r="L432" s="3" t="n">
        <v>2</v>
      </c>
      <c r="M432" s="3" t="n">
        <v>0</v>
      </c>
      <c r="N432" s="3" t="s">
        <v>19</v>
      </c>
    </row>
    <row r="433" customFormat="false" ht="15" hidden="false" customHeight="false" outlineLevel="0" collapsed="false">
      <c r="A433" s="3" t="s">
        <v>463</v>
      </c>
      <c r="B433" s="3" t="n">
        <v>34</v>
      </c>
      <c r="C433" s="3" t="s">
        <v>24</v>
      </c>
      <c r="D433" s="3" t="s">
        <v>27</v>
      </c>
      <c r="E433" s="3" t="s">
        <v>18</v>
      </c>
      <c r="F433" s="3" t="n">
        <v>0.7</v>
      </c>
      <c r="G433" s="3" t="n">
        <v>7163.28</v>
      </c>
      <c r="H433" s="3" t="s">
        <v>19</v>
      </c>
      <c r="I433" s="3" t="n">
        <v>2</v>
      </c>
      <c r="J433" s="3" t="n">
        <v>4</v>
      </c>
      <c r="K433" s="3" t="n">
        <v>40</v>
      </c>
      <c r="L433" s="3" t="n">
        <v>0</v>
      </c>
      <c r="M433" s="3" t="n">
        <v>0</v>
      </c>
      <c r="N433" s="3" t="s">
        <v>20</v>
      </c>
    </row>
    <row r="434" customFormat="false" ht="15" hidden="false" customHeight="false" outlineLevel="0" collapsed="false">
      <c r="A434" s="3" t="s">
        <v>464</v>
      </c>
      <c r="B434" s="3" t="n">
        <v>42</v>
      </c>
      <c r="C434" s="3" t="s">
        <v>16</v>
      </c>
      <c r="D434" s="3" t="s">
        <v>23</v>
      </c>
      <c r="E434" s="3" t="s">
        <v>24</v>
      </c>
      <c r="F434" s="3" t="n">
        <v>0.6</v>
      </c>
      <c r="G434" s="3" t="n">
        <v>4542.13</v>
      </c>
      <c r="H434" s="3" t="s">
        <v>19</v>
      </c>
      <c r="I434" s="3" t="n">
        <v>3</v>
      </c>
      <c r="J434" s="3" t="n">
        <v>3</v>
      </c>
      <c r="K434" s="3" t="n">
        <v>1</v>
      </c>
      <c r="L434" s="3" t="n">
        <v>0</v>
      </c>
      <c r="M434" s="3" t="n">
        <v>5</v>
      </c>
      <c r="N434" s="3" t="s">
        <v>19</v>
      </c>
    </row>
    <row r="435" customFormat="false" ht="15" hidden="false" customHeight="false" outlineLevel="0" collapsed="false">
      <c r="A435" s="3" t="s">
        <v>465</v>
      </c>
      <c r="B435" s="3" t="n">
        <v>21</v>
      </c>
      <c r="C435" s="3" t="s">
        <v>22</v>
      </c>
      <c r="D435" s="3" t="s">
        <v>17</v>
      </c>
      <c r="E435" s="3" t="s">
        <v>28</v>
      </c>
      <c r="F435" s="3" t="n">
        <v>0</v>
      </c>
      <c r="G435" s="3" t="n">
        <v>2783.18</v>
      </c>
      <c r="H435" s="3" t="s">
        <v>20</v>
      </c>
      <c r="I435" s="3" t="n">
        <v>1</v>
      </c>
      <c r="J435" s="3" t="n">
        <v>3</v>
      </c>
      <c r="K435" s="3" t="n">
        <v>11</v>
      </c>
      <c r="L435" s="3" t="n">
        <v>0</v>
      </c>
      <c r="M435" s="3" t="n">
        <v>5</v>
      </c>
      <c r="N435" s="3" t="s">
        <v>20</v>
      </c>
    </row>
    <row r="436" customFormat="false" ht="15" hidden="false" customHeight="false" outlineLevel="0" collapsed="false">
      <c r="A436" s="3" t="s">
        <v>466</v>
      </c>
      <c r="B436" s="3" t="n">
        <v>23</v>
      </c>
      <c r="C436" s="3" t="s">
        <v>16</v>
      </c>
      <c r="D436" s="3" t="s">
        <v>27</v>
      </c>
      <c r="E436" s="3" t="s">
        <v>28</v>
      </c>
      <c r="F436" s="3" t="n">
        <v>0.2</v>
      </c>
      <c r="G436" s="3" t="n">
        <v>6576.15</v>
      </c>
      <c r="H436" s="3" t="s">
        <v>19</v>
      </c>
      <c r="I436" s="3" t="n">
        <v>4</v>
      </c>
      <c r="J436" s="3" t="n">
        <v>3</v>
      </c>
      <c r="K436" s="3" t="n">
        <v>10</v>
      </c>
      <c r="L436" s="3" t="n">
        <v>0</v>
      </c>
      <c r="M436" s="3" t="n">
        <v>2</v>
      </c>
      <c r="N436" s="3" t="s">
        <v>19</v>
      </c>
    </row>
    <row r="437" customFormat="false" ht="15" hidden="false" customHeight="false" outlineLevel="0" collapsed="false">
      <c r="A437" s="3" t="s">
        <v>467</v>
      </c>
      <c r="B437" s="3" t="n">
        <v>34</v>
      </c>
      <c r="C437" s="3" t="s">
        <v>24</v>
      </c>
      <c r="D437" s="3" t="s">
        <v>17</v>
      </c>
      <c r="E437" s="3" t="s">
        <v>18</v>
      </c>
      <c r="F437" s="3" t="n">
        <v>8.1</v>
      </c>
      <c r="G437" s="3" t="n">
        <v>2985.73</v>
      </c>
      <c r="H437" s="3" t="s">
        <v>19</v>
      </c>
      <c r="I437" s="3" t="n">
        <v>3</v>
      </c>
      <c r="J437" s="3" t="n">
        <v>4</v>
      </c>
      <c r="K437" s="3" t="n">
        <v>1</v>
      </c>
      <c r="L437" s="3" t="n">
        <v>2</v>
      </c>
      <c r="M437" s="3" t="n">
        <v>2</v>
      </c>
      <c r="N437" s="3" t="s">
        <v>19</v>
      </c>
    </row>
    <row r="438" customFormat="false" ht="15" hidden="false" customHeight="false" outlineLevel="0" collapsed="false">
      <c r="A438" s="3" t="s">
        <v>468</v>
      </c>
      <c r="B438" s="3" t="n">
        <v>21</v>
      </c>
      <c r="C438" s="3" t="s">
        <v>16</v>
      </c>
      <c r="D438" s="3" t="s">
        <v>17</v>
      </c>
      <c r="E438" s="3" t="s">
        <v>28</v>
      </c>
      <c r="F438" s="3" t="n">
        <v>0</v>
      </c>
      <c r="G438" s="3" t="n">
        <v>2766.67</v>
      </c>
      <c r="H438" s="3" t="s">
        <v>19</v>
      </c>
      <c r="I438" s="3" t="n">
        <v>4</v>
      </c>
      <c r="J438" s="3" t="n">
        <v>3</v>
      </c>
      <c r="K438" s="3" t="n">
        <v>2</v>
      </c>
      <c r="L438" s="3" t="n">
        <v>0</v>
      </c>
      <c r="M438" s="3" t="n">
        <v>2</v>
      </c>
      <c r="N438" s="3" t="s">
        <v>19</v>
      </c>
    </row>
    <row r="439" customFormat="false" ht="15" hidden="false" customHeight="false" outlineLevel="0" collapsed="false">
      <c r="A439" s="3" t="s">
        <v>469</v>
      </c>
      <c r="B439" s="3" t="n">
        <v>29</v>
      </c>
      <c r="C439" s="3" t="s">
        <v>32</v>
      </c>
      <c r="D439" s="3" t="s">
        <v>23</v>
      </c>
      <c r="E439" s="3" t="s">
        <v>24</v>
      </c>
      <c r="F439" s="3" t="n">
        <v>3.6</v>
      </c>
      <c r="G439" s="3" t="n">
        <v>4600.51</v>
      </c>
      <c r="H439" s="3" t="s">
        <v>19</v>
      </c>
      <c r="I439" s="3" t="n">
        <v>3</v>
      </c>
      <c r="J439" s="3" t="n">
        <v>3</v>
      </c>
      <c r="K439" s="3" t="n">
        <v>6</v>
      </c>
      <c r="L439" s="3" t="n">
        <v>3</v>
      </c>
      <c r="M439" s="3" t="n">
        <v>1</v>
      </c>
      <c r="N439" s="3" t="s">
        <v>19</v>
      </c>
    </row>
    <row r="440" customFormat="false" ht="15" hidden="false" customHeight="false" outlineLevel="0" collapsed="false">
      <c r="A440" s="3" t="s">
        <v>470</v>
      </c>
      <c r="B440" s="3" t="n">
        <v>25</v>
      </c>
      <c r="C440" s="3" t="s">
        <v>22</v>
      </c>
      <c r="D440" s="3" t="s">
        <v>23</v>
      </c>
      <c r="E440" s="3" t="s">
        <v>24</v>
      </c>
      <c r="F440" s="3" t="n">
        <v>4</v>
      </c>
      <c r="G440" s="3" t="n">
        <v>4852.54</v>
      </c>
      <c r="H440" s="3" t="s">
        <v>19</v>
      </c>
      <c r="I440" s="3" t="n">
        <v>4</v>
      </c>
      <c r="J440" s="3" t="n">
        <v>2</v>
      </c>
      <c r="K440" s="3" t="n">
        <v>10</v>
      </c>
      <c r="L440" s="3" t="n">
        <v>0</v>
      </c>
      <c r="M440" s="3" t="n">
        <v>2</v>
      </c>
      <c r="N440" s="3" t="s">
        <v>19</v>
      </c>
    </row>
    <row r="441" customFormat="false" ht="15" hidden="false" customHeight="false" outlineLevel="0" collapsed="false">
      <c r="A441" s="3" t="s">
        <v>471</v>
      </c>
      <c r="B441" s="3" t="n">
        <v>28</v>
      </c>
      <c r="C441" s="3" t="s">
        <v>26</v>
      </c>
      <c r="D441" s="3" t="s">
        <v>17</v>
      </c>
      <c r="E441" s="3" t="s">
        <v>41</v>
      </c>
      <c r="F441" s="3" t="n">
        <v>0.5</v>
      </c>
      <c r="G441" s="3" t="n">
        <v>3170.8</v>
      </c>
      <c r="H441" s="3" t="s">
        <v>20</v>
      </c>
      <c r="I441" s="3" t="n">
        <v>2</v>
      </c>
      <c r="J441" s="3" t="n">
        <v>1</v>
      </c>
      <c r="K441" s="3" t="n">
        <v>20</v>
      </c>
      <c r="L441" s="3" t="n">
        <v>0</v>
      </c>
      <c r="M441" s="3" t="n">
        <v>1</v>
      </c>
      <c r="N441" s="3" t="s">
        <v>20</v>
      </c>
    </row>
    <row r="442" customFormat="false" ht="15" hidden="false" customHeight="false" outlineLevel="0" collapsed="false">
      <c r="A442" s="3" t="s">
        <v>472</v>
      </c>
      <c r="B442" s="3" t="n">
        <v>34</v>
      </c>
      <c r="C442" s="3" t="s">
        <v>26</v>
      </c>
      <c r="D442" s="3" t="s">
        <v>23</v>
      </c>
      <c r="E442" s="3" t="s">
        <v>28</v>
      </c>
      <c r="F442" s="3" t="n">
        <v>0.9</v>
      </c>
      <c r="G442" s="3" t="n">
        <v>4766.52</v>
      </c>
      <c r="H442" s="3" t="s">
        <v>20</v>
      </c>
      <c r="I442" s="3" t="n">
        <v>4</v>
      </c>
      <c r="J442" s="3" t="n">
        <v>1</v>
      </c>
      <c r="K442" s="3" t="n">
        <v>1</v>
      </c>
      <c r="L442" s="3" t="n">
        <v>0</v>
      </c>
      <c r="M442" s="3" t="n">
        <v>3</v>
      </c>
      <c r="N442" s="3" t="s">
        <v>20</v>
      </c>
    </row>
    <row r="443" customFormat="false" ht="15" hidden="false" customHeight="false" outlineLevel="0" collapsed="false">
      <c r="A443" s="3" t="s">
        <v>473</v>
      </c>
      <c r="B443" s="3" t="n">
        <v>33</v>
      </c>
      <c r="C443" s="3" t="s">
        <v>16</v>
      </c>
      <c r="D443" s="3" t="s">
        <v>27</v>
      </c>
      <c r="E443" s="3" t="s">
        <v>28</v>
      </c>
      <c r="F443" s="3" t="n">
        <v>0.4</v>
      </c>
      <c r="G443" s="3" t="n">
        <v>7132.27</v>
      </c>
      <c r="H443" s="3" t="s">
        <v>19</v>
      </c>
      <c r="I443" s="3" t="n">
        <v>1</v>
      </c>
      <c r="J443" s="3" t="n">
        <v>1</v>
      </c>
      <c r="K443" s="3" t="n">
        <v>15</v>
      </c>
      <c r="L443" s="3" t="n">
        <v>0</v>
      </c>
      <c r="M443" s="3" t="n">
        <v>1</v>
      </c>
      <c r="N443" s="3" t="s">
        <v>19</v>
      </c>
    </row>
    <row r="444" customFormat="false" ht="15" hidden="false" customHeight="false" outlineLevel="0" collapsed="false">
      <c r="A444" s="3" t="s">
        <v>474</v>
      </c>
      <c r="B444" s="3" t="n">
        <v>42</v>
      </c>
      <c r="C444" s="3" t="s">
        <v>45</v>
      </c>
      <c r="D444" s="3" t="s">
        <v>48</v>
      </c>
      <c r="E444" s="3" t="s">
        <v>24</v>
      </c>
      <c r="F444" s="3" t="n">
        <v>2.7</v>
      </c>
      <c r="G444" s="3" t="n">
        <v>8491.65</v>
      </c>
      <c r="H444" s="3" t="s">
        <v>19</v>
      </c>
      <c r="I444" s="3" t="n">
        <v>3</v>
      </c>
      <c r="J444" s="3" t="n">
        <v>2</v>
      </c>
      <c r="K444" s="3" t="n">
        <v>18</v>
      </c>
      <c r="L444" s="3" t="n">
        <v>2</v>
      </c>
      <c r="M444" s="3" t="n">
        <v>3</v>
      </c>
      <c r="N444" s="3" t="s">
        <v>19</v>
      </c>
    </row>
    <row r="445" customFormat="false" ht="15" hidden="false" customHeight="false" outlineLevel="0" collapsed="false">
      <c r="A445" s="3" t="s">
        <v>475</v>
      </c>
      <c r="B445" s="3" t="n">
        <v>30</v>
      </c>
      <c r="C445" s="3" t="s">
        <v>26</v>
      </c>
      <c r="D445" s="3" t="s">
        <v>17</v>
      </c>
      <c r="E445" s="3" t="s">
        <v>28</v>
      </c>
      <c r="F445" s="3" t="n">
        <v>5.2</v>
      </c>
      <c r="G445" s="3" t="n">
        <v>3057.86</v>
      </c>
      <c r="H445" s="3" t="s">
        <v>20</v>
      </c>
      <c r="I445" s="3" t="n">
        <v>4</v>
      </c>
      <c r="J445" s="3" t="n">
        <v>2</v>
      </c>
      <c r="K445" s="3" t="n">
        <v>1</v>
      </c>
      <c r="L445" s="3" t="n">
        <v>0</v>
      </c>
      <c r="M445" s="3" t="n">
        <v>2</v>
      </c>
      <c r="N445" s="3" t="s">
        <v>20</v>
      </c>
    </row>
    <row r="446" customFormat="false" ht="15" hidden="false" customHeight="false" outlineLevel="0" collapsed="false">
      <c r="A446" s="3" t="s">
        <v>476</v>
      </c>
      <c r="B446" s="3" t="n">
        <v>21</v>
      </c>
      <c r="C446" s="3" t="s">
        <v>16</v>
      </c>
      <c r="D446" s="3" t="s">
        <v>17</v>
      </c>
      <c r="E446" s="3" t="s">
        <v>18</v>
      </c>
      <c r="F446" s="3" t="n">
        <v>0</v>
      </c>
      <c r="G446" s="3" t="n">
        <v>2824.69</v>
      </c>
      <c r="H446" s="3" t="s">
        <v>19</v>
      </c>
      <c r="I446" s="3" t="n">
        <v>3</v>
      </c>
      <c r="J446" s="3" t="n">
        <v>1</v>
      </c>
      <c r="K446" s="3" t="n">
        <v>11</v>
      </c>
      <c r="L446" s="3" t="n">
        <v>0</v>
      </c>
      <c r="M446" s="3" t="n">
        <v>2</v>
      </c>
      <c r="N446" s="3" t="s">
        <v>19</v>
      </c>
    </row>
    <row r="447" customFormat="false" ht="15" hidden="false" customHeight="false" outlineLevel="0" collapsed="false">
      <c r="A447" s="3" t="s">
        <v>477</v>
      </c>
      <c r="B447" s="3" t="n">
        <v>21</v>
      </c>
      <c r="C447" s="3" t="s">
        <v>22</v>
      </c>
      <c r="D447" s="3" t="s">
        <v>23</v>
      </c>
      <c r="E447" s="3" t="s">
        <v>28</v>
      </c>
      <c r="F447" s="3" t="n">
        <v>0</v>
      </c>
      <c r="G447" s="3" t="n">
        <v>4878.17</v>
      </c>
      <c r="H447" s="3" t="s">
        <v>20</v>
      </c>
      <c r="I447" s="3" t="n">
        <v>4</v>
      </c>
      <c r="J447" s="3" t="n">
        <v>4</v>
      </c>
      <c r="K447" s="3" t="n">
        <v>7</v>
      </c>
      <c r="L447" s="3" t="n">
        <v>0</v>
      </c>
      <c r="M447" s="3" t="n">
        <v>3</v>
      </c>
      <c r="N447" s="3" t="s">
        <v>19</v>
      </c>
    </row>
    <row r="448" customFormat="false" ht="15" hidden="false" customHeight="false" outlineLevel="0" collapsed="false">
      <c r="A448" s="3" t="s">
        <v>478</v>
      </c>
      <c r="B448" s="3" t="n">
        <v>41</v>
      </c>
      <c r="C448" s="3" t="s">
        <v>16</v>
      </c>
      <c r="D448" s="3" t="s">
        <v>48</v>
      </c>
      <c r="E448" s="3" t="s">
        <v>24</v>
      </c>
      <c r="F448" s="3" t="n">
        <v>9.9</v>
      </c>
      <c r="G448" s="3" t="n">
        <v>10343.93</v>
      </c>
      <c r="H448" s="3" t="s">
        <v>19</v>
      </c>
      <c r="I448" s="3" t="n">
        <v>3</v>
      </c>
      <c r="J448" s="3" t="n">
        <v>4</v>
      </c>
      <c r="K448" s="3" t="n">
        <v>1</v>
      </c>
      <c r="L448" s="3" t="n">
        <v>3</v>
      </c>
      <c r="M448" s="3" t="n">
        <v>0</v>
      </c>
      <c r="N448" s="3" t="s">
        <v>19</v>
      </c>
    </row>
    <row r="449" customFormat="false" ht="15" hidden="false" customHeight="false" outlineLevel="0" collapsed="false">
      <c r="A449" s="3" t="s">
        <v>479</v>
      </c>
      <c r="B449" s="3" t="n">
        <v>38</v>
      </c>
      <c r="C449" s="3" t="s">
        <v>45</v>
      </c>
      <c r="D449" s="3" t="s">
        <v>23</v>
      </c>
      <c r="E449" s="3" t="s">
        <v>28</v>
      </c>
      <c r="F449" s="3" t="n">
        <v>2.6</v>
      </c>
      <c r="G449" s="3" t="n">
        <v>4906.09</v>
      </c>
      <c r="H449" s="3" t="s">
        <v>19</v>
      </c>
      <c r="I449" s="3" t="n">
        <v>2</v>
      </c>
      <c r="J449" s="3" t="n">
        <v>4</v>
      </c>
      <c r="K449" s="3" t="n">
        <v>4</v>
      </c>
      <c r="L449" s="3" t="n">
        <v>2</v>
      </c>
      <c r="M449" s="3" t="n">
        <v>2</v>
      </c>
      <c r="N449" s="3" t="s">
        <v>19</v>
      </c>
    </row>
    <row r="450" customFormat="false" ht="15" hidden="false" customHeight="false" outlineLevel="0" collapsed="false">
      <c r="A450" s="3" t="s">
        <v>480</v>
      </c>
      <c r="B450" s="3" t="n">
        <v>26</v>
      </c>
      <c r="C450" s="3" t="s">
        <v>22</v>
      </c>
      <c r="D450" s="3" t="s">
        <v>27</v>
      </c>
      <c r="E450" s="3" t="s">
        <v>24</v>
      </c>
      <c r="F450" s="3" t="n">
        <v>1.5</v>
      </c>
      <c r="G450" s="3" t="n">
        <v>6312.81</v>
      </c>
      <c r="H450" s="3" t="s">
        <v>20</v>
      </c>
      <c r="I450" s="3" t="n">
        <v>2</v>
      </c>
      <c r="J450" s="3" t="n">
        <v>4</v>
      </c>
      <c r="K450" s="3" t="n">
        <v>7</v>
      </c>
      <c r="L450" s="3" t="n">
        <v>0</v>
      </c>
      <c r="M450" s="3" t="n">
        <v>3</v>
      </c>
      <c r="N450" s="3" t="s">
        <v>19</v>
      </c>
    </row>
    <row r="451" customFormat="false" ht="15" hidden="false" customHeight="false" outlineLevel="0" collapsed="false">
      <c r="A451" s="3" t="s">
        <v>481</v>
      </c>
      <c r="B451" s="3" t="n">
        <v>23</v>
      </c>
      <c r="C451" s="3" t="s">
        <v>22</v>
      </c>
      <c r="D451" s="3" t="s">
        <v>23</v>
      </c>
      <c r="E451" s="3" t="s">
        <v>18</v>
      </c>
      <c r="F451" s="3" t="n">
        <v>0.1</v>
      </c>
      <c r="G451" s="3" t="n">
        <v>4483.23</v>
      </c>
      <c r="H451" s="3" t="s">
        <v>20</v>
      </c>
      <c r="I451" s="3" t="n">
        <v>4</v>
      </c>
      <c r="J451" s="3" t="n">
        <v>2</v>
      </c>
      <c r="K451" s="3" t="n">
        <v>15</v>
      </c>
      <c r="L451" s="3" t="n">
        <v>0</v>
      </c>
      <c r="M451" s="3" t="n">
        <v>3</v>
      </c>
      <c r="N451" s="3" t="s">
        <v>19</v>
      </c>
    </row>
    <row r="452" customFormat="false" ht="15" hidden="false" customHeight="false" outlineLevel="0" collapsed="false">
      <c r="A452" s="3" t="s">
        <v>482</v>
      </c>
      <c r="B452" s="3" t="n">
        <v>21</v>
      </c>
      <c r="C452" s="3" t="s">
        <v>22</v>
      </c>
      <c r="D452" s="3" t="s">
        <v>27</v>
      </c>
      <c r="E452" s="3" t="s">
        <v>41</v>
      </c>
      <c r="F452" s="3" t="n">
        <v>0</v>
      </c>
      <c r="G452" s="3" t="n">
        <v>6275.76</v>
      </c>
      <c r="H452" s="3" t="s">
        <v>19</v>
      </c>
      <c r="I452" s="3" t="n">
        <v>4</v>
      </c>
      <c r="J452" s="3" t="n">
        <v>4</v>
      </c>
      <c r="K452" s="3" t="n">
        <v>7</v>
      </c>
      <c r="L452" s="3" t="n">
        <v>0</v>
      </c>
      <c r="M452" s="3" t="n">
        <v>4</v>
      </c>
      <c r="N452" s="3" t="s">
        <v>19</v>
      </c>
    </row>
    <row r="453" customFormat="false" ht="15" hidden="false" customHeight="false" outlineLevel="0" collapsed="false">
      <c r="A453" s="3" t="s">
        <v>483</v>
      </c>
      <c r="B453" s="3" t="n">
        <v>32</v>
      </c>
      <c r="C453" s="3" t="s">
        <v>45</v>
      </c>
      <c r="D453" s="3" t="s">
        <v>23</v>
      </c>
      <c r="E453" s="3" t="s">
        <v>24</v>
      </c>
      <c r="F453" s="3" t="n">
        <v>1.1</v>
      </c>
      <c r="G453" s="3" t="n">
        <v>5386.56</v>
      </c>
      <c r="H453" s="3" t="s">
        <v>19</v>
      </c>
      <c r="I453" s="3" t="n">
        <v>4</v>
      </c>
      <c r="J453" s="3" t="n">
        <v>3</v>
      </c>
      <c r="K453" s="3" t="n">
        <v>8</v>
      </c>
      <c r="L453" s="3" t="n">
        <v>0</v>
      </c>
      <c r="M453" s="3" t="n">
        <v>3</v>
      </c>
      <c r="N453" s="3" t="s">
        <v>19</v>
      </c>
    </row>
    <row r="454" customFormat="false" ht="15" hidden="false" customHeight="false" outlineLevel="0" collapsed="false">
      <c r="A454" s="3" t="s">
        <v>484</v>
      </c>
      <c r="B454" s="3" t="n">
        <v>30</v>
      </c>
      <c r="C454" s="3" t="s">
        <v>16</v>
      </c>
      <c r="D454" s="3" t="s">
        <v>17</v>
      </c>
      <c r="E454" s="3" t="s">
        <v>41</v>
      </c>
      <c r="F454" s="3" t="n">
        <v>0.5</v>
      </c>
      <c r="G454" s="3" t="n">
        <v>3760.86</v>
      </c>
      <c r="H454" s="3" t="s">
        <v>20</v>
      </c>
      <c r="I454" s="3" t="n">
        <v>2</v>
      </c>
      <c r="J454" s="3" t="n">
        <v>2</v>
      </c>
      <c r="K454" s="3" t="n">
        <v>12</v>
      </c>
      <c r="L454" s="3" t="n">
        <v>0</v>
      </c>
      <c r="M454" s="3" t="n">
        <v>2</v>
      </c>
      <c r="N454" s="3" t="s">
        <v>20</v>
      </c>
    </row>
    <row r="455" customFormat="false" ht="15" hidden="false" customHeight="false" outlineLevel="0" collapsed="false">
      <c r="A455" s="3" t="s">
        <v>485</v>
      </c>
      <c r="B455" s="3" t="n">
        <v>30</v>
      </c>
      <c r="C455" s="3" t="s">
        <v>22</v>
      </c>
      <c r="D455" s="3" t="s">
        <v>17</v>
      </c>
      <c r="E455" s="3" t="s">
        <v>41</v>
      </c>
      <c r="F455" s="3" t="n">
        <v>5.1</v>
      </c>
      <c r="G455" s="3" t="n">
        <v>3431.98</v>
      </c>
      <c r="H455" s="3" t="s">
        <v>19</v>
      </c>
      <c r="I455" s="3" t="n">
        <v>1</v>
      </c>
      <c r="J455" s="3" t="n">
        <v>1</v>
      </c>
      <c r="K455" s="3" t="n">
        <v>1</v>
      </c>
      <c r="L455" s="3" t="n">
        <v>4</v>
      </c>
      <c r="M455" s="3" t="n">
        <v>2</v>
      </c>
      <c r="N455" s="3" t="s">
        <v>20</v>
      </c>
    </row>
    <row r="456" customFormat="false" ht="15" hidden="false" customHeight="false" outlineLevel="0" collapsed="false">
      <c r="A456" s="3" t="s">
        <v>486</v>
      </c>
      <c r="B456" s="3" t="n">
        <v>39</v>
      </c>
      <c r="C456" s="3" t="s">
        <v>45</v>
      </c>
      <c r="D456" s="3" t="s">
        <v>23</v>
      </c>
      <c r="E456" s="3" t="s">
        <v>41</v>
      </c>
      <c r="F456" s="3" t="n">
        <v>1.6</v>
      </c>
      <c r="G456" s="3" t="n">
        <v>5303.65</v>
      </c>
      <c r="H456" s="3" t="s">
        <v>19</v>
      </c>
      <c r="I456" s="3" t="n">
        <v>4</v>
      </c>
      <c r="J456" s="3" t="n">
        <v>4</v>
      </c>
      <c r="K456" s="3" t="n">
        <v>15</v>
      </c>
      <c r="L456" s="3" t="n">
        <v>1</v>
      </c>
      <c r="M456" s="3" t="n">
        <v>3</v>
      </c>
      <c r="N456" s="3" t="s">
        <v>19</v>
      </c>
    </row>
    <row r="457" customFormat="false" ht="15" hidden="false" customHeight="false" outlineLevel="0" collapsed="false">
      <c r="A457" s="3" t="s">
        <v>487</v>
      </c>
      <c r="B457" s="3" t="n">
        <v>24</v>
      </c>
      <c r="C457" s="3" t="s">
        <v>32</v>
      </c>
      <c r="D457" s="3" t="s">
        <v>23</v>
      </c>
      <c r="E457" s="3" t="s">
        <v>28</v>
      </c>
      <c r="F457" s="3" t="n">
        <v>3</v>
      </c>
      <c r="G457" s="3" t="n">
        <v>5402.61</v>
      </c>
      <c r="H457" s="3" t="s">
        <v>20</v>
      </c>
      <c r="I457" s="3" t="n">
        <v>2</v>
      </c>
      <c r="J457" s="3" t="n">
        <v>1</v>
      </c>
      <c r="K457" s="3" t="n">
        <v>10</v>
      </c>
      <c r="L457" s="3" t="n">
        <v>3</v>
      </c>
      <c r="M457" s="3" t="n">
        <v>5</v>
      </c>
      <c r="N457" s="3" t="s">
        <v>20</v>
      </c>
    </row>
    <row r="458" customFormat="false" ht="15" hidden="false" customHeight="false" outlineLevel="0" collapsed="false">
      <c r="A458" s="3" t="s">
        <v>488</v>
      </c>
      <c r="B458" s="3" t="n">
        <v>21</v>
      </c>
      <c r="C458" s="3" t="s">
        <v>45</v>
      </c>
      <c r="D458" s="3" t="s">
        <v>23</v>
      </c>
      <c r="E458" s="3" t="s">
        <v>41</v>
      </c>
      <c r="F458" s="3" t="n">
        <v>0</v>
      </c>
      <c r="G458" s="3" t="n">
        <v>4305.04</v>
      </c>
      <c r="H458" s="3" t="s">
        <v>19</v>
      </c>
      <c r="I458" s="3" t="n">
        <v>3</v>
      </c>
      <c r="J458" s="3" t="n">
        <v>3</v>
      </c>
      <c r="K458" s="3" t="n">
        <v>2</v>
      </c>
      <c r="L458" s="3" t="n">
        <v>0</v>
      </c>
      <c r="M458" s="3" t="n">
        <v>3</v>
      </c>
      <c r="N458" s="3" t="s">
        <v>19</v>
      </c>
    </row>
    <row r="459" customFormat="false" ht="15" hidden="false" customHeight="false" outlineLevel="0" collapsed="false">
      <c r="A459" s="3" t="s">
        <v>489</v>
      </c>
      <c r="B459" s="3" t="n">
        <v>28</v>
      </c>
      <c r="C459" s="3" t="s">
        <v>16</v>
      </c>
      <c r="D459" s="3" t="s">
        <v>17</v>
      </c>
      <c r="E459" s="3" t="s">
        <v>18</v>
      </c>
      <c r="F459" s="3" t="n">
        <v>0.2</v>
      </c>
      <c r="G459" s="3" t="n">
        <v>2724.42</v>
      </c>
      <c r="H459" s="3" t="s">
        <v>19</v>
      </c>
      <c r="I459" s="3" t="n">
        <v>4</v>
      </c>
      <c r="J459" s="3" t="n">
        <v>3</v>
      </c>
      <c r="K459" s="3" t="n">
        <v>7</v>
      </c>
      <c r="L459" s="3" t="n">
        <v>0</v>
      </c>
      <c r="M459" s="3" t="n">
        <v>4</v>
      </c>
      <c r="N459" s="3" t="s">
        <v>19</v>
      </c>
    </row>
    <row r="460" customFormat="false" ht="15" hidden="false" customHeight="false" outlineLevel="0" collapsed="false">
      <c r="A460" s="3" t="s">
        <v>490</v>
      </c>
      <c r="B460" s="3" t="n">
        <v>21</v>
      </c>
      <c r="C460" s="3" t="s">
        <v>24</v>
      </c>
      <c r="D460" s="3" t="s">
        <v>17</v>
      </c>
      <c r="E460" s="3" t="s">
        <v>41</v>
      </c>
      <c r="F460" s="3" t="n">
        <v>0</v>
      </c>
      <c r="G460" s="3" t="n">
        <v>2990.8</v>
      </c>
      <c r="H460" s="3" t="s">
        <v>19</v>
      </c>
      <c r="I460" s="3" t="n">
        <v>4</v>
      </c>
      <c r="J460" s="3" t="n">
        <v>4</v>
      </c>
      <c r="K460" s="3" t="n">
        <v>5</v>
      </c>
      <c r="L460" s="3" t="n">
        <v>0</v>
      </c>
      <c r="M460" s="3" t="n">
        <v>3</v>
      </c>
      <c r="N460" s="3" t="s">
        <v>19</v>
      </c>
    </row>
    <row r="461" customFormat="false" ht="15" hidden="false" customHeight="false" outlineLevel="0" collapsed="false">
      <c r="A461" s="3" t="s">
        <v>491</v>
      </c>
      <c r="B461" s="3" t="n">
        <v>25</v>
      </c>
      <c r="C461" s="3" t="s">
        <v>45</v>
      </c>
      <c r="D461" s="3" t="s">
        <v>23</v>
      </c>
      <c r="E461" s="3" t="s">
        <v>24</v>
      </c>
      <c r="F461" s="3" t="n">
        <v>4</v>
      </c>
      <c r="G461" s="3" t="n">
        <v>4395.11</v>
      </c>
      <c r="H461" s="3" t="s">
        <v>20</v>
      </c>
      <c r="I461" s="3" t="n">
        <v>1</v>
      </c>
      <c r="J461" s="3" t="n">
        <v>4</v>
      </c>
      <c r="K461" s="3" t="n">
        <v>1</v>
      </c>
      <c r="L461" s="3" t="n">
        <v>0</v>
      </c>
      <c r="M461" s="3" t="n">
        <v>2</v>
      </c>
      <c r="N461" s="3" t="s">
        <v>19</v>
      </c>
    </row>
    <row r="462" customFormat="false" ht="15" hidden="false" customHeight="false" outlineLevel="0" collapsed="false">
      <c r="A462" s="3" t="s">
        <v>492</v>
      </c>
      <c r="B462" s="3" t="n">
        <v>42</v>
      </c>
      <c r="C462" s="3" t="s">
        <v>32</v>
      </c>
      <c r="D462" s="3" t="s">
        <v>23</v>
      </c>
      <c r="E462" s="3" t="s">
        <v>18</v>
      </c>
      <c r="F462" s="3" t="n">
        <v>1.4</v>
      </c>
      <c r="G462" s="3" t="n">
        <v>4956.81</v>
      </c>
      <c r="H462" s="3" t="s">
        <v>19</v>
      </c>
      <c r="I462" s="3" t="n">
        <v>4</v>
      </c>
      <c r="J462" s="3" t="n">
        <v>3</v>
      </c>
      <c r="K462" s="3" t="n">
        <v>10</v>
      </c>
      <c r="L462" s="3" t="n">
        <v>1</v>
      </c>
      <c r="M462" s="3" t="n">
        <v>4</v>
      </c>
      <c r="N462" s="3" t="s">
        <v>19</v>
      </c>
    </row>
    <row r="463" customFormat="false" ht="15" hidden="false" customHeight="false" outlineLevel="0" collapsed="false">
      <c r="A463" s="3" t="s">
        <v>493</v>
      </c>
      <c r="B463" s="3" t="n">
        <v>41</v>
      </c>
      <c r="C463" s="3" t="s">
        <v>26</v>
      </c>
      <c r="D463" s="3" t="s">
        <v>23</v>
      </c>
      <c r="E463" s="3" t="s">
        <v>28</v>
      </c>
      <c r="F463" s="3" t="n">
        <v>0.2</v>
      </c>
      <c r="G463" s="3" t="n">
        <v>4777.69</v>
      </c>
      <c r="H463" s="3" t="s">
        <v>20</v>
      </c>
      <c r="I463" s="3" t="n">
        <v>1</v>
      </c>
      <c r="J463" s="3" t="n">
        <v>3</v>
      </c>
      <c r="K463" s="3" t="n">
        <v>12</v>
      </c>
      <c r="L463" s="3" t="n">
        <v>0</v>
      </c>
      <c r="M463" s="3" t="n">
        <v>3</v>
      </c>
      <c r="N463" s="3" t="s">
        <v>20</v>
      </c>
    </row>
    <row r="464" customFormat="false" ht="15" hidden="false" customHeight="false" outlineLevel="0" collapsed="false">
      <c r="A464" s="3" t="s">
        <v>494</v>
      </c>
      <c r="B464" s="3" t="n">
        <v>37</v>
      </c>
      <c r="C464" s="3" t="s">
        <v>24</v>
      </c>
      <c r="D464" s="3" t="s">
        <v>17</v>
      </c>
      <c r="E464" s="3" t="s">
        <v>18</v>
      </c>
      <c r="F464" s="3" t="n">
        <v>2</v>
      </c>
      <c r="G464" s="3" t="n">
        <v>3071.46</v>
      </c>
      <c r="H464" s="3" t="s">
        <v>19</v>
      </c>
      <c r="I464" s="3" t="n">
        <v>2</v>
      </c>
      <c r="J464" s="3" t="n">
        <v>3</v>
      </c>
      <c r="K464" s="3" t="n">
        <v>1</v>
      </c>
      <c r="L464" s="3" t="n">
        <v>0</v>
      </c>
      <c r="M464" s="3" t="n">
        <v>2</v>
      </c>
      <c r="N464" s="3" t="s">
        <v>19</v>
      </c>
    </row>
    <row r="465" customFormat="false" ht="15" hidden="false" customHeight="false" outlineLevel="0" collapsed="false">
      <c r="A465" s="3" t="s">
        <v>495</v>
      </c>
      <c r="B465" s="3" t="n">
        <v>48</v>
      </c>
      <c r="C465" s="3" t="s">
        <v>16</v>
      </c>
      <c r="D465" s="3" t="s">
        <v>23</v>
      </c>
      <c r="E465" s="3" t="s">
        <v>18</v>
      </c>
      <c r="F465" s="3" t="n">
        <v>2</v>
      </c>
      <c r="G465" s="3" t="n">
        <v>4901.54</v>
      </c>
      <c r="H465" s="3" t="s">
        <v>19</v>
      </c>
      <c r="I465" s="3" t="n">
        <v>3</v>
      </c>
      <c r="J465" s="3" t="n">
        <v>2</v>
      </c>
      <c r="K465" s="3" t="n">
        <v>9</v>
      </c>
      <c r="L465" s="3" t="n">
        <v>0</v>
      </c>
      <c r="M465" s="3" t="n">
        <v>1</v>
      </c>
      <c r="N465" s="3" t="s">
        <v>20</v>
      </c>
    </row>
    <row r="466" customFormat="false" ht="15" hidden="false" customHeight="false" outlineLevel="0" collapsed="false">
      <c r="A466" s="3" t="s">
        <v>496</v>
      </c>
      <c r="B466" s="3" t="n">
        <v>46</v>
      </c>
      <c r="C466" s="3" t="s">
        <v>22</v>
      </c>
      <c r="D466" s="3" t="s">
        <v>23</v>
      </c>
      <c r="E466" s="3" t="s">
        <v>28</v>
      </c>
      <c r="F466" s="3" t="n">
        <v>0.4</v>
      </c>
      <c r="G466" s="3" t="n">
        <v>5052.64</v>
      </c>
      <c r="H466" s="3" t="s">
        <v>19</v>
      </c>
      <c r="I466" s="3" t="n">
        <v>4</v>
      </c>
      <c r="J466" s="3" t="n">
        <v>4</v>
      </c>
      <c r="K466" s="3" t="n">
        <v>4</v>
      </c>
      <c r="L466" s="3" t="n">
        <v>0</v>
      </c>
      <c r="M466" s="3" t="n">
        <v>0</v>
      </c>
      <c r="N466" s="3" t="s">
        <v>19</v>
      </c>
    </row>
    <row r="467" customFormat="false" ht="15" hidden="false" customHeight="false" outlineLevel="0" collapsed="false">
      <c r="A467" s="3" t="s">
        <v>497</v>
      </c>
      <c r="B467" s="3" t="n">
        <v>34</v>
      </c>
      <c r="C467" s="3" t="s">
        <v>45</v>
      </c>
      <c r="D467" s="3" t="s">
        <v>48</v>
      </c>
      <c r="E467" s="3" t="s">
        <v>28</v>
      </c>
      <c r="F467" s="3" t="n">
        <v>6.2</v>
      </c>
      <c r="G467" s="3" t="n">
        <v>10211.69</v>
      </c>
      <c r="H467" s="3" t="s">
        <v>19</v>
      </c>
      <c r="I467" s="3" t="n">
        <v>2</v>
      </c>
      <c r="J467" s="3" t="n">
        <v>2</v>
      </c>
      <c r="K467" s="3" t="n">
        <v>1</v>
      </c>
      <c r="L467" s="3" t="n">
        <v>1</v>
      </c>
      <c r="M467" s="3" t="n">
        <v>1</v>
      </c>
      <c r="N467" s="3" t="s">
        <v>19</v>
      </c>
    </row>
    <row r="468" customFormat="false" ht="15" hidden="false" customHeight="false" outlineLevel="0" collapsed="false">
      <c r="A468" s="3" t="s">
        <v>498</v>
      </c>
      <c r="B468" s="3" t="n">
        <v>32</v>
      </c>
      <c r="C468" s="3" t="s">
        <v>26</v>
      </c>
      <c r="D468" s="3" t="s">
        <v>17</v>
      </c>
      <c r="E468" s="3" t="s">
        <v>41</v>
      </c>
      <c r="F468" s="3" t="n">
        <v>4.4</v>
      </c>
      <c r="G468" s="3" t="n">
        <v>3282.87</v>
      </c>
      <c r="H468" s="3" t="s">
        <v>20</v>
      </c>
      <c r="I468" s="3" t="n">
        <v>4</v>
      </c>
      <c r="J468" s="3" t="n">
        <v>3</v>
      </c>
      <c r="K468" s="3" t="n">
        <v>13</v>
      </c>
      <c r="L468" s="3" t="n">
        <v>3</v>
      </c>
      <c r="M468" s="3" t="n">
        <v>3</v>
      </c>
      <c r="N468" s="3" t="s">
        <v>19</v>
      </c>
    </row>
    <row r="469" customFormat="false" ht="15" hidden="false" customHeight="false" outlineLevel="0" collapsed="false">
      <c r="A469" s="3" t="s">
        <v>499</v>
      </c>
      <c r="B469" s="3" t="n">
        <v>34</v>
      </c>
      <c r="C469" s="3" t="s">
        <v>26</v>
      </c>
      <c r="D469" s="3" t="s">
        <v>27</v>
      </c>
      <c r="E469" s="3" t="s">
        <v>18</v>
      </c>
      <c r="F469" s="3" t="n">
        <v>3.8</v>
      </c>
      <c r="G469" s="3" t="n">
        <v>7842.96</v>
      </c>
      <c r="H469" s="3" t="s">
        <v>19</v>
      </c>
      <c r="I469" s="3" t="n">
        <v>3</v>
      </c>
      <c r="J469" s="3" t="n">
        <v>2</v>
      </c>
      <c r="K469" s="3" t="n">
        <v>4</v>
      </c>
      <c r="L469" s="3" t="n">
        <v>3</v>
      </c>
      <c r="M469" s="3" t="n">
        <v>2</v>
      </c>
      <c r="N469" s="3" t="s">
        <v>19</v>
      </c>
    </row>
    <row r="470" customFormat="false" ht="15" hidden="false" customHeight="false" outlineLevel="0" collapsed="false">
      <c r="A470" s="3" t="s">
        <v>500</v>
      </c>
      <c r="B470" s="3" t="n">
        <v>24</v>
      </c>
      <c r="C470" s="3" t="s">
        <v>26</v>
      </c>
      <c r="D470" s="3" t="s">
        <v>27</v>
      </c>
      <c r="E470" s="3" t="s">
        <v>24</v>
      </c>
      <c r="F470" s="3" t="n">
        <v>2.8</v>
      </c>
      <c r="G470" s="3" t="n">
        <v>7573.87</v>
      </c>
      <c r="H470" s="3" t="s">
        <v>20</v>
      </c>
      <c r="I470" s="3" t="n">
        <v>1</v>
      </c>
      <c r="J470" s="3" t="n">
        <v>4</v>
      </c>
      <c r="K470" s="3" t="n">
        <v>13</v>
      </c>
      <c r="L470" s="3" t="n">
        <v>1</v>
      </c>
      <c r="M470" s="3" t="n">
        <v>0</v>
      </c>
      <c r="N470" s="3" t="s">
        <v>19</v>
      </c>
    </row>
    <row r="471" customFormat="false" ht="15" hidden="false" customHeight="false" outlineLevel="0" collapsed="false">
      <c r="A471" s="3" t="s">
        <v>501</v>
      </c>
      <c r="B471" s="3" t="n">
        <v>29</v>
      </c>
      <c r="C471" s="3" t="s">
        <v>16</v>
      </c>
      <c r="D471" s="3" t="s">
        <v>48</v>
      </c>
      <c r="E471" s="3" t="s">
        <v>28</v>
      </c>
      <c r="F471" s="3" t="n">
        <v>1.7</v>
      </c>
      <c r="G471" s="3" t="n">
        <v>10270.14</v>
      </c>
      <c r="H471" s="3" t="s">
        <v>19</v>
      </c>
      <c r="I471" s="3" t="n">
        <v>3</v>
      </c>
      <c r="J471" s="3" t="n">
        <v>3</v>
      </c>
      <c r="K471" s="3" t="n">
        <v>10</v>
      </c>
      <c r="L471" s="3" t="n">
        <v>0</v>
      </c>
      <c r="M471" s="3" t="n">
        <v>3</v>
      </c>
      <c r="N471" s="3" t="s">
        <v>19</v>
      </c>
    </row>
    <row r="472" customFormat="false" ht="15" hidden="false" customHeight="false" outlineLevel="0" collapsed="false">
      <c r="A472" s="3" t="s">
        <v>502</v>
      </c>
      <c r="B472" s="3" t="n">
        <v>32</v>
      </c>
      <c r="C472" s="3" t="s">
        <v>24</v>
      </c>
      <c r="D472" s="3" t="s">
        <v>17</v>
      </c>
      <c r="E472" s="3" t="s">
        <v>18</v>
      </c>
      <c r="F472" s="3" t="n">
        <v>8</v>
      </c>
      <c r="G472" s="3" t="n">
        <v>3562.61</v>
      </c>
      <c r="H472" s="3" t="s">
        <v>19</v>
      </c>
      <c r="I472" s="3" t="n">
        <v>1</v>
      </c>
      <c r="J472" s="3" t="n">
        <v>4</v>
      </c>
      <c r="K472" s="3" t="n">
        <v>1</v>
      </c>
      <c r="L472" s="3" t="n">
        <v>1</v>
      </c>
      <c r="M472" s="3" t="n">
        <v>1</v>
      </c>
      <c r="N472" s="3" t="s">
        <v>19</v>
      </c>
    </row>
    <row r="473" customFormat="false" ht="15" hidden="false" customHeight="false" outlineLevel="0" collapsed="false">
      <c r="A473" s="3" t="s">
        <v>503</v>
      </c>
      <c r="B473" s="3" t="n">
        <v>34</v>
      </c>
      <c r="C473" s="3" t="s">
        <v>45</v>
      </c>
      <c r="D473" s="3" t="s">
        <v>23</v>
      </c>
      <c r="E473" s="3" t="s">
        <v>18</v>
      </c>
      <c r="F473" s="3" t="n">
        <v>0</v>
      </c>
      <c r="G473" s="3" t="n">
        <v>5712.7</v>
      </c>
      <c r="H473" s="3" t="s">
        <v>19</v>
      </c>
      <c r="I473" s="3" t="n">
        <v>3</v>
      </c>
      <c r="J473" s="3" t="n">
        <v>4</v>
      </c>
      <c r="K473" s="3" t="n">
        <v>34</v>
      </c>
      <c r="L473" s="3" t="n">
        <v>0</v>
      </c>
      <c r="M473" s="3" t="n">
        <v>0</v>
      </c>
      <c r="N473" s="3" t="s">
        <v>19</v>
      </c>
    </row>
    <row r="474" customFormat="false" ht="15" hidden="false" customHeight="false" outlineLevel="0" collapsed="false">
      <c r="A474" s="3" t="s">
        <v>504</v>
      </c>
      <c r="B474" s="3" t="n">
        <v>33</v>
      </c>
      <c r="C474" s="3" t="s">
        <v>16</v>
      </c>
      <c r="D474" s="3" t="s">
        <v>23</v>
      </c>
      <c r="E474" s="3" t="s">
        <v>18</v>
      </c>
      <c r="F474" s="3" t="n">
        <v>4.8</v>
      </c>
      <c r="G474" s="3" t="n">
        <v>5450.32</v>
      </c>
      <c r="H474" s="3" t="s">
        <v>19</v>
      </c>
      <c r="I474" s="3" t="n">
        <v>4</v>
      </c>
      <c r="J474" s="3" t="n">
        <v>4</v>
      </c>
      <c r="K474" s="3" t="n">
        <v>2</v>
      </c>
      <c r="L474" s="3" t="n">
        <v>4</v>
      </c>
      <c r="M474" s="3" t="n">
        <v>1</v>
      </c>
      <c r="N474" s="3" t="s">
        <v>19</v>
      </c>
    </row>
    <row r="475" customFormat="false" ht="15" hidden="false" customHeight="false" outlineLevel="0" collapsed="false">
      <c r="A475" s="3" t="s">
        <v>505</v>
      </c>
      <c r="B475" s="3" t="n">
        <v>21</v>
      </c>
      <c r="C475" s="3" t="s">
        <v>22</v>
      </c>
      <c r="D475" s="3" t="s">
        <v>23</v>
      </c>
      <c r="E475" s="3" t="s">
        <v>41</v>
      </c>
      <c r="F475" s="3" t="n">
        <v>0</v>
      </c>
      <c r="G475" s="3" t="n">
        <v>5528.9</v>
      </c>
      <c r="H475" s="3" t="s">
        <v>19</v>
      </c>
      <c r="I475" s="3" t="n">
        <v>2</v>
      </c>
      <c r="J475" s="3" t="n">
        <v>3</v>
      </c>
      <c r="K475" s="3" t="n">
        <v>1</v>
      </c>
      <c r="L475" s="3" t="n">
        <v>0</v>
      </c>
      <c r="M475" s="3" t="n">
        <v>1</v>
      </c>
      <c r="N475" s="3" t="s">
        <v>19</v>
      </c>
    </row>
    <row r="476" customFormat="false" ht="15" hidden="false" customHeight="false" outlineLevel="0" collapsed="false">
      <c r="A476" s="3" t="s">
        <v>506</v>
      </c>
      <c r="B476" s="3" t="n">
        <v>25</v>
      </c>
      <c r="C476" s="3" t="s">
        <v>26</v>
      </c>
      <c r="D476" s="3" t="s">
        <v>23</v>
      </c>
      <c r="E476" s="3" t="s">
        <v>24</v>
      </c>
      <c r="F476" s="3" t="n">
        <v>3.1</v>
      </c>
      <c r="G476" s="3" t="n">
        <v>4672.35</v>
      </c>
      <c r="H476" s="3" t="s">
        <v>20</v>
      </c>
      <c r="I476" s="3" t="n">
        <v>2</v>
      </c>
      <c r="J476" s="3" t="n">
        <v>4</v>
      </c>
      <c r="K476" s="3" t="n">
        <v>3</v>
      </c>
      <c r="L476" s="3" t="n">
        <v>0</v>
      </c>
      <c r="M476" s="3" t="n">
        <v>2</v>
      </c>
      <c r="N476" s="3" t="s">
        <v>19</v>
      </c>
    </row>
    <row r="477" customFormat="false" ht="15" hidden="false" customHeight="false" outlineLevel="0" collapsed="false">
      <c r="A477" s="3" t="s">
        <v>507</v>
      </c>
      <c r="B477" s="3" t="n">
        <v>44</v>
      </c>
      <c r="C477" s="3" t="s">
        <v>22</v>
      </c>
      <c r="D477" s="3" t="s">
        <v>17</v>
      </c>
      <c r="E477" s="3" t="s">
        <v>41</v>
      </c>
      <c r="F477" s="3" t="n">
        <v>0.1</v>
      </c>
      <c r="G477" s="3" t="n">
        <v>3815.71</v>
      </c>
      <c r="H477" s="3" t="s">
        <v>19</v>
      </c>
      <c r="I477" s="3" t="n">
        <v>1</v>
      </c>
      <c r="J477" s="3" t="n">
        <v>2</v>
      </c>
      <c r="K477" s="3" t="n">
        <v>9</v>
      </c>
      <c r="L477" s="3" t="n">
        <v>0</v>
      </c>
      <c r="M477" s="3" t="n">
        <v>3</v>
      </c>
      <c r="N477" s="3" t="s">
        <v>20</v>
      </c>
    </row>
    <row r="478" customFormat="false" ht="15" hidden="false" customHeight="false" outlineLevel="0" collapsed="false">
      <c r="A478" s="3" t="s">
        <v>508</v>
      </c>
      <c r="B478" s="3" t="n">
        <v>31</v>
      </c>
      <c r="C478" s="3" t="s">
        <v>24</v>
      </c>
      <c r="D478" s="3" t="s">
        <v>23</v>
      </c>
      <c r="E478" s="3" t="s">
        <v>28</v>
      </c>
      <c r="F478" s="3" t="n">
        <v>1.9</v>
      </c>
      <c r="G478" s="3" t="n">
        <v>4188.49</v>
      </c>
      <c r="H478" s="4" t="s">
        <v>100</v>
      </c>
      <c r="I478" s="3" t="n">
        <v>4</v>
      </c>
      <c r="J478" s="3" t="n">
        <v>3</v>
      </c>
      <c r="K478" s="3" t="n">
        <v>1</v>
      </c>
      <c r="L478" s="3" t="n">
        <v>1</v>
      </c>
      <c r="M478" s="3" t="n">
        <v>3</v>
      </c>
      <c r="N478" s="3" t="s">
        <v>19</v>
      </c>
    </row>
    <row r="479" customFormat="false" ht="15" hidden="false" customHeight="false" outlineLevel="0" collapsed="false">
      <c r="A479" s="3" t="s">
        <v>509</v>
      </c>
      <c r="B479" s="3" t="n">
        <v>54</v>
      </c>
      <c r="C479" s="3" t="s">
        <v>24</v>
      </c>
      <c r="D479" s="3" t="s">
        <v>48</v>
      </c>
      <c r="E479" s="3" t="s">
        <v>41</v>
      </c>
      <c r="F479" s="3" t="n">
        <v>0.9</v>
      </c>
      <c r="G479" s="3" t="n">
        <v>8256.24</v>
      </c>
      <c r="H479" s="3" t="s">
        <v>19</v>
      </c>
      <c r="I479" s="3" t="n">
        <v>2</v>
      </c>
      <c r="J479" s="3" t="n">
        <v>3</v>
      </c>
      <c r="K479" s="3" t="n">
        <v>7</v>
      </c>
      <c r="L479" s="3" t="n">
        <v>0</v>
      </c>
      <c r="M479" s="3" t="n">
        <v>3</v>
      </c>
      <c r="N479" s="3" t="s">
        <v>20</v>
      </c>
    </row>
    <row r="480" customFormat="false" ht="15" hidden="false" customHeight="false" outlineLevel="0" collapsed="false">
      <c r="A480" s="3" t="s">
        <v>510</v>
      </c>
      <c r="B480" s="3" t="n">
        <v>27</v>
      </c>
      <c r="C480" s="3" t="s">
        <v>22</v>
      </c>
      <c r="D480" s="3" t="s">
        <v>17</v>
      </c>
      <c r="E480" s="3" t="s">
        <v>18</v>
      </c>
      <c r="F480" s="3" t="n">
        <v>1</v>
      </c>
      <c r="G480" s="3" t="n">
        <v>3132.74</v>
      </c>
      <c r="H480" s="3" t="s">
        <v>19</v>
      </c>
      <c r="I480" s="3" t="n">
        <v>4</v>
      </c>
      <c r="J480" s="3" t="n">
        <v>4</v>
      </c>
      <c r="K480" s="3" t="n">
        <v>2</v>
      </c>
      <c r="L480" s="3" t="n">
        <v>1</v>
      </c>
      <c r="M480" s="3" t="n">
        <v>1</v>
      </c>
      <c r="N480" s="3" t="s">
        <v>19</v>
      </c>
    </row>
    <row r="481" customFormat="false" ht="15" hidden="false" customHeight="false" outlineLevel="0" collapsed="false">
      <c r="A481" s="3" t="s">
        <v>511</v>
      </c>
      <c r="B481" s="3" t="n">
        <v>48</v>
      </c>
      <c r="C481" s="3" t="s">
        <v>32</v>
      </c>
      <c r="D481" s="3" t="s">
        <v>23</v>
      </c>
      <c r="E481" s="3" t="s">
        <v>41</v>
      </c>
      <c r="F481" s="3" t="n">
        <v>0.3</v>
      </c>
      <c r="G481" s="3" t="n">
        <v>4971.59</v>
      </c>
      <c r="H481" s="3" t="s">
        <v>20</v>
      </c>
      <c r="I481" s="3" t="n">
        <v>2</v>
      </c>
      <c r="J481" s="3" t="n">
        <v>3</v>
      </c>
      <c r="K481" s="3" t="n">
        <v>1</v>
      </c>
      <c r="L481" s="3" t="n">
        <v>0</v>
      </c>
      <c r="M481" s="3" t="n">
        <v>4</v>
      </c>
      <c r="N481" s="3" t="s">
        <v>19</v>
      </c>
    </row>
    <row r="482" customFormat="false" ht="15" hidden="false" customHeight="false" outlineLevel="0" collapsed="false">
      <c r="A482" s="3" t="s">
        <v>512</v>
      </c>
      <c r="B482" s="3" t="n">
        <v>31</v>
      </c>
      <c r="C482" s="3" t="s">
        <v>26</v>
      </c>
      <c r="D482" s="3" t="s">
        <v>27</v>
      </c>
      <c r="E482" s="3" t="s">
        <v>28</v>
      </c>
      <c r="F482" s="3" t="n">
        <v>1.1</v>
      </c>
      <c r="G482" s="3" t="n">
        <v>6789.16</v>
      </c>
      <c r="H482" s="3" t="s">
        <v>19</v>
      </c>
      <c r="I482" s="3" t="n">
        <v>4</v>
      </c>
      <c r="J482" s="3" t="n">
        <v>3</v>
      </c>
      <c r="K482" s="3" t="n">
        <v>1</v>
      </c>
      <c r="L482" s="3" t="n">
        <v>0</v>
      </c>
      <c r="M482" s="3" t="n">
        <v>4</v>
      </c>
      <c r="N482" s="3" t="s">
        <v>19</v>
      </c>
    </row>
    <row r="483" customFormat="false" ht="15" hidden="false" customHeight="false" outlineLevel="0" collapsed="false">
      <c r="A483" s="3" t="s">
        <v>513</v>
      </c>
      <c r="B483" s="3" t="n">
        <v>30</v>
      </c>
      <c r="C483" s="3" t="s">
        <v>16</v>
      </c>
      <c r="D483" s="3" t="s">
        <v>23</v>
      </c>
      <c r="E483" s="3" t="s">
        <v>41</v>
      </c>
      <c r="F483" s="3" t="n">
        <v>6.3</v>
      </c>
      <c r="G483" s="3" t="n">
        <v>5704.61</v>
      </c>
      <c r="H483" s="3" t="s">
        <v>19</v>
      </c>
      <c r="I483" s="3" t="n">
        <v>3</v>
      </c>
      <c r="J483" s="3" t="n">
        <v>4</v>
      </c>
      <c r="K483" s="3" t="n">
        <v>2</v>
      </c>
      <c r="L483" s="3" t="n">
        <v>4</v>
      </c>
      <c r="M483" s="3" t="n">
        <v>0</v>
      </c>
      <c r="N483" s="3" t="s">
        <v>19</v>
      </c>
    </row>
    <row r="484" customFormat="false" ht="15" hidden="false" customHeight="false" outlineLevel="0" collapsed="false">
      <c r="A484" s="3" t="s">
        <v>514</v>
      </c>
      <c r="B484" s="3" t="n">
        <v>42</v>
      </c>
      <c r="C484" s="3" t="s">
        <v>16</v>
      </c>
      <c r="D484" s="3" t="s">
        <v>17</v>
      </c>
      <c r="E484" s="3" t="s">
        <v>28</v>
      </c>
      <c r="F484" s="3" t="n">
        <v>1.4</v>
      </c>
      <c r="G484" s="3" t="n">
        <v>3611.23</v>
      </c>
      <c r="H484" s="3" t="s">
        <v>19</v>
      </c>
      <c r="I484" s="3" t="n">
        <v>3</v>
      </c>
      <c r="J484" s="3" t="n">
        <v>2</v>
      </c>
      <c r="K484" s="3" t="n">
        <v>7</v>
      </c>
      <c r="L484" s="3" t="n">
        <v>1</v>
      </c>
      <c r="M484" s="3" t="n">
        <v>1</v>
      </c>
      <c r="N484" s="3" t="s">
        <v>20</v>
      </c>
    </row>
    <row r="485" customFormat="false" ht="15" hidden="false" customHeight="false" outlineLevel="0" collapsed="false">
      <c r="A485" s="3" t="s">
        <v>515</v>
      </c>
      <c r="B485" s="3" t="n">
        <v>39</v>
      </c>
      <c r="C485" s="3" t="s">
        <v>32</v>
      </c>
      <c r="D485" s="3" t="s">
        <v>23</v>
      </c>
      <c r="E485" s="3" t="s">
        <v>28</v>
      </c>
      <c r="F485" s="3" t="n">
        <v>9.6</v>
      </c>
      <c r="G485" s="3" t="n">
        <v>4551.84</v>
      </c>
      <c r="H485" s="3" t="s">
        <v>19</v>
      </c>
      <c r="I485" s="3" t="n">
        <v>2</v>
      </c>
      <c r="J485" s="3" t="n">
        <v>2</v>
      </c>
      <c r="K485" s="3" t="n">
        <v>28</v>
      </c>
      <c r="L485" s="3" t="n">
        <v>2</v>
      </c>
      <c r="M485" s="3" t="n">
        <v>2</v>
      </c>
      <c r="N485" s="3" t="s">
        <v>20</v>
      </c>
    </row>
    <row r="486" customFormat="false" ht="15" hidden="false" customHeight="false" outlineLevel="0" collapsed="false">
      <c r="A486" s="3" t="s">
        <v>516</v>
      </c>
      <c r="B486" s="3" t="n">
        <v>30</v>
      </c>
      <c r="C486" s="3" t="s">
        <v>16</v>
      </c>
      <c r="D486" s="3" t="s">
        <v>23</v>
      </c>
      <c r="E486" s="3" t="s">
        <v>24</v>
      </c>
      <c r="F486" s="3" t="n">
        <v>0.6</v>
      </c>
      <c r="G486" s="3" t="n">
        <v>4511.29</v>
      </c>
      <c r="H486" s="3" t="s">
        <v>19</v>
      </c>
      <c r="I486" s="3" t="n">
        <v>2</v>
      </c>
      <c r="J486" s="3" t="n">
        <v>2</v>
      </c>
      <c r="K486" s="3" t="n">
        <v>12</v>
      </c>
      <c r="L486" s="3" t="n">
        <v>0</v>
      </c>
      <c r="M486" s="3" t="n">
        <v>0</v>
      </c>
      <c r="N486" s="3" t="s">
        <v>20</v>
      </c>
    </row>
    <row r="487" customFormat="false" ht="15" hidden="false" customHeight="false" outlineLevel="0" collapsed="false">
      <c r="A487" s="3" t="s">
        <v>517</v>
      </c>
      <c r="B487" s="3" t="n">
        <v>27</v>
      </c>
      <c r="C487" s="3" t="s">
        <v>24</v>
      </c>
      <c r="D487" s="3" t="s">
        <v>23</v>
      </c>
      <c r="E487" s="3" t="s">
        <v>41</v>
      </c>
      <c r="F487" s="3" t="n">
        <v>1.4</v>
      </c>
      <c r="G487" s="3" t="n">
        <v>5656.11</v>
      </c>
      <c r="H487" s="3" t="s">
        <v>19</v>
      </c>
      <c r="I487" s="3" t="n">
        <v>3</v>
      </c>
      <c r="J487" s="3" t="n">
        <v>2</v>
      </c>
      <c r="K487" s="3" t="n">
        <v>1</v>
      </c>
      <c r="L487" s="3" t="n">
        <v>1</v>
      </c>
      <c r="M487" s="3" t="n">
        <v>3</v>
      </c>
      <c r="N487" s="3" t="s">
        <v>20</v>
      </c>
    </row>
    <row r="488" customFormat="false" ht="15" hidden="false" customHeight="false" outlineLevel="0" collapsed="false">
      <c r="A488" s="3" t="s">
        <v>518</v>
      </c>
      <c r="B488" s="3" t="n">
        <v>31</v>
      </c>
      <c r="C488" s="3" t="s">
        <v>22</v>
      </c>
      <c r="D488" s="3" t="s">
        <v>27</v>
      </c>
      <c r="E488" s="3" t="s">
        <v>24</v>
      </c>
      <c r="F488" s="3" t="n">
        <v>1.9</v>
      </c>
      <c r="G488" s="3" t="n">
        <v>7461.37</v>
      </c>
      <c r="H488" s="3" t="s">
        <v>19</v>
      </c>
      <c r="I488" s="3" t="n">
        <v>3</v>
      </c>
      <c r="J488" s="3" t="n">
        <v>4</v>
      </c>
      <c r="K488" s="3" t="n">
        <v>2</v>
      </c>
      <c r="L488" s="3" t="n">
        <v>1</v>
      </c>
      <c r="M488" s="3" t="n">
        <v>4</v>
      </c>
      <c r="N488" s="3" t="s">
        <v>19</v>
      </c>
    </row>
    <row r="489" customFormat="false" ht="15" hidden="false" customHeight="false" outlineLevel="0" collapsed="false">
      <c r="A489" s="3" t="s">
        <v>519</v>
      </c>
      <c r="B489" s="3" t="n">
        <v>37</v>
      </c>
      <c r="C489" s="3" t="s">
        <v>16</v>
      </c>
      <c r="D489" s="3" t="s">
        <v>23</v>
      </c>
      <c r="E489" s="3" t="s">
        <v>24</v>
      </c>
      <c r="F489" s="3" t="n">
        <v>0.3</v>
      </c>
      <c r="G489" s="3" t="n">
        <v>4607.77</v>
      </c>
      <c r="H489" s="3" t="s">
        <v>20</v>
      </c>
      <c r="I489" s="3" t="n">
        <v>2</v>
      </c>
      <c r="J489" s="3" t="n">
        <v>4</v>
      </c>
      <c r="K489" s="3" t="n">
        <v>15</v>
      </c>
      <c r="L489" s="3" t="n">
        <v>0</v>
      </c>
      <c r="M489" s="3" t="n">
        <v>1</v>
      </c>
      <c r="N489" s="3" t="s">
        <v>19</v>
      </c>
    </row>
    <row r="490" customFormat="false" ht="15" hidden="false" customHeight="false" outlineLevel="0" collapsed="false">
      <c r="A490" s="3" t="s">
        <v>520</v>
      </c>
      <c r="B490" s="3" t="n">
        <v>33</v>
      </c>
      <c r="C490" s="3" t="s">
        <v>26</v>
      </c>
      <c r="D490" s="3" t="s">
        <v>23</v>
      </c>
      <c r="E490" s="3" t="s">
        <v>18</v>
      </c>
      <c r="F490" s="3" t="n">
        <v>2.8</v>
      </c>
      <c r="G490" s="3" t="n">
        <v>4680.33</v>
      </c>
      <c r="H490" s="3" t="s">
        <v>19</v>
      </c>
      <c r="I490" s="3" t="n">
        <v>4</v>
      </c>
      <c r="J490" s="3" t="n">
        <v>4</v>
      </c>
      <c r="K490" s="3" t="n">
        <v>21</v>
      </c>
      <c r="L490" s="3" t="n">
        <v>0</v>
      </c>
      <c r="M490" s="3" t="n">
        <v>3</v>
      </c>
      <c r="N490" s="3" t="s">
        <v>20</v>
      </c>
    </row>
    <row r="491" customFormat="false" ht="15" hidden="false" customHeight="false" outlineLevel="0" collapsed="false">
      <c r="A491" s="3" t="s">
        <v>521</v>
      </c>
      <c r="B491" s="3" t="n">
        <v>39</v>
      </c>
      <c r="C491" s="3" t="s">
        <v>26</v>
      </c>
      <c r="D491" s="3" t="s">
        <v>23</v>
      </c>
      <c r="E491" s="3" t="s">
        <v>24</v>
      </c>
      <c r="F491" s="3" t="n">
        <v>2.4</v>
      </c>
      <c r="G491" s="3" t="n">
        <v>4218.9</v>
      </c>
      <c r="H491" s="3" t="s">
        <v>20</v>
      </c>
      <c r="I491" s="3" t="n">
        <v>4</v>
      </c>
      <c r="J491" s="3" t="n">
        <v>4</v>
      </c>
      <c r="K491" s="3" t="n">
        <v>9</v>
      </c>
      <c r="L491" s="3" t="n">
        <v>1</v>
      </c>
      <c r="M491" s="3" t="n">
        <v>0</v>
      </c>
      <c r="N491" s="3" t="s">
        <v>19</v>
      </c>
    </row>
    <row r="492" customFormat="false" ht="15" hidden="false" customHeight="false" outlineLevel="0" collapsed="false">
      <c r="A492" s="3" t="s">
        <v>522</v>
      </c>
      <c r="B492" s="3" t="n">
        <v>37</v>
      </c>
      <c r="C492" s="3" t="s">
        <v>32</v>
      </c>
      <c r="D492" s="3" t="s">
        <v>17</v>
      </c>
      <c r="E492" s="3" t="s">
        <v>24</v>
      </c>
      <c r="F492" s="3" t="n">
        <v>2.3</v>
      </c>
      <c r="G492" s="3" t="n">
        <v>3500.92</v>
      </c>
      <c r="H492" s="3" t="s">
        <v>19</v>
      </c>
      <c r="I492" s="3" t="n">
        <v>3</v>
      </c>
      <c r="J492" s="3" t="n">
        <v>3</v>
      </c>
      <c r="K492" s="3" t="n">
        <v>1</v>
      </c>
      <c r="L492" s="3" t="n">
        <v>0</v>
      </c>
      <c r="M492" s="3" t="n">
        <v>2</v>
      </c>
      <c r="N492" s="3" t="s">
        <v>19</v>
      </c>
    </row>
    <row r="493" customFormat="false" ht="15" hidden="false" customHeight="false" outlineLevel="0" collapsed="false">
      <c r="A493" s="3" t="s">
        <v>523</v>
      </c>
      <c r="B493" s="3" t="n">
        <v>21</v>
      </c>
      <c r="C493" s="3" t="s">
        <v>32</v>
      </c>
      <c r="D493" s="3" t="s">
        <v>17</v>
      </c>
      <c r="E493" s="3" t="s">
        <v>24</v>
      </c>
      <c r="F493" s="3" t="n">
        <v>0</v>
      </c>
      <c r="G493" s="3" t="n">
        <v>3651.12</v>
      </c>
      <c r="H493" s="3" t="s">
        <v>19</v>
      </c>
      <c r="I493" s="3" t="n">
        <v>3</v>
      </c>
      <c r="J493" s="3" t="n">
        <v>3</v>
      </c>
      <c r="K493" s="3" t="n">
        <v>13</v>
      </c>
      <c r="L493" s="3" t="n">
        <v>0</v>
      </c>
      <c r="M493" s="3" t="n">
        <v>4</v>
      </c>
      <c r="N493" s="3" t="s">
        <v>19</v>
      </c>
    </row>
    <row r="494" customFormat="false" ht="15" hidden="false" customHeight="false" outlineLevel="0" collapsed="false">
      <c r="A494" s="3" t="s">
        <v>524</v>
      </c>
      <c r="B494" s="3" t="n">
        <v>39</v>
      </c>
      <c r="C494" s="3" t="s">
        <v>26</v>
      </c>
      <c r="D494" s="3" t="s">
        <v>17</v>
      </c>
      <c r="E494" s="3" t="s">
        <v>18</v>
      </c>
      <c r="F494" s="3" t="n">
        <v>7.5</v>
      </c>
      <c r="G494" s="3" t="n">
        <v>3068.4</v>
      </c>
      <c r="H494" s="3" t="s">
        <v>20</v>
      </c>
      <c r="I494" s="3" t="n">
        <v>4</v>
      </c>
      <c r="J494" s="3" t="n">
        <v>3</v>
      </c>
      <c r="K494" s="3" t="n">
        <v>16</v>
      </c>
      <c r="L494" s="3" t="n">
        <v>0</v>
      </c>
      <c r="M494" s="3" t="n">
        <v>1</v>
      </c>
      <c r="N494" s="3" t="s">
        <v>20</v>
      </c>
    </row>
    <row r="495" customFormat="false" ht="15" hidden="false" customHeight="false" outlineLevel="0" collapsed="false">
      <c r="A495" s="3" t="s">
        <v>525</v>
      </c>
      <c r="B495" s="3" t="n">
        <v>34</v>
      </c>
      <c r="C495" s="3" t="s">
        <v>22</v>
      </c>
      <c r="D495" s="3" t="s">
        <v>17</v>
      </c>
      <c r="E495" s="3" t="s">
        <v>24</v>
      </c>
      <c r="F495" s="3" t="n">
        <v>0.1</v>
      </c>
      <c r="G495" s="3" t="n">
        <v>2722.84</v>
      </c>
      <c r="H495" s="3" t="s">
        <v>20</v>
      </c>
      <c r="I495" s="3" t="n">
        <v>1</v>
      </c>
      <c r="J495" s="3" t="n">
        <v>3</v>
      </c>
      <c r="K495" s="3" t="n">
        <v>5</v>
      </c>
      <c r="L495" s="3" t="n">
        <v>0</v>
      </c>
      <c r="M495" s="3" t="n">
        <v>1</v>
      </c>
      <c r="N495" s="3" t="s">
        <v>19</v>
      </c>
    </row>
    <row r="496" customFormat="false" ht="15" hidden="false" customHeight="false" outlineLevel="0" collapsed="false">
      <c r="A496" s="3" t="s">
        <v>526</v>
      </c>
      <c r="B496" s="3" t="n">
        <v>41</v>
      </c>
      <c r="C496" s="3" t="s">
        <v>16</v>
      </c>
      <c r="D496" s="3" t="s">
        <v>17</v>
      </c>
      <c r="E496" s="3" t="s">
        <v>28</v>
      </c>
      <c r="F496" s="3" t="n">
        <v>1.1</v>
      </c>
      <c r="G496" s="3" t="n">
        <v>3818.99</v>
      </c>
      <c r="H496" s="3" t="s">
        <v>19</v>
      </c>
      <c r="I496" s="3" t="n">
        <v>1</v>
      </c>
      <c r="J496" s="3" t="n">
        <v>2</v>
      </c>
      <c r="K496" s="3" t="n">
        <v>1</v>
      </c>
      <c r="L496" s="3" t="n">
        <v>1</v>
      </c>
      <c r="M496" s="3" t="n">
        <v>2</v>
      </c>
      <c r="N496" s="3" t="s">
        <v>19</v>
      </c>
    </row>
    <row r="497" customFormat="false" ht="15" hidden="false" customHeight="false" outlineLevel="0" collapsed="false">
      <c r="A497" s="3" t="s">
        <v>527</v>
      </c>
      <c r="B497" s="3" t="n">
        <v>27</v>
      </c>
      <c r="C497" s="3" t="s">
        <v>32</v>
      </c>
      <c r="D497" s="3" t="s">
        <v>17</v>
      </c>
      <c r="E497" s="3" t="s">
        <v>41</v>
      </c>
      <c r="F497" s="3" t="n">
        <v>6</v>
      </c>
      <c r="G497" s="3" t="n">
        <v>3781.28</v>
      </c>
      <c r="H497" s="3" t="s">
        <v>19</v>
      </c>
      <c r="I497" s="3" t="n">
        <v>3</v>
      </c>
      <c r="J497" s="3" t="n">
        <v>2</v>
      </c>
      <c r="K497" s="3" t="n">
        <v>4</v>
      </c>
      <c r="L497" s="3" t="n">
        <v>0</v>
      </c>
      <c r="M497" s="3" t="n">
        <v>4</v>
      </c>
      <c r="N497" s="3" t="s">
        <v>19</v>
      </c>
    </row>
    <row r="498" customFormat="false" ht="15" hidden="false" customHeight="false" outlineLevel="0" collapsed="false">
      <c r="A498" s="3" t="s">
        <v>528</v>
      </c>
      <c r="B498" s="3" t="n">
        <v>46</v>
      </c>
      <c r="C498" s="3" t="s">
        <v>16</v>
      </c>
      <c r="D498" s="3" t="s">
        <v>17</v>
      </c>
      <c r="E498" s="3" t="s">
        <v>41</v>
      </c>
      <c r="F498" s="3" t="n">
        <v>1.9</v>
      </c>
      <c r="G498" s="3" t="n">
        <v>3627.82</v>
      </c>
      <c r="H498" s="3" t="s">
        <v>19</v>
      </c>
      <c r="I498" s="3" t="n">
        <v>4</v>
      </c>
      <c r="J498" s="3" t="n">
        <v>3</v>
      </c>
      <c r="K498" s="3" t="n">
        <v>4</v>
      </c>
      <c r="L498" s="3" t="n">
        <v>1</v>
      </c>
      <c r="M498" s="3" t="n">
        <v>7</v>
      </c>
      <c r="N498" s="3" t="s">
        <v>19</v>
      </c>
    </row>
    <row r="499" customFormat="false" ht="15" hidden="false" customHeight="false" outlineLevel="0" collapsed="false">
      <c r="A499" s="3" t="s">
        <v>529</v>
      </c>
      <c r="B499" s="3" t="n">
        <v>27</v>
      </c>
      <c r="C499" s="3" t="s">
        <v>32</v>
      </c>
      <c r="D499" s="3" t="s">
        <v>17</v>
      </c>
      <c r="E499" s="3" t="s">
        <v>18</v>
      </c>
      <c r="F499" s="3" t="n">
        <v>1.4</v>
      </c>
      <c r="G499" s="3" t="n">
        <v>2894.51</v>
      </c>
      <c r="H499" s="3" t="s">
        <v>19</v>
      </c>
      <c r="I499" s="3" t="n">
        <v>4</v>
      </c>
      <c r="J499" s="3" t="n">
        <v>2</v>
      </c>
      <c r="K499" s="3" t="n">
        <v>2</v>
      </c>
      <c r="L499" s="3" t="n">
        <v>1</v>
      </c>
      <c r="M499" s="3" t="n">
        <v>2</v>
      </c>
      <c r="N499" s="3" t="s">
        <v>19</v>
      </c>
    </row>
    <row r="500" customFormat="false" ht="15" hidden="false" customHeight="false" outlineLevel="0" collapsed="false">
      <c r="A500" s="3" t="s">
        <v>530</v>
      </c>
      <c r="B500" s="3" t="n">
        <v>34</v>
      </c>
      <c r="C500" s="3" t="s">
        <v>26</v>
      </c>
      <c r="D500" s="3" t="s">
        <v>27</v>
      </c>
      <c r="E500" s="3" t="s">
        <v>24</v>
      </c>
      <c r="F500" s="3" t="n">
        <v>2</v>
      </c>
      <c r="G500" s="3" t="n">
        <v>7870.6</v>
      </c>
      <c r="H500" s="3" t="s">
        <v>19</v>
      </c>
      <c r="I500" s="3" t="n">
        <v>3</v>
      </c>
      <c r="J500" s="3" t="n">
        <v>2</v>
      </c>
      <c r="K500" s="3" t="n">
        <v>24</v>
      </c>
      <c r="L500" s="3" t="n">
        <v>0</v>
      </c>
      <c r="M500" s="3" t="n">
        <v>1</v>
      </c>
      <c r="N500" s="3" t="s">
        <v>19</v>
      </c>
    </row>
    <row r="501" customFormat="false" ht="15" hidden="false" customHeight="false" outlineLevel="0" collapsed="false">
      <c r="A501" s="3" t="s">
        <v>531</v>
      </c>
      <c r="B501" s="3" t="n">
        <v>21</v>
      </c>
      <c r="C501" s="3" t="s">
        <v>22</v>
      </c>
      <c r="D501" s="3" t="s">
        <v>23</v>
      </c>
      <c r="E501" s="3" t="s">
        <v>18</v>
      </c>
      <c r="F501" s="3" t="n">
        <v>0</v>
      </c>
      <c r="G501" s="3" t="n">
        <v>4299.91</v>
      </c>
      <c r="H501" s="3" t="s">
        <v>19</v>
      </c>
      <c r="I501" s="3" t="n">
        <v>2</v>
      </c>
      <c r="J501" s="3" t="n">
        <v>4</v>
      </c>
      <c r="K501" s="3" t="n">
        <v>3</v>
      </c>
      <c r="L501" s="3" t="n">
        <v>0</v>
      </c>
      <c r="M501" s="3" t="n">
        <v>3</v>
      </c>
      <c r="N501" s="3" t="s">
        <v>19</v>
      </c>
    </row>
    <row r="502" customFormat="false" ht="15" hidden="false" customHeight="false" outlineLevel="0" collapsed="false">
      <c r="A502" s="3" t="s">
        <v>532</v>
      </c>
      <c r="B502" s="3" t="n">
        <v>21</v>
      </c>
      <c r="C502" s="3" t="s">
        <v>45</v>
      </c>
      <c r="D502" s="3" t="s">
        <v>23</v>
      </c>
      <c r="E502" s="3" t="s">
        <v>18</v>
      </c>
      <c r="F502" s="3" t="n">
        <v>0</v>
      </c>
      <c r="G502" s="3" t="n">
        <v>5471.85</v>
      </c>
      <c r="H502" s="3" t="s">
        <v>19</v>
      </c>
      <c r="I502" s="3" t="n">
        <v>3</v>
      </c>
      <c r="J502" s="3" t="n">
        <v>3</v>
      </c>
      <c r="K502" s="3" t="n">
        <v>21</v>
      </c>
      <c r="L502" s="3" t="n">
        <v>0</v>
      </c>
      <c r="M502" s="3" t="n">
        <v>3</v>
      </c>
      <c r="N502" s="3" t="s">
        <v>19</v>
      </c>
    </row>
    <row r="503" customFormat="false" ht="15" hidden="false" customHeight="false" outlineLevel="0" collapsed="false">
      <c r="A503" s="3" t="s">
        <v>533</v>
      </c>
      <c r="B503" s="3" t="n">
        <v>31</v>
      </c>
      <c r="C503" s="3" t="s">
        <v>26</v>
      </c>
      <c r="D503" s="3" t="s">
        <v>17</v>
      </c>
      <c r="E503" s="3" t="s">
        <v>28</v>
      </c>
      <c r="F503" s="3" t="n">
        <v>1</v>
      </c>
      <c r="G503" s="3" t="n">
        <v>2789.79</v>
      </c>
      <c r="H503" s="3" t="s">
        <v>20</v>
      </c>
      <c r="I503" s="3" t="n">
        <v>2</v>
      </c>
      <c r="J503" s="3" t="n">
        <v>1</v>
      </c>
      <c r="K503" s="3" t="n">
        <v>3</v>
      </c>
      <c r="L503" s="3" t="n">
        <v>1</v>
      </c>
      <c r="M503" s="3" t="n">
        <v>6</v>
      </c>
      <c r="N503" s="3" t="s">
        <v>20</v>
      </c>
    </row>
    <row r="504" customFormat="false" ht="15" hidden="false" customHeight="false" outlineLevel="0" collapsed="false">
      <c r="A504" s="3" t="s">
        <v>534</v>
      </c>
      <c r="B504" s="3" t="n">
        <v>29</v>
      </c>
      <c r="C504" s="3" t="s">
        <v>32</v>
      </c>
      <c r="D504" s="3" t="s">
        <v>23</v>
      </c>
      <c r="E504" s="3" t="s">
        <v>18</v>
      </c>
      <c r="F504" s="3" t="n">
        <v>0.7</v>
      </c>
      <c r="G504" s="3" t="n">
        <v>4445.08</v>
      </c>
      <c r="H504" s="3" t="s">
        <v>19</v>
      </c>
      <c r="I504" s="3" t="n">
        <v>2</v>
      </c>
      <c r="J504" s="3" t="n">
        <v>2</v>
      </c>
      <c r="K504" s="3" t="n">
        <v>2</v>
      </c>
      <c r="L504" s="3" t="n">
        <v>0</v>
      </c>
      <c r="M504" s="3" t="n">
        <v>1</v>
      </c>
      <c r="N504" s="3" t="s">
        <v>19</v>
      </c>
    </row>
    <row r="505" customFormat="false" ht="15" hidden="false" customHeight="false" outlineLevel="0" collapsed="false">
      <c r="A505" s="3" t="s">
        <v>535</v>
      </c>
      <c r="B505" s="3" t="n">
        <v>29</v>
      </c>
      <c r="C505" s="3" t="s">
        <v>26</v>
      </c>
      <c r="D505" s="3" t="s">
        <v>27</v>
      </c>
      <c r="E505" s="3" t="s">
        <v>41</v>
      </c>
      <c r="F505" s="3" t="n">
        <v>1.5</v>
      </c>
      <c r="G505" s="3" t="n">
        <v>8584.7</v>
      </c>
      <c r="H505" s="3" t="s">
        <v>19</v>
      </c>
      <c r="I505" s="3" t="n">
        <v>2</v>
      </c>
      <c r="J505" s="3" t="n">
        <v>2</v>
      </c>
      <c r="K505" s="3" t="n">
        <v>15</v>
      </c>
      <c r="L505" s="3" t="n">
        <v>0</v>
      </c>
      <c r="M505" s="3" t="n">
        <v>0</v>
      </c>
      <c r="N505" s="3" t="s">
        <v>19</v>
      </c>
    </row>
    <row r="506" customFormat="false" ht="15" hidden="false" customHeight="false" outlineLevel="0" collapsed="false">
      <c r="A506" s="3" t="s">
        <v>536</v>
      </c>
      <c r="B506" s="3" t="n">
        <v>27</v>
      </c>
      <c r="C506" s="3" t="s">
        <v>22</v>
      </c>
      <c r="D506" s="3" t="s">
        <v>17</v>
      </c>
      <c r="E506" s="3" t="s">
        <v>18</v>
      </c>
      <c r="F506" s="3" t="n">
        <v>4.3</v>
      </c>
      <c r="G506" s="3" t="n">
        <v>3378.05</v>
      </c>
      <c r="H506" s="3" t="s">
        <v>20</v>
      </c>
      <c r="I506" s="3" t="n">
        <v>4</v>
      </c>
      <c r="J506" s="3" t="n">
        <v>2</v>
      </c>
      <c r="K506" s="3" t="n">
        <v>9</v>
      </c>
      <c r="L506" s="3" t="n">
        <v>2</v>
      </c>
      <c r="M506" s="3" t="n">
        <v>2</v>
      </c>
      <c r="N506" s="3" t="s">
        <v>19</v>
      </c>
    </row>
    <row r="507" customFormat="false" ht="15" hidden="false" customHeight="false" outlineLevel="0" collapsed="false">
      <c r="A507" s="3" t="s">
        <v>537</v>
      </c>
      <c r="B507" s="3" t="n">
        <v>41</v>
      </c>
      <c r="C507" s="3" t="s">
        <v>22</v>
      </c>
      <c r="D507" s="3" t="s">
        <v>17</v>
      </c>
      <c r="E507" s="3" t="s">
        <v>41</v>
      </c>
      <c r="F507" s="3" t="n">
        <v>7.6</v>
      </c>
      <c r="G507" s="3" t="n">
        <v>2943.14</v>
      </c>
      <c r="H507" s="3" t="s">
        <v>19</v>
      </c>
      <c r="I507" s="3" t="n">
        <v>4</v>
      </c>
      <c r="J507" s="3" t="n">
        <v>2</v>
      </c>
      <c r="K507" s="3" t="n">
        <v>2</v>
      </c>
      <c r="L507" s="3" t="n">
        <v>0</v>
      </c>
      <c r="M507" s="3" t="n">
        <v>4</v>
      </c>
      <c r="N507" s="3" t="s">
        <v>20</v>
      </c>
    </row>
    <row r="508" customFormat="false" ht="15" hidden="false" customHeight="false" outlineLevel="0" collapsed="false">
      <c r="A508" s="3" t="s">
        <v>538</v>
      </c>
      <c r="B508" s="3" t="n">
        <v>34</v>
      </c>
      <c r="C508" s="3" t="s">
        <v>26</v>
      </c>
      <c r="D508" s="3" t="s">
        <v>27</v>
      </c>
      <c r="E508" s="3" t="s">
        <v>24</v>
      </c>
      <c r="F508" s="3" t="n">
        <v>5.3</v>
      </c>
      <c r="G508" s="3" t="n">
        <v>7543.73</v>
      </c>
      <c r="H508" s="3" t="s">
        <v>19</v>
      </c>
      <c r="I508" s="3" t="n">
        <v>3</v>
      </c>
      <c r="J508" s="3" t="n">
        <v>3</v>
      </c>
      <c r="K508" s="3" t="n">
        <v>6</v>
      </c>
      <c r="L508" s="3" t="n">
        <v>0</v>
      </c>
      <c r="M508" s="3" t="n">
        <v>3</v>
      </c>
      <c r="N508" s="3" t="s">
        <v>19</v>
      </c>
    </row>
    <row r="509" customFormat="false" ht="15" hidden="false" customHeight="false" outlineLevel="0" collapsed="false">
      <c r="A509" s="3" t="s">
        <v>539</v>
      </c>
      <c r="B509" s="3" t="n">
        <v>34</v>
      </c>
      <c r="C509" s="3" t="s">
        <v>16</v>
      </c>
      <c r="D509" s="3" t="s">
        <v>48</v>
      </c>
      <c r="E509" s="3" t="s">
        <v>18</v>
      </c>
      <c r="F509" s="3" t="n">
        <v>0.3</v>
      </c>
      <c r="G509" s="3" t="n">
        <v>8641.36</v>
      </c>
      <c r="H509" s="3" t="s">
        <v>19</v>
      </c>
      <c r="I509" s="3" t="n">
        <v>3</v>
      </c>
      <c r="J509" s="3" t="n">
        <v>2</v>
      </c>
      <c r="K509" s="3" t="n">
        <v>7</v>
      </c>
      <c r="L509" s="3" t="n">
        <v>0</v>
      </c>
      <c r="M509" s="3" t="n">
        <v>3</v>
      </c>
      <c r="N509" s="3" t="s">
        <v>19</v>
      </c>
    </row>
    <row r="510" customFormat="false" ht="15" hidden="false" customHeight="false" outlineLevel="0" collapsed="false">
      <c r="A510" s="3" t="s">
        <v>540</v>
      </c>
      <c r="B510" s="3" t="n">
        <v>43</v>
      </c>
      <c r="C510" s="3" t="s">
        <v>22</v>
      </c>
      <c r="D510" s="3" t="s">
        <v>23</v>
      </c>
      <c r="E510" s="3" t="s">
        <v>18</v>
      </c>
      <c r="F510" s="3" t="n">
        <v>1.6</v>
      </c>
      <c r="G510" s="3" t="n">
        <v>4261.49</v>
      </c>
      <c r="H510" s="3" t="s">
        <v>19</v>
      </c>
      <c r="I510" s="3" t="n">
        <v>3</v>
      </c>
      <c r="J510" s="3" t="n">
        <v>3</v>
      </c>
      <c r="K510" s="3" t="n">
        <v>1</v>
      </c>
      <c r="L510" s="3" t="n">
        <v>1</v>
      </c>
      <c r="M510" s="3" t="n">
        <v>6</v>
      </c>
      <c r="N510" s="3" t="s">
        <v>19</v>
      </c>
    </row>
    <row r="511" customFormat="false" ht="15" hidden="false" customHeight="false" outlineLevel="0" collapsed="false">
      <c r="A511" s="3" t="s">
        <v>541</v>
      </c>
      <c r="B511" s="3" t="n">
        <v>45</v>
      </c>
      <c r="C511" s="3" t="s">
        <v>22</v>
      </c>
      <c r="D511" s="3" t="s">
        <v>17</v>
      </c>
      <c r="E511" s="3" t="s">
        <v>24</v>
      </c>
      <c r="F511" s="3" t="n">
        <v>2.5</v>
      </c>
      <c r="G511" s="3" t="n">
        <v>3339.06</v>
      </c>
      <c r="H511" s="3" t="s">
        <v>20</v>
      </c>
      <c r="I511" s="3" t="n">
        <v>4</v>
      </c>
      <c r="J511" s="3" t="n">
        <v>3</v>
      </c>
      <c r="K511" s="3" t="n">
        <v>6</v>
      </c>
      <c r="L511" s="3" t="n">
        <v>0</v>
      </c>
      <c r="M511" s="3" t="n">
        <v>3</v>
      </c>
      <c r="N511" s="3" t="s">
        <v>20</v>
      </c>
    </row>
    <row r="512" customFormat="false" ht="15" hidden="false" customHeight="false" outlineLevel="0" collapsed="false">
      <c r="A512" s="3" t="s">
        <v>542</v>
      </c>
      <c r="B512" s="3" t="n">
        <v>35</v>
      </c>
      <c r="C512" s="3" t="s">
        <v>32</v>
      </c>
      <c r="D512" s="3" t="s">
        <v>17</v>
      </c>
      <c r="E512" s="3" t="s">
        <v>41</v>
      </c>
      <c r="F512" s="3" t="n">
        <v>0.4</v>
      </c>
      <c r="G512" s="3" t="n">
        <v>3229.37</v>
      </c>
      <c r="H512" s="3" t="s">
        <v>20</v>
      </c>
      <c r="I512" s="3" t="n">
        <v>4</v>
      </c>
      <c r="J512" s="3" t="n">
        <v>3</v>
      </c>
      <c r="K512" s="3" t="n">
        <v>1</v>
      </c>
      <c r="L512" s="3" t="n">
        <v>0</v>
      </c>
      <c r="M512" s="3" t="n">
        <v>2</v>
      </c>
      <c r="N512" s="3" t="s">
        <v>20</v>
      </c>
    </row>
    <row r="513" customFormat="false" ht="15" hidden="false" customHeight="false" outlineLevel="0" collapsed="false">
      <c r="A513" s="3" t="s">
        <v>543</v>
      </c>
      <c r="B513" s="3" t="n">
        <v>42</v>
      </c>
      <c r="C513" s="3" t="s">
        <v>26</v>
      </c>
      <c r="D513" s="3" t="s">
        <v>27</v>
      </c>
      <c r="E513" s="3" t="s">
        <v>18</v>
      </c>
      <c r="F513" s="3" t="n">
        <v>4.5</v>
      </c>
      <c r="G513" s="3" t="n">
        <v>7206.17</v>
      </c>
      <c r="H513" s="3" t="s">
        <v>19</v>
      </c>
      <c r="I513" s="3" t="n">
        <v>1</v>
      </c>
      <c r="J513" s="3" t="n">
        <v>2</v>
      </c>
      <c r="K513" s="3" t="n">
        <v>4</v>
      </c>
      <c r="L513" s="3" t="n">
        <v>4</v>
      </c>
      <c r="M513" s="3" t="n">
        <v>0</v>
      </c>
      <c r="N513" s="3" t="s">
        <v>19</v>
      </c>
    </row>
    <row r="514" customFormat="false" ht="15" hidden="false" customHeight="false" outlineLevel="0" collapsed="false">
      <c r="A514" s="3" t="s">
        <v>544</v>
      </c>
      <c r="B514" s="3" t="n">
        <v>56</v>
      </c>
      <c r="C514" s="3" t="s">
        <v>22</v>
      </c>
      <c r="D514" s="3" t="s">
        <v>23</v>
      </c>
      <c r="E514" s="3" t="s">
        <v>28</v>
      </c>
      <c r="F514" s="3" t="n">
        <v>2</v>
      </c>
      <c r="G514" s="3" t="n">
        <v>4318.5</v>
      </c>
      <c r="H514" s="3" t="s">
        <v>19</v>
      </c>
      <c r="I514" s="3" t="n">
        <v>4</v>
      </c>
      <c r="J514" s="3" t="n">
        <v>3</v>
      </c>
      <c r="K514" s="3" t="n">
        <v>19</v>
      </c>
      <c r="L514" s="3" t="n">
        <v>0</v>
      </c>
      <c r="M514" s="3" t="n">
        <v>1</v>
      </c>
      <c r="N514" s="3" t="s">
        <v>19</v>
      </c>
    </row>
    <row r="515" customFormat="false" ht="15" hidden="false" customHeight="false" outlineLevel="0" collapsed="false">
      <c r="A515" s="3" t="s">
        <v>545</v>
      </c>
      <c r="B515" s="3" t="n">
        <v>43</v>
      </c>
      <c r="C515" s="3" t="s">
        <v>16</v>
      </c>
      <c r="D515" s="3" t="s">
        <v>27</v>
      </c>
      <c r="E515" s="3" t="s">
        <v>24</v>
      </c>
      <c r="F515" s="3" t="n">
        <v>0.4</v>
      </c>
      <c r="G515" s="3" t="n">
        <v>8459.29</v>
      </c>
      <c r="H515" s="3" t="s">
        <v>19</v>
      </c>
      <c r="I515" s="3" t="n">
        <v>3</v>
      </c>
      <c r="J515" s="3" t="n">
        <v>3</v>
      </c>
      <c r="K515" s="3" t="n">
        <v>4</v>
      </c>
      <c r="L515" s="3" t="n">
        <v>0</v>
      </c>
      <c r="M515" s="3" t="n">
        <v>3</v>
      </c>
      <c r="N515" s="3" t="s">
        <v>19</v>
      </c>
    </row>
    <row r="516" customFormat="false" ht="15" hidden="false" customHeight="false" outlineLevel="0" collapsed="false">
      <c r="A516" s="3" t="s">
        <v>546</v>
      </c>
      <c r="B516" s="3" t="n">
        <v>31</v>
      </c>
      <c r="C516" s="3" t="s">
        <v>16</v>
      </c>
      <c r="D516" s="3" t="s">
        <v>27</v>
      </c>
      <c r="E516" s="3" t="s">
        <v>28</v>
      </c>
      <c r="F516" s="3" t="n">
        <v>0.9</v>
      </c>
      <c r="G516" s="3" t="n">
        <v>7483.57</v>
      </c>
      <c r="H516" s="3" t="s">
        <v>19</v>
      </c>
      <c r="I516" s="3" t="n">
        <v>4</v>
      </c>
      <c r="J516" s="3" t="n">
        <v>4</v>
      </c>
      <c r="K516" s="3" t="n">
        <v>3</v>
      </c>
      <c r="L516" s="3" t="n">
        <v>0</v>
      </c>
      <c r="M516" s="3" t="n">
        <v>1</v>
      </c>
      <c r="N516" s="3" t="s">
        <v>19</v>
      </c>
    </row>
    <row r="517" customFormat="false" ht="15" hidden="false" customHeight="false" outlineLevel="0" collapsed="false">
      <c r="A517" s="3" t="s">
        <v>547</v>
      </c>
      <c r="B517" s="3" t="n">
        <v>33</v>
      </c>
      <c r="C517" s="3" t="s">
        <v>16</v>
      </c>
      <c r="D517" s="3" t="s">
        <v>17</v>
      </c>
      <c r="E517" s="3" t="s">
        <v>24</v>
      </c>
      <c r="F517" s="3" t="n">
        <v>3.1</v>
      </c>
      <c r="G517" s="3" t="n">
        <v>2829.48</v>
      </c>
      <c r="H517" s="3" t="s">
        <v>19</v>
      </c>
      <c r="I517" s="3" t="n">
        <v>1</v>
      </c>
      <c r="J517" s="3" t="n">
        <v>4</v>
      </c>
      <c r="K517" s="3" t="n">
        <v>14</v>
      </c>
      <c r="L517" s="3" t="n">
        <v>1</v>
      </c>
      <c r="M517" s="3" t="n">
        <v>3</v>
      </c>
      <c r="N517" s="3" t="s">
        <v>19</v>
      </c>
    </row>
    <row r="518" customFormat="false" ht="15" hidden="false" customHeight="false" outlineLevel="0" collapsed="false">
      <c r="A518" s="3" t="s">
        <v>548</v>
      </c>
      <c r="B518" s="3" t="n">
        <v>36</v>
      </c>
      <c r="C518" s="3" t="s">
        <v>26</v>
      </c>
      <c r="D518" s="3" t="s">
        <v>27</v>
      </c>
      <c r="E518" s="3" t="s">
        <v>24</v>
      </c>
      <c r="F518" s="3" t="n">
        <v>2.6</v>
      </c>
      <c r="G518" s="3" t="n">
        <v>6138.86</v>
      </c>
      <c r="H518" s="3" t="s">
        <v>20</v>
      </c>
      <c r="I518" s="3" t="n">
        <v>3</v>
      </c>
      <c r="J518" s="3" t="n">
        <v>4</v>
      </c>
      <c r="K518" s="3" t="n">
        <v>7</v>
      </c>
      <c r="L518" s="3" t="n">
        <v>2</v>
      </c>
      <c r="M518" s="3" t="n">
        <v>4</v>
      </c>
      <c r="N518" s="3" t="s">
        <v>19</v>
      </c>
    </row>
    <row r="519" customFormat="false" ht="15" hidden="false" customHeight="false" outlineLevel="0" collapsed="false">
      <c r="A519" s="3" t="s">
        <v>549</v>
      </c>
      <c r="B519" s="3" t="n">
        <v>33</v>
      </c>
      <c r="C519" s="3" t="s">
        <v>16</v>
      </c>
      <c r="D519" s="3" t="s">
        <v>23</v>
      </c>
      <c r="E519" s="3" t="s">
        <v>24</v>
      </c>
      <c r="F519" s="3" t="n">
        <v>3.5</v>
      </c>
      <c r="G519" s="3" t="n">
        <v>5542.26</v>
      </c>
      <c r="H519" s="3" t="s">
        <v>19</v>
      </c>
      <c r="I519" s="3" t="n">
        <v>3</v>
      </c>
      <c r="J519" s="3" t="n">
        <v>1</v>
      </c>
      <c r="K519" s="3" t="n">
        <v>4</v>
      </c>
      <c r="L519" s="3" t="n">
        <v>3</v>
      </c>
      <c r="M519" s="3" t="n">
        <v>3</v>
      </c>
      <c r="N519" s="3" t="s">
        <v>19</v>
      </c>
    </row>
    <row r="520" customFormat="false" ht="15" hidden="false" customHeight="false" outlineLevel="0" collapsed="false">
      <c r="A520" s="3" t="s">
        <v>550</v>
      </c>
      <c r="B520" s="3" t="n">
        <v>42</v>
      </c>
      <c r="C520" s="3" t="s">
        <v>26</v>
      </c>
      <c r="D520" s="3" t="s">
        <v>17</v>
      </c>
      <c r="E520" s="3" t="s">
        <v>24</v>
      </c>
      <c r="F520" s="3" t="n">
        <v>5.2</v>
      </c>
      <c r="G520" s="3" t="n">
        <v>2923.82</v>
      </c>
      <c r="H520" s="3" t="s">
        <v>20</v>
      </c>
      <c r="I520" s="3" t="n">
        <v>4</v>
      </c>
      <c r="J520" s="3" t="n">
        <v>3</v>
      </c>
      <c r="K520" s="3" t="n">
        <v>5</v>
      </c>
      <c r="L520" s="3" t="n">
        <v>2</v>
      </c>
      <c r="M520" s="3" t="n">
        <v>3</v>
      </c>
      <c r="N520" s="3" t="s">
        <v>19</v>
      </c>
    </row>
    <row r="521" customFormat="false" ht="15" hidden="false" customHeight="false" outlineLevel="0" collapsed="false">
      <c r="A521" s="3" t="s">
        <v>551</v>
      </c>
      <c r="B521" s="3" t="n">
        <v>29</v>
      </c>
      <c r="C521" s="3" t="s">
        <v>24</v>
      </c>
      <c r="D521" s="3" t="s">
        <v>23</v>
      </c>
      <c r="E521" s="3" t="s">
        <v>18</v>
      </c>
      <c r="F521" s="3" t="n">
        <v>2.5</v>
      </c>
      <c r="G521" s="3" t="n">
        <v>4653.52</v>
      </c>
      <c r="H521" s="3" t="s">
        <v>19</v>
      </c>
      <c r="I521" s="3" t="n">
        <v>1</v>
      </c>
      <c r="J521" s="3" t="n">
        <v>3</v>
      </c>
      <c r="K521" s="3" t="n">
        <v>5</v>
      </c>
      <c r="L521" s="3" t="n">
        <v>2</v>
      </c>
      <c r="M521" s="3" t="n">
        <v>2</v>
      </c>
      <c r="N521" s="3" t="s">
        <v>19</v>
      </c>
    </row>
    <row r="522" customFormat="false" ht="15" hidden="false" customHeight="false" outlineLevel="0" collapsed="false">
      <c r="A522" s="3" t="s">
        <v>552</v>
      </c>
      <c r="B522" s="3" t="n">
        <v>31</v>
      </c>
      <c r="C522" s="3" t="s">
        <v>16</v>
      </c>
      <c r="D522" s="3" t="s">
        <v>17</v>
      </c>
      <c r="E522" s="3" t="s">
        <v>24</v>
      </c>
      <c r="F522" s="3" t="n">
        <v>7.1</v>
      </c>
      <c r="G522" s="3" t="n">
        <v>2738.43</v>
      </c>
      <c r="H522" s="3" t="s">
        <v>19</v>
      </c>
      <c r="I522" s="3" t="n">
        <v>2</v>
      </c>
      <c r="J522" s="3" t="n">
        <v>2</v>
      </c>
      <c r="K522" s="3" t="n">
        <v>7</v>
      </c>
      <c r="L522" s="3" t="n">
        <v>3</v>
      </c>
      <c r="M522" s="3" t="n">
        <v>4</v>
      </c>
      <c r="N522" s="3" t="s">
        <v>19</v>
      </c>
    </row>
    <row r="523" customFormat="false" ht="15" hidden="false" customHeight="false" outlineLevel="0" collapsed="false">
      <c r="A523" s="3" t="s">
        <v>553</v>
      </c>
      <c r="B523" s="3" t="n">
        <v>29</v>
      </c>
      <c r="C523" s="3" t="s">
        <v>22</v>
      </c>
      <c r="D523" s="3" t="s">
        <v>48</v>
      </c>
      <c r="E523" s="3" t="s">
        <v>18</v>
      </c>
      <c r="F523" s="3" t="n">
        <v>4.2</v>
      </c>
      <c r="G523" s="3" t="n">
        <v>11212.57</v>
      </c>
      <c r="H523" s="3" t="s">
        <v>20</v>
      </c>
      <c r="I523" s="3" t="n">
        <v>1</v>
      </c>
      <c r="J523" s="3" t="n">
        <v>1</v>
      </c>
      <c r="K523" s="3" t="n">
        <v>1</v>
      </c>
      <c r="L523" s="3" t="n">
        <v>0</v>
      </c>
      <c r="M523" s="3" t="n">
        <v>2</v>
      </c>
      <c r="N523" s="3" t="s">
        <v>19</v>
      </c>
    </row>
    <row r="524" customFormat="false" ht="15" hidden="false" customHeight="false" outlineLevel="0" collapsed="false">
      <c r="A524" s="3" t="s">
        <v>554</v>
      </c>
      <c r="B524" s="3" t="n">
        <v>31</v>
      </c>
      <c r="C524" s="3" t="s">
        <v>32</v>
      </c>
      <c r="D524" s="3" t="s">
        <v>17</v>
      </c>
      <c r="E524" s="3" t="s">
        <v>41</v>
      </c>
      <c r="F524" s="3" t="n">
        <v>0.6</v>
      </c>
      <c r="G524" s="3" t="n">
        <v>2755.07</v>
      </c>
      <c r="H524" s="3" t="s">
        <v>19</v>
      </c>
      <c r="I524" s="3" t="n">
        <v>3</v>
      </c>
      <c r="J524" s="3" t="n">
        <v>3</v>
      </c>
      <c r="K524" s="3" t="n">
        <v>1</v>
      </c>
      <c r="L524" s="3" t="n">
        <v>0</v>
      </c>
      <c r="M524" s="3" t="n">
        <v>1</v>
      </c>
      <c r="N524" s="3" t="s">
        <v>19</v>
      </c>
    </row>
    <row r="525" customFormat="false" ht="15" hidden="false" customHeight="false" outlineLevel="0" collapsed="false">
      <c r="A525" s="3" t="s">
        <v>555</v>
      </c>
      <c r="B525" s="3" t="n">
        <v>33</v>
      </c>
      <c r="C525" s="3" t="s">
        <v>26</v>
      </c>
      <c r="D525" s="3" t="s">
        <v>17</v>
      </c>
      <c r="E525" s="3" t="s">
        <v>24</v>
      </c>
      <c r="F525" s="3" t="n">
        <v>0.4</v>
      </c>
      <c r="G525" s="3" t="n">
        <v>3335.06</v>
      </c>
      <c r="H525" s="3" t="s">
        <v>20</v>
      </c>
      <c r="I525" s="3" t="n">
        <v>3</v>
      </c>
      <c r="J525" s="3" t="n">
        <v>4</v>
      </c>
      <c r="K525" s="3" t="n">
        <v>3</v>
      </c>
      <c r="L525" s="3" t="n">
        <v>0</v>
      </c>
      <c r="M525" s="3" t="n">
        <v>4</v>
      </c>
      <c r="N525" s="3" t="s">
        <v>20</v>
      </c>
    </row>
    <row r="526" customFormat="false" ht="15" hidden="false" customHeight="false" outlineLevel="0" collapsed="false">
      <c r="A526" s="3" t="s">
        <v>556</v>
      </c>
      <c r="B526" s="3" t="n">
        <v>43</v>
      </c>
      <c r="C526" s="3" t="s">
        <v>22</v>
      </c>
      <c r="D526" s="3" t="s">
        <v>17</v>
      </c>
      <c r="E526" s="3" t="s">
        <v>41</v>
      </c>
      <c r="F526" s="3" t="n">
        <v>6.4</v>
      </c>
      <c r="G526" s="3" t="n">
        <v>3320.82</v>
      </c>
      <c r="H526" s="3" t="s">
        <v>19</v>
      </c>
      <c r="I526" s="3" t="n">
        <v>4</v>
      </c>
      <c r="J526" s="3" t="n">
        <v>3</v>
      </c>
      <c r="K526" s="3" t="n">
        <v>20</v>
      </c>
      <c r="L526" s="3" t="n">
        <v>1</v>
      </c>
      <c r="M526" s="3" t="n">
        <v>5</v>
      </c>
      <c r="N526" s="3" t="s">
        <v>19</v>
      </c>
    </row>
    <row r="527" customFormat="false" ht="15" hidden="false" customHeight="false" outlineLevel="0" collapsed="false">
      <c r="A527" s="3" t="s">
        <v>557</v>
      </c>
      <c r="B527" s="3" t="n">
        <v>30</v>
      </c>
      <c r="C527" s="3" t="s">
        <v>26</v>
      </c>
      <c r="D527" s="3" t="s">
        <v>23</v>
      </c>
      <c r="E527" s="3" t="s">
        <v>41</v>
      </c>
      <c r="F527" s="3" t="n">
        <v>6.7</v>
      </c>
      <c r="G527" s="3" t="n">
        <v>4793.41</v>
      </c>
      <c r="H527" s="3" t="s">
        <v>20</v>
      </c>
      <c r="I527" s="3" t="n">
        <v>4</v>
      </c>
      <c r="J527" s="3" t="n">
        <v>1</v>
      </c>
      <c r="K527" s="3" t="n">
        <v>5</v>
      </c>
      <c r="L527" s="3" t="n">
        <v>0</v>
      </c>
      <c r="M527" s="3" t="n">
        <v>5</v>
      </c>
      <c r="N527" s="3" t="s">
        <v>20</v>
      </c>
    </row>
    <row r="528" customFormat="false" ht="15" hidden="false" customHeight="false" outlineLevel="0" collapsed="false">
      <c r="A528" s="3" t="s">
        <v>558</v>
      </c>
      <c r="B528" s="3" t="n">
        <v>35</v>
      </c>
      <c r="C528" s="3" t="s">
        <v>26</v>
      </c>
      <c r="D528" s="3" t="s">
        <v>23</v>
      </c>
      <c r="E528" s="3" t="s">
        <v>18</v>
      </c>
      <c r="F528" s="3" t="n">
        <v>1.3</v>
      </c>
      <c r="G528" s="3" t="n">
        <v>5550.85</v>
      </c>
      <c r="H528" s="3" t="s">
        <v>19</v>
      </c>
      <c r="I528" s="3" t="n">
        <v>3</v>
      </c>
      <c r="J528" s="3" t="n">
        <v>3</v>
      </c>
      <c r="K528" s="3" t="n">
        <v>1</v>
      </c>
      <c r="L528" s="3" t="n">
        <v>0</v>
      </c>
      <c r="M528" s="3" t="n">
        <v>2</v>
      </c>
      <c r="N528" s="3" t="s">
        <v>19</v>
      </c>
    </row>
    <row r="529" customFormat="false" ht="15" hidden="false" customHeight="false" outlineLevel="0" collapsed="false">
      <c r="A529" s="3" t="s">
        <v>559</v>
      </c>
      <c r="B529" s="3" t="n">
        <v>29</v>
      </c>
      <c r="C529" s="3" t="s">
        <v>22</v>
      </c>
      <c r="D529" s="3" t="s">
        <v>23</v>
      </c>
      <c r="E529" s="3" t="s">
        <v>41</v>
      </c>
      <c r="F529" s="3" t="n">
        <v>2.1</v>
      </c>
      <c r="G529" s="3" t="n">
        <v>4859.64</v>
      </c>
      <c r="H529" s="3" t="s">
        <v>19</v>
      </c>
      <c r="I529" s="3" t="n">
        <v>3</v>
      </c>
      <c r="J529" s="3" t="n">
        <v>4</v>
      </c>
      <c r="K529" s="3" t="n">
        <v>16</v>
      </c>
      <c r="L529" s="3" t="n">
        <v>1</v>
      </c>
      <c r="M529" s="3" t="n">
        <v>0</v>
      </c>
      <c r="N529" s="3" t="s">
        <v>19</v>
      </c>
    </row>
    <row r="530" customFormat="false" ht="15" hidden="false" customHeight="false" outlineLevel="0" collapsed="false">
      <c r="A530" s="3" t="s">
        <v>560</v>
      </c>
      <c r="B530" s="3" t="n">
        <v>26</v>
      </c>
      <c r="C530" s="3" t="s">
        <v>26</v>
      </c>
      <c r="D530" s="3" t="s">
        <v>17</v>
      </c>
      <c r="E530" s="3" t="s">
        <v>28</v>
      </c>
      <c r="F530" s="3" t="n">
        <v>5</v>
      </c>
      <c r="G530" s="3" t="n">
        <v>3304.21</v>
      </c>
      <c r="H530" s="3" t="s">
        <v>20</v>
      </c>
      <c r="I530" s="3" t="n">
        <v>4</v>
      </c>
      <c r="J530" s="3" t="n">
        <v>2</v>
      </c>
      <c r="K530" s="3" t="n">
        <v>14</v>
      </c>
      <c r="L530" s="3" t="n">
        <v>1</v>
      </c>
      <c r="M530" s="3" t="n">
        <v>1</v>
      </c>
      <c r="N530" s="3" t="s">
        <v>20</v>
      </c>
    </row>
    <row r="531" customFormat="false" ht="15" hidden="false" customHeight="false" outlineLevel="0" collapsed="false">
      <c r="A531" s="3" t="s">
        <v>561</v>
      </c>
      <c r="B531" s="3" t="n">
        <v>36</v>
      </c>
      <c r="C531" s="3" t="s">
        <v>32</v>
      </c>
      <c r="D531" s="3" t="s">
        <v>23</v>
      </c>
      <c r="E531" s="3" t="s">
        <v>18</v>
      </c>
      <c r="F531" s="3" t="n">
        <v>0.5</v>
      </c>
      <c r="G531" s="3" t="n">
        <v>4486.83</v>
      </c>
      <c r="H531" s="3" t="s">
        <v>19</v>
      </c>
      <c r="I531" s="3" t="n">
        <v>2</v>
      </c>
      <c r="J531" s="3" t="n">
        <v>3</v>
      </c>
      <c r="K531" s="3" t="n">
        <v>3</v>
      </c>
      <c r="L531" s="3" t="n">
        <v>0</v>
      </c>
      <c r="M531" s="3" t="n">
        <v>1</v>
      </c>
      <c r="N531" s="3" t="s">
        <v>19</v>
      </c>
    </row>
    <row r="532" customFormat="false" ht="15" hidden="false" customHeight="false" outlineLevel="0" collapsed="false">
      <c r="A532" s="3" t="s">
        <v>562</v>
      </c>
      <c r="B532" s="3" t="n">
        <v>40</v>
      </c>
      <c r="C532" s="3" t="s">
        <v>24</v>
      </c>
      <c r="D532" s="3" t="s">
        <v>23</v>
      </c>
      <c r="E532" s="3" t="s">
        <v>24</v>
      </c>
      <c r="F532" s="3" t="n">
        <v>1.8</v>
      </c>
      <c r="G532" s="3" t="n">
        <v>5666.74</v>
      </c>
      <c r="H532" s="3" t="s">
        <v>20</v>
      </c>
      <c r="I532" s="3" t="n">
        <v>2</v>
      </c>
      <c r="J532" s="3" t="n">
        <v>3</v>
      </c>
      <c r="K532" s="3" t="n">
        <v>2</v>
      </c>
      <c r="L532" s="3" t="n">
        <v>0</v>
      </c>
      <c r="M532" s="3" t="n">
        <v>3</v>
      </c>
      <c r="N532" s="3" t="s">
        <v>20</v>
      </c>
    </row>
    <row r="533" customFormat="false" ht="15" hidden="false" customHeight="false" outlineLevel="0" collapsed="false">
      <c r="A533" s="3" t="s">
        <v>563</v>
      </c>
      <c r="B533" s="3" t="n">
        <v>26</v>
      </c>
      <c r="C533" s="3" t="s">
        <v>24</v>
      </c>
      <c r="D533" s="3" t="s">
        <v>17</v>
      </c>
      <c r="E533" s="3" t="s">
        <v>24</v>
      </c>
      <c r="F533" s="3" t="n">
        <v>4.7</v>
      </c>
      <c r="G533" s="3" t="n">
        <v>3834.2</v>
      </c>
      <c r="H533" s="3" t="s">
        <v>20</v>
      </c>
      <c r="I533" s="3" t="n">
        <v>2</v>
      </c>
      <c r="J533" s="3" t="n">
        <v>2</v>
      </c>
      <c r="K533" s="3" t="n">
        <v>14</v>
      </c>
      <c r="L533" s="3" t="n">
        <v>4</v>
      </c>
      <c r="M533" s="3" t="n">
        <v>2</v>
      </c>
      <c r="N533" s="3" t="s">
        <v>19</v>
      </c>
    </row>
    <row r="534" customFormat="false" ht="15" hidden="false" customHeight="false" outlineLevel="0" collapsed="false">
      <c r="A534" s="3" t="s">
        <v>564</v>
      </c>
      <c r="B534" s="3" t="n">
        <v>36</v>
      </c>
      <c r="C534" s="3" t="s">
        <v>26</v>
      </c>
      <c r="D534" s="3" t="s">
        <v>17</v>
      </c>
      <c r="E534" s="3" t="s">
        <v>24</v>
      </c>
      <c r="F534" s="3" t="n">
        <v>1.5</v>
      </c>
      <c r="G534" s="3" t="n">
        <v>2991.87</v>
      </c>
      <c r="H534" s="3" t="s">
        <v>20</v>
      </c>
      <c r="I534" s="3" t="n">
        <v>4</v>
      </c>
      <c r="J534" s="3" t="n">
        <v>2</v>
      </c>
      <c r="K534" s="3" t="n">
        <v>31</v>
      </c>
      <c r="L534" s="3" t="n">
        <v>0</v>
      </c>
      <c r="M534" s="3" t="n">
        <v>5</v>
      </c>
      <c r="N534" s="3" t="s">
        <v>20</v>
      </c>
    </row>
    <row r="535" customFormat="false" ht="15" hidden="false" customHeight="false" outlineLevel="0" collapsed="false">
      <c r="A535" s="3" t="s">
        <v>565</v>
      </c>
      <c r="B535" s="3" t="n">
        <v>32</v>
      </c>
      <c r="C535" s="3" t="s">
        <v>22</v>
      </c>
      <c r="D535" s="3" t="s">
        <v>17</v>
      </c>
      <c r="E535" s="3" t="s">
        <v>18</v>
      </c>
      <c r="F535" s="3" t="n">
        <v>11</v>
      </c>
      <c r="G535" s="3" t="n">
        <v>3388.48</v>
      </c>
      <c r="H535" s="3" t="s">
        <v>20</v>
      </c>
      <c r="I535" s="3" t="n">
        <v>3</v>
      </c>
      <c r="J535" s="3" t="n">
        <v>4</v>
      </c>
      <c r="K535" s="3" t="n">
        <v>1</v>
      </c>
      <c r="L535" s="3" t="n">
        <v>1</v>
      </c>
      <c r="M535" s="3" t="n">
        <v>0</v>
      </c>
      <c r="N535" s="3" t="s">
        <v>19</v>
      </c>
    </row>
    <row r="536" customFormat="false" ht="15" hidden="false" customHeight="false" outlineLevel="0" collapsed="false">
      <c r="A536" s="3" t="s">
        <v>566</v>
      </c>
      <c r="B536" s="3" t="n">
        <v>26</v>
      </c>
      <c r="C536" s="3" t="s">
        <v>16</v>
      </c>
      <c r="D536" s="3" t="s">
        <v>23</v>
      </c>
      <c r="E536" s="3" t="s">
        <v>18</v>
      </c>
      <c r="F536" s="3" t="n">
        <v>4.1</v>
      </c>
      <c r="G536" s="3" t="n">
        <v>4796.13</v>
      </c>
      <c r="H536" s="3" t="s">
        <v>19</v>
      </c>
      <c r="I536" s="3" t="n">
        <v>3</v>
      </c>
      <c r="J536" s="3" t="n">
        <v>3</v>
      </c>
      <c r="K536" s="3" t="n">
        <v>4</v>
      </c>
      <c r="L536" s="3" t="n">
        <v>0</v>
      </c>
      <c r="M536" s="3" t="n">
        <v>1</v>
      </c>
      <c r="N536" s="3" t="s">
        <v>19</v>
      </c>
    </row>
    <row r="537" customFormat="false" ht="15" hidden="false" customHeight="false" outlineLevel="0" collapsed="false">
      <c r="A537" s="3" t="s">
        <v>567</v>
      </c>
      <c r="B537" s="3" t="n">
        <v>47</v>
      </c>
      <c r="C537" s="3" t="s">
        <v>26</v>
      </c>
      <c r="D537" s="3" t="s">
        <v>23</v>
      </c>
      <c r="E537" s="3" t="s">
        <v>18</v>
      </c>
      <c r="F537" s="3" t="n">
        <v>0.1</v>
      </c>
      <c r="G537" s="3" t="n">
        <v>5703.38</v>
      </c>
      <c r="H537" s="3" t="s">
        <v>20</v>
      </c>
      <c r="I537" s="3" t="n">
        <v>1</v>
      </c>
      <c r="J537" s="3" t="n">
        <v>3</v>
      </c>
      <c r="K537" s="3" t="n">
        <v>4</v>
      </c>
      <c r="L537" s="3" t="n">
        <v>0</v>
      </c>
      <c r="M537" s="3" t="n">
        <v>3</v>
      </c>
      <c r="N537" s="3" t="s">
        <v>19</v>
      </c>
    </row>
    <row r="538" customFormat="false" ht="15" hidden="false" customHeight="false" outlineLevel="0" collapsed="false">
      <c r="A538" s="3" t="s">
        <v>568</v>
      </c>
      <c r="B538" s="3" t="n">
        <v>46</v>
      </c>
      <c r="C538" s="3" t="s">
        <v>32</v>
      </c>
      <c r="D538" s="3" t="s">
        <v>23</v>
      </c>
      <c r="E538" s="3" t="s">
        <v>41</v>
      </c>
      <c r="F538" s="3" t="n">
        <v>2.3</v>
      </c>
      <c r="G538" s="3" t="n">
        <v>4253.95</v>
      </c>
      <c r="H538" s="3" t="s">
        <v>19</v>
      </c>
      <c r="I538" s="3" t="n">
        <v>3</v>
      </c>
      <c r="J538" s="3" t="n">
        <v>1</v>
      </c>
      <c r="K538" s="3" t="n">
        <v>6</v>
      </c>
      <c r="L538" s="3" t="n">
        <v>0</v>
      </c>
      <c r="M538" s="3" t="n">
        <v>4</v>
      </c>
      <c r="N538" s="3" t="s">
        <v>19</v>
      </c>
    </row>
    <row r="539" customFormat="false" ht="15" hidden="false" customHeight="false" outlineLevel="0" collapsed="false">
      <c r="A539" s="3" t="s">
        <v>569</v>
      </c>
      <c r="B539" s="3" t="n">
        <v>28</v>
      </c>
      <c r="C539" s="3" t="s">
        <v>16</v>
      </c>
      <c r="D539" s="3" t="s">
        <v>17</v>
      </c>
      <c r="E539" s="3" t="s">
        <v>41</v>
      </c>
      <c r="F539" s="3" t="n">
        <v>1.2</v>
      </c>
      <c r="G539" s="4"/>
      <c r="H539" s="3" t="s">
        <v>19</v>
      </c>
      <c r="I539" s="3" t="n">
        <v>3</v>
      </c>
      <c r="J539" s="3" t="n">
        <v>2</v>
      </c>
      <c r="K539" s="3" t="n">
        <v>11</v>
      </c>
      <c r="L539" s="3" t="n">
        <v>0</v>
      </c>
      <c r="M539" s="3" t="n">
        <v>2</v>
      </c>
      <c r="N539" s="3" t="s">
        <v>19</v>
      </c>
    </row>
    <row r="540" customFormat="false" ht="15" hidden="false" customHeight="false" outlineLevel="0" collapsed="false">
      <c r="A540" s="3" t="s">
        <v>570</v>
      </c>
      <c r="B540" s="3" t="n">
        <v>32</v>
      </c>
      <c r="C540" s="3" t="s">
        <v>26</v>
      </c>
      <c r="D540" s="3" t="s">
        <v>48</v>
      </c>
      <c r="E540" s="3" t="s">
        <v>28</v>
      </c>
      <c r="F540" s="3" t="n">
        <v>6.9</v>
      </c>
      <c r="G540" s="3" t="n">
        <v>8348.31</v>
      </c>
      <c r="H540" s="3" t="s">
        <v>20</v>
      </c>
      <c r="I540" s="3" t="n">
        <v>4</v>
      </c>
      <c r="J540" s="3" t="n">
        <v>3</v>
      </c>
      <c r="K540" s="3" t="n">
        <v>6</v>
      </c>
      <c r="L540" s="3" t="n">
        <v>0</v>
      </c>
      <c r="M540" s="3" t="n">
        <v>4</v>
      </c>
      <c r="N540" s="3" t="s">
        <v>19</v>
      </c>
    </row>
    <row r="541" customFormat="false" ht="15" hidden="false" customHeight="false" outlineLevel="0" collapsed="false">
      <c r="A541" s="3" t="s">
        <v>571</v>
      </c>
      <c r="B541" s="3" t="n">
        <v>36</v>
      </c>
      <c r="C541" s="3" t="s">
        <v>26</v>
      </c>
      <c r="D541" s="3" t="s">
        <v>23</v>
      </c>
      <c r="E541" s="3" t="s">
        <v>18</v>
      </c>
      <c r="F541" s="3" t="n">
        <v>0.8</v>
      </c>
      <c r="G541" s="3" t="n">
        <v>5180.03</v>
      </c>
      <c r="H541" s="3" t="s">
        <v>20</v>
      </c>
      <c r="I541" s="3" t="n">
        <v>1</v>
      </c>
      <c r="J541" s="3" t="n">
        <v>2</v>
      </c>
      <c r="K541" s="3" t="n">
        <v>1</v>
      </c>
      <c r="L541" s="3" t="n">
        <v>0</v>
      </c>
      <c r="M541" s="3" t="n">
        <v>1</v>
      </c>
      <c r="N541" s="3" t="s">
        <v>20</v>
      </c>
    </row>
    <row r="542" customFormat="false" ht="15" hidden="false" customHeight="false" outlineLevel="0" collapsed="false">
      <c r="A542" s="3" t="s">
        <v>572</v>
      </c>
      <c r="B542" s="3" t="n">
        <v>26</v>
      </c>
      <c r="C542" s="3" t="s">
        <v>22</v>
      </c>
      <c r="D542" s="3" t="s">
        <v>23</v>
      </c>
      <c r="E542" s="3" t="s">
        <v>28</v>
      </c>
      <c r="F542" s="3" t="n">
        <v>3.4</v>
      </c>
      <c r="G542" s="3" t="n">
        <v>5722.84</v>
      </c>
      <c r="H542" s="3" t="s">
        <v>19</v>
      </c>
      <c r="I542" s="3" t="n">
        <v>3</v>
      </c>
      <c r="J542" s="3" t="n">
        <v>4</v>
      </c>
      <c r="K542" s="3" t="n">
        <v>9</v>
      </c>
      <c r="L542" s="3" t="n">
        <v>0</v>
      </c>
      <c r="M542" s="3" t="n">
        <v>2</v>
      </c>
      <c r="N542" s="3" t="s">
        <v>19</v>
      </c>
    </row>
    <row r="543" customFormat="false" ht="15" hidden="false" customHeight="false" outlineLevel="0" collapsed="false">
      <c r="A543" s="3" t="s">
        <v>573</v>
      </c>
      <c r="B543" s="3" t="n">
        <v>23</v>
      </c>
      <c r="C543" s="3" t="s">
        <v>26</v>
      </c>
      <c r="D543" s="3" t="s">
        <v>23</v>
      </c>
      <c r="E543" s="3" t="s">
        <v>18</v>
      </c>
      <c r="F543" s="3" t="n">
        <v>1.4</v>
      </c>
      <c r="G543" s="3" t="n">
        <v>4923.94</v>
      </c>
      <c r="H543" s="3" t="s">
        <v>20</v>
      </c>
      <c r="I543" s="3" t="n">
        <v>4</v>
      </c>
      <c r="J543" s="3" t="n">
        <v>3</v>
      </c>
      <c r="K543" s="3" t="n">
        <v>23</v>
      </c>
      <c r="L543" s="3" t="n">
        <v>1</v>
      </c>
      <c r="M543" s="3" t="n">
        <v>3</v>
      </c>
      <c r="N543" s="3" t="s">
        <v>20</v>
      </c>
    </row>
    <row r="544" customFormat="false" ht="15" hidden="false" customHeight="false" outlineLevel="0" collapsed="false">
      <c r="A544" s="3" t="s">
        <v>574</v>
      </c>
      <c r="B544" s="3" t="n">
        <v>22</v>
      </c>
      <c r="C544" s="3" t="s">
        <v>45</v>
      </c>
      <c r="D544" s="3" t="s">
        <v>17</v>
      </c>
      <c r="E544" s="3" t="s">
        <v>18</v>
      </c>
      <c r="F544" s="3" t="n">
        <v>1</v>
      </c>
      <c r="G544" s="3" t="n">
        <v>3393.91</v>
      </c>
      <c r="H544" s="3" t="s">
        <v>20</v>
      </c>
      <c r="I544" s="3" t="n">
        <v>2</v>
      </c>
      <c r="J544" s="3" t="n">
        <v>3</v>
      </c>
      <c r="K544" s="3" t="n">
        <v>16</v>
      </c>
      <c r="L544" s="3" t="n">
        <v>0</v>
      </c>
      <c r="M544" s="3" t="n">
        <v>4</v>
      </c>
      <c r="N544" s="3" t="s">
        <v>19</v>
      </c>
    </row>
    <row r="545" customFormat="false" ht="15" hidden="false" customHeight="false" outlineLevel="0" collapsed="false">
      <c r="A545" s="3" t="s">
        <v>575</v>
      </c>
      <c r="B545" s="3" t="n">
        <v>38</v>
      </c>
      <c r="C545" s="3" t="s">
        <v>22</v>
      </c>
      <c r="D545" s="3" t="s">
        <v>17</v>
      </c>
      <c r="E545" s="3" t="s">
        <v>41</v>
      </c>
      <c r="F545" s="3" t="n">
        <v>2.4</v>
      </c>
      <c r="G545" s="3" t="n">
        <v>3752.61</v>
      </c>
      <c r="H545" s="3" t="s">
        <v>19</v>
      </c>
      <c r="I545" s="3" t="n">
        <v>1</v>
      </c>
      <c r="J545" s="3" t="n">
        <v>4</v>
      </c>
      <c r="K545" s="3" t="n">
        <v>2</v>
      </c>
      <c r="L545" s="3" t="n">
        <v>0</v>
      </c>
      <c r="M545" s="3" t="n">
        <v>6</v>
      </c>
      <c r="N545" s="3" t="s">
        <v>19</v>
      </c>
    </row>
    <row r="546" customFormat="false" ht="15" hidden="false" customHeight="false" outlineLevel="0" collapsed="false">
      <c r="A546" s="3" t="s">
        <v>576</v>
      </c>
      <c r="B546" s="3" t="n">
        <v>36</v>
      </c>
      <c r="C546" s="3" t="s">
        <v>22</v>
      </c>
      <c r="D546" s="3" t="s">
        <v>27</v>
      </c>
      <c r="E546" s="3" t="s">
        <v>28</v>
      </c>
      <c r="F546" s="3" t="n">
        <v>1.5</v>
      </c>
      <c r="G546" s="3" t="n">
        <v>6490.13</v>
      </c>
      <c r="H546" s="3" t="s">
        <v>20</v>
      </c>
      <c r="I546" s="3" t="n">
        <v>2</v>
      </c>
      <c r="J546" s="3" t="n">
        <v>2</v>
      </c>
      <c r="K546" s="3" t="n">
        <v>3</v>
      </c>
      <c r="L546" s="3" t="n">
        <v>0</v>
      </c>
      <c r="M546" s="3" t="n">
        <v>4</v>
      </c>
      <c r="N546" s="3" t="s">
        <v>20</v>
      </c>
    </row>
    <row r="547" customFormat="false" ht="15" hidden="false" customHeight="false" outlineLevel="0" collapsed="false">
      <c r="A547" s="3" t="s">
        <v>577</v>
      </c>
      <c r="B547" s="3" t="n">
        <v>37</v>
      </c>
      <c r="C547" s="3" t="s">
        <v>16</v>
      </c>
      <c r="D547" s="3" t="s">
        <v>27</v>
      </c>
      <c r="E547" s="3" t="s">
        <v>18</v>
      </c>
      <c r="F547" s="3" t="n">
        <v>4.9</v>
      </c>
      <c r="G547" s="3" t="n">
        <v>6709.14</v>
      </c>
      <c r="H547" s="3" t="s">
        <v>19</v>
      </c>
      <c r="I547" s="3" t="n">
        <v>3</v>
      </c>
      <c r="J547" s="3" t="n">
        <v>3</v>
      </c>
      <c r="K547" s="3" t="n">
        <v>5</v>
      </c>
      <c r="L547" s="3" t="n">
        <v>2</v>
      </c>
      <c r="M547" s="3" t="n">
        <v>1</v>
      </c>
      <c r="N547" s="3" t="s">
        <v>19</v>
      </c>
    </row>
    <row r="548" customFormat="false" ht="15" hidden="false" customHeight="false" outlineLevel="0" collapsed="false">
      <c r="A548" s="3" t="s">
        <v>578</v>
      </c>
      <c r="B548" s="3" t="n">
        <v>24</v>
      </c>
      <c r="C548" s="3" t="s">
        <v>16</v>
      </c>
      <c r="D548" s="3" t="s">
        <v>27</v>
      </c>
      <c r="E548" s="3" t="s">
        <v>28</v>
      </c>
      <c r="F548" s="3" t="n">
        <v>3</v>
      </c>
      <c r="G548" s="3" t="n">
        <v>6184.8</v>
      </c>
      <c r="H548" s="3" t="s">
        <v>19</v>
      </c>
      <c r="I548" s="3" t="n">
        <v>3</v>
      </c>
      <c r="J548" s="3" t="n">
        <v>1</v>
      </c>
      <c r="K548" s="3" t="n">
        <v>2</v>
      </c>
      <c r="L548" s="3" t="n">
        <v>3</v>
      </c>
      <c r="M548" s="3" t="n">
        <v>2</v>
      </c>
      <c r="N548" s="3" t="s">
        <v>19</v>
      </c>
    </row>
    <row r="549" customFormat="false" ht="15" hidden="false" customHeight="false" outlineLevel="0" collapsed="false">
      <c r="A549" s="3" t="s">
        <v>579</v>
      </c>
      <c r="B549" s="3" t="n">
        <v>35</v>
      </c>
      <c r="C549" s="3" t="s">
        <v>45</v>
      </c>
      <c r="D549" s="3" t="s">
        <v>17</v>
      </c>
      <c r="E549" s="3" t="s">
        <v>41</v>
      </c>
      <c r="F549" s="3" t="n">
        <v>1.5</v>
      </c>
      <c r="G549" s="3" t="n">
        <v>2874.86</v>
      </c>
      <c r="H549" s="3" t="s">
        <v>19</v>
      </c>
      <c r="I549" s="3" t="n">
        <v>2</v>
      </c>
      <c r="J549" s="3" t="n">
        <v>4</v>
      </c>
      <c r="K549" s="3" t="n">
        <v>8</v>
      </c>
      <c r="L549" s="3" t="n">
        <v>0</v>
      </c>
      <c r="M549" s="3" t="n">
        <v>3</v>
      </c>
      <c r="N549" s="3" t="s">
        <v>20</v>
      </c>
    </row>
    <row r="550" customFormat="false" ht="15" hidden="false" customHeight="false" outlineLevel="0" collapsed="false">
      <c r="A550" s="3" t="s">
        <v>580</v>
      </c>
      <c r="B550" s="3" t="n">
        <v>28</v>
      </c>
      <c r="C550" s="3" t="s">
        <v>16</v>
      </c>
      <c r="D550" s="3" t="s">
        <v>48</v>
      </c>
      <c r="E550" s="3" t="s">
        <v>24</v>
      </c>
      <c r="F550" s="3" t="n">
        <v>1.1</v>
      </c>
      <c r="G550" s="3" t="n">
        <v>10139.04</v>
      </c>
      <c r="H550" s="3" t="s">
        <v>20</v>
      </c>
      <c r="I550" s="3" t="n">
        <v>4</v>
      </c>
      <c r="J550" s="3" t="n">
        <v>3</v>
      </c>
      <c r="K550" s="3" t="n">
        <v>13</v>
      </c>
      <c r="L550" s="3" t="n">
        <v>1</v>
      </c>
      <c r="M550" s="3" t="n">
        <v>1</v>
      </c>
      <c r="N550" s="3" t="s">
        <v>19</v>
      </c>
    </row>
    <row r="551" customFormat="false" ht="15" hidden="false" customHeight="false" outlineLevel="0" collapsed="false">
      <c r="A551" s="3" t="s">
        <v>581</v>
      </c>
      <c r="B551" s="3" t="n">
        <v>33</v>
      </c>
      <c r="C551" s="3" t="s">
        <v>24</v>
      </c>
      <c r="D551" s="3" t="s">
        <v>17</v>
      </c>
      <c r="E551" s="3" t="s">
        <v>18</v>
      </c>
      <c r="F551" s="3" t="n">
        <v>0.8</v>
      </c>
      <c r="G551" s="3" t="n">
        <v>3425.15</v>
      </c>
      <c r="H551" s="3" t="s">
        <v>19</v>
      </c>
      <c r="I551" s="3" t="n">
        <v>2</v>
      </c>
      <c r="J551" s="3" t="n">
        <v>1</v>
      </c>
      <c r="K551" s="3" t="n">
        <v>9</v>
      </c>
      <c r="L551" s="3" t="n">
        <v>0</v>
      </c>
      <c r="M551" s="3" t="n">
        <v>2</v>
      </c>
      <c r="N551" s="3" t="s">
        <v>20</v>
      </c>
    </row>
    <row r="552" customFormat="false" ht="15" hidden="false" customHeight="false" outlineLevel="0" collapsed="false">
      <c r="A552" s="3" t="s">
        <v>582</v>
      </c>
      <c r="B552" s="3" t="n">
        <v>38</v>
      </c>
      <c r="C552" s="3" t="s">
        <v>22</v>
      </c>
      <c r="D552" s="3" t="s">
        <v>17</v>
      </c>
      <c r="E552" s="3" t="s">
        <v>18</v>
      </c>
      <c r="F552" s="3" t="n">
        <v>0.9</v>
      </c>
      <c r="G552" s="3" t="n">
        <v>3287.99</v>
      </c>
      <c r="H552" s="3" t="s">
        <v>19</v>
      </c>
      <c r="I552" s="3" t="n">
        <v>1</v>
      </c>
      <c r="J552" s="3" t="n">
        <v>3</v>
      </c>
      <c r="K552" s="3" t="n">
        <v>20</v>
      </c>
      <c r="L552" s="3" t="n">
        <v>0</v>
      </c>
      <c r="M552" s="3" t="n">
        <v>2</v>
      </c>
      <c r="N552" s="3" t="s">
        <v>20</v>
      </c>
    </row>
    <row r="553" customFormat="false" ht="15" hidden="false" customHeight="false" outlineLevel="0" collapsed="false">
      <c r="A553" s="3" t="s">
        <v>583</v>
      </c>
      <c r="B553" s="3" t="n">
        <v>46</v>
      </c>
      <c r="C553" s="3" t="s">
        <v>16</v>
      </c>
      <c r="D553" s="3" t="s">
        <v>17</v>
      </c>
      <c r="E553" s="3" t="s">
        <v>28</v>
      </c>
      <c r="F553" s="3" t="n">
        <v>0.9</v>
      </c>
      <c r="G553" s="3" t="n">
        <v>3270.52</v>
      </c>
      <c r="H553" s="3" t="s">
        <v>19</v>
      </c>
      <c r="I553" s="3" t="n">
        <v>4</v>
      </c>
      <c r="J553" s="3" t="n">
        <v>2</v>
      </c>
      <c r="K553" s="3" t="n">
        <v>1</v>
      </c>
      <c r="L553" s="3" t="n">
        <v>0</v>
      </c>
      <c r="M553" s="3" t="n">
        <v>1</v>
      </c>
      <c r="N553" s="3" t="s">
        <v>19</v>
      </c>
    </row>
    <row r="554" customFormat="false" ht="15" hidden="false" customHeight="false" outlineLevel="0" collapsed="false">
      <c r="A554" s="3" t="s">
        <v>584</v>
      </c>
      <c r="B554" s="3" t="n">
        <v>32</v>
      </c>
      <c r="C554" s="3" t="s">
        <v>24</v>
      </c>
      <c r="D554" s="3" t="s">
        <v>27</v>
      </c>
      <c r="E554" s="3" t="s">
        <v>18</v>
      </c>
      <c r="F554" s="3" t="n">
        <v>2.5</v>
      </c>
      <c r="G554" s="3" t="n">
        <v>8403.26</v>
      </c>
      <c r="H554" s="3" t="s">
        <v>19</v>
      </c>
      <c r="I554" s="3" t="n">
        <v>3</v>
      </c>
      <c r="J554" s="3" t="n">
        <v>2</v>
      </c>
      <c r="K554" s="3" t="n">
        <v>1</v>
      </c>
      <c r="L554" s="3" t="n">
        <v>0</v>
      </c>
      <c r="M554" s="3" t="n">
        <v>1</v>
      </c>
      <c r="N554" s="3" t="s">
        <v>20</v>
      </c>
    </row>
    <row r="555" customFormat="false" ht="15" hidden="false" customHeight="false" outlineLevel="0" collapsed="false">
      <c r="A555" s="3" t="s">
        <v>585</v>
      </c>
      <c r="B555" s="3" t="n">
        <v>39</v>
      </c>
      <c r="C555" s="3" t="s">
        <v>16</v>
      </c>
      <c r="D555" s="3" t="s">
        <v>48</v>
      </c>
      <c r="E555" s="3" t="s">
        <v>41</v>
      </c>
      <c r="F555" s="3" t="n">
        <v>10.6</v>
      </c>
      <c r="G555" s="3" t="n">
        <v>10770.75</v>
      </c>
      <c r="H555" s="3" t="s">
        <v>19</v>
      </c>
      <c r="I555" s="3" t="n">
        <v>4</v>
      </c>
      <c r="J555" s="3" t="n">
        <v>4</v>
      </c>
      <c r="K555" s="3" t="n">
        <v>17</v>
      </c>
      <c r="L555" s="3" t="n">
        <v>0</v>
      </c>
      <c r="M555" s="3" t="n">
        <v>2</v>
      </c>
      <c r="N555" s="3" t="s">
        <v>19</v>
      </c>
    </row>
    <row r="556" customFormat="false" ht="15" hidden="false" customHeight="false" outlineLevel="0" collapsed="false">
      <c r="A556" s="3" t="s">
        <v>586</v>
      </c>
      <c r="B556" s="3" t="n">
        <v>31</v>
      </c>
      <c r="C556" s="3" t="s">
        <v>16</v>
      </c>
      <c r="D556" s="3" t="s">
        <v>17</v>
      </c>
      <c r="E556" s="3" t="s">
        <v>18</v>
      </c>
      <c r="F556" s="3" t="n">
        <v>1</v>
      </c>
      <c r="G556" s="3" t="n">
        <v>3109.13</v>
      </c>
      <c r="H556" s="3" t="s">
        <v>19</v>
      </c>
      <c r="I556" s="3" t="n">
        <v>2</v>
      </c>
      <c r="J556" s="3" t="n">
        <v>4</v>
      </c>
      <c r="K556" s="3" t="n">
        <v>1</v>
      </c>
      <c r="L556" s="3" t="n">
        <v>1</v>
      </c>
      <c r="M556" s="3" t="n">
        <v>2</v>
      </c>
      <c r="N556" s="3" t="s">
        <v>20</v>
      </c>
    </row>
    <row r="557" customFormat="false" ht="15" hidden="false" customHeight="false" outlineLevel="0" collapsed="false">
      <c r="A557" s="3" t="s">
        <v>587</v>
      </c>
      <c r="B557" s="3" t="n">
        <v>49</v>
      </c>
      <c r="C557" s="3" t="s">
        <v>16</v>
      </c>
      <c r="D557" s="3" t="s">
        <v>23</v>
      </c>
      <c r="E557" s="3" t="s">
        <v>41</v>
      </c>
      <c r="F557" s="3" t="n">
        <v>0.1</v>
      </c>
      <c r="G557" s="3" t="n">
        <v>5461.49</v>
      </c>
      <c r="H557" s="3" t="s">
        <v>19</v>
      </c>
      <c r="I557" s="3" t="n">
        <v>3</v>
      </c>
      <c r="J557" s="3" t="n">
        <v>2</v>
      </c>
      <c r="K557" s="3" t="n">
        <v>3</v>
      </c>
      <c r="L557" s="3" t="n">
        <v>0</v>
      </c>
      <c r="M557" s="3" t="n">
        <v>2</v>
      </c>
      <c r="N557" s="3" t="s">
        <v>20</v>
      </c>
    </row>
    <row r="558" customFormat="false" ht="15" hidden="false" customHeight="false" outlineLevel="0" collapsed="false">
      <c r="A558" s="3" t="s">
        <v>588</v>
      </c>
      <c r="B558" s="3" t="n">
        <v>22</v>
      </c>
      <c r="C558" s="3" t="s">
        <v>26</v>
      </c>
      <c r="D558" s="3" t="s">
        <v>27</v>
      </c>
      <c r="E558" s="3" t="s">
        <v>41</v>
      </c>
      <c r="F558" s="3" t="n">
        <v>1</v>
      </c>
      <c r="G558" s="3" t="n">
        <v>7631.33</v>
      </c>
      <c r="H558" s="3" t="s">
        <v>20</v>
      </c>
      <c r="I558" s="3" t="n">
        <v>3</v>
      </c>
      <c r="J558" s="3" t="n">
        <v>4</v>
      </c>
      <c r="K558" s="3" t="n">
        <v>1</v>
      </c>
      <c r="L558" s="3" t="n">
        <v>0</v>
      </c>
      <c r="M558" s="3" t="n">
        <v>2</v>
      </c>
      <c r="N558" s="3" t="s">
        <v>19</v>
      </c>
    </row>
    <row r="559" customFormat="false" ht="15" hidden="false" customHeight="false" outlineLevel="0" collapsed="false">
      <c r="A559" s="3" t="s">
        <v>589</v>
      </c>
      <c r="B559" s="3" t="n">
        <v>27</v>
      </c>
      <c r="C559" s="3" t="s">
        <v>24</v>
      </c>
      <c r="D559" s="3" t="s">
        <v>27</v>
      </c>
      <c r="E559" s="3" t="s">
        <v>24</v>
      </c>
      <c r="F559" s="3" t="n">
        <v>3.9</v>
      </c>
      <c r="G559" s="3" t="n">
        <v>8234.94</v>
      </c>
      <c r="H559" s="3" t="s">
        <v>19</v>
      </c>
      <c r="I559" s="3" t="n">
        <v>4</v>
      </c>
      <c r="J559" s="3" t="n">
        <v>3</v>
      </c>
      <c r="K559" s="3" t="n">
        <v>1</v>
      </c>
      <c r="L559" s="3" t="n">
        <v>1</v>
      </c>
      <c r="M559" s="3" t="n">
        <v>3</v>
      </c>
      <c r="N559" s="3" t="s">
        <v>19</v>
      </c>
    </row>
    <row r="560" customFormat="false" ht="15" hidden="false" customHeight="false" outlineLevel="0" collapsed="false">
      <c r="A560" s="3" t="s">
        <v>590</v>
      </c>
      <c r="B560" s="3" t="n">
        <v>34</v>
      </c>
      <c r="C560" s="3" t="s">
        <v>16</v>
      </c>
      <c r="D560" s="3" t="s">
        <v>17</v>
      </c>
      <c r="E560" s="3" t="s">
        <v>24</v>
      </c>
      <c r="F560" s="3" t="n">
        <v>4</v>
      </c>
      <c r="G560" s="3" t="n">
        <v>3099.52</v>
      </c>
      <c r="H560" s="3" t="s">
        <v>19</v>
      </c>
      <c r="I560" s="3" t="n">
        <v>3</v>
      </c>
      <c r="J560" s="3" t="n">
        <v>3</v>
      </c>
      <c r="K560" s="3" t="n">
        <v>2</v>
      </c>
      <c r="L560" s="3" t="n">
        <v>1</v>
      </c>
      <c r="M560" s="3" t="n">
        <v>3</v>
      </c>
      <c r="N560" s="3" t="s">
        <v>19</v>
      </c>
    </row>
    <row r="561" customFormat="false" ht="15" hidden="false" customHeight="false" outlineLevel="0" collapsed="false">
      <c r="A561" s="3" t="s">
        <v>591</v>
      </c>
      <c r="B561" s="3" t="n">
        <v>52</v>
      </c>
      <c r="C561" s="3" t="s">
        <v>32</v>
      </c>
      <c r="D561" s="3" t="s">
        <v>27</v>
      </c>
      <c r="E561" s="3" t="s">
        <v>18</v>
      </c>
      <c r="F561" s="3" t="n">
        <v>1.9</v>
      </c>
      <c r="G561" s="3" t="n">
        <v>7176.75</v>
      </c>
      <c r="H561" s="3" t="s">
        <v>19</v>
      </c>
      <c r="I561" s="3" t="n">
        <v>1</v>
      </c>
      <c r="J561" s="3" t="n">
        <v>1</v>
      </c>
      <c r="K561" s="3" t="n">
        <v>14</v>
      </c>
      <c r="L561" s="3" t="n">
        <v>0</v>
      </c>
      <c r="M561" s="3" t="n">
        <v>5</v>
      </c>
      <c r="N561" s="3" t="s">
        <v>19</v>
      </c>
    </row>
    <row r="562" customFormat="false" ht="15" hidden="false" customHeight="false" outlineLevel="0" collapsed="false">
      <c r="A562" s="3" t="s">
        <v>592</v>
      </c>
      <c r="B562" s="3" t="n">
        <v>36</v>
      </c>
      <c r="C562" s="3" t="s">
        <v>32</v>
      </c>
      <c r="D562" s="3" t="s">
        <v>23</v>
      </c>
      <c r="E562" s="3" t="s">
        <v>24</v>
      </c>
      <c r="F562" s="3" t="n">
        <v>0.7</v>
      </c>
      <c r="G562" s="3" t="n">
        <v>5239.32</v>
      </c>
      <c r="H562" s="3" t="s">
        <v>19</v>
      </c>
      <c r="I562" s="3" t="n">
        <v>3</v>
      </c>
      <c r="J562" s="3" t="n">
        <v>3</v>
      </c>
      <c r="K562" s="3" t="n">
        <v>1</v>
      </c>
      <c r="L562" s="3" t="n">
        <v>0</v>
      </c>
      <c r="M562" s="3" t="n">
        <v>0</v>
      </c>
      <c r="N562" s="3" t="s">
        <v>19</v>
      </c>
    </row>
    <row r="563" customFormat="false" ht="15" hidden="false" customHeight="false" outlineLevel="0" collapsed="false">
      <c r="A563" s="3" t="s">
        <v>593</v>
      </c>
      <c r="B563" s="3" t="n">
        <v>37</v>
      </c>
      <c r="C563" s="3" t="s">
        <v>26</v>
      </c>
      <c r="D563" s="3" t="s">
        <v>48</v>
      </c>
      <c r="E563" s="3" t="s">
        <v>28</v>
      </c>
      <c r="F563" s="3" t="n">
        <v>7.2</v>
      </c>
      <c r="G563" s="3" t="n">
        <v>8555.52</v>
      </c>
      <c r="H563" s="3" t="s">
        <v>19</v>
      </c>
      <c r="I563" s="3" t="n">
        <v>2</v>
      </c>
      <c r="J563" s="3" t="n">
        <v>2</v>
      </c>
      <c r="K563" s="3" t="n">
        <v>2</v>
      </c>
      <c r="L563" s="3" t="n">
        <v>3</v>
      </c>
      <c r="M563" s="3" t="n">
        <v>0</v>
      </c>
      <c r="N563" s="3" t="s">
        <v>20</v>
      </c>
    </row>
    <row r="564" customFormat="false" ht="15" hidden="false" customHeight="false" outlineLevel="0" collapsed="false">
      <c r="A564" s="3" t="s">
        <v>594</v>
      </c>
      <c r="B564" s="3" t="n">
        <v>21</v>
      </c>
      <c r="C564" s="3" t="s">
        <v>16</v>
      </c>
      <c r="D564" s="3" t="s">
        <v>23</v>
      </c>
      <c r="E564" s="3" t="s">
        <v>28</v>
      </c>
      <c r="F564" s="3" t="n">
        <v>0</v>
      </c>
      <c r="G564" s="3" t="n">
        <v>5282.29</v>
      </c>
      <c r="H564" s="3" t="s">
        <v>20</v>
      </c>
      <c r="I564" s="3" t="n">
        <v>1</v>
      </c>
      <c r="J564" s="3" t="n">
        <v>3</v>
      </c>
      <c r="K564" s="3" t="n">
        <v>6</v>
      </c>
      <c r="L564" s="3" t="n">
        <v>0</v>
      </c>
      <c r="M564" s="3" t="n">
        <v>5</v>
      </c>
      <c r="N564" s="3" t="s">
        <v>20</v>
      </c>
    </row>
    <row r="565" customFormat="false" ht="15" hidden="false" customHeight="false" outlineLevel="0" collapsed="false">
      <c r="A565" s="3" t="s">
        <v>595</v>
      </c>
      <c r="B565" s="3" t="n">
        <v>41</v>
      </c>
      <c r="C565" s="3" t="s">
        <v>32</v>
      </c>
      <c r="D565" s="3" t="s">
        <v>17</v>
      </c>
      <c r="E565" s="3" t="s">
        <v>18</v>
      </c>
      <c r="F565" s="3" t="n">
        <v>2.8</v>
      </c>
      <c r="G565" s="3" t="n">
        <v>3158.46</v>
      </c>
      <c r="H565" s="3" t="s">
        <v>19</v>
      </c>
      <c r="I565" s="3" t="n">
        <v>4</v>
      </c>
      <c r="J565" s="3" t="n">
        <v>4</v>
      </c>
      <c r="K565" s="3" t="n">
        <v>6</v>
      </c>
      <c r="L565" s="3" t="n">
        <v>2</v>
      </c>
      <c r="M565" s="3" t="n">
        <v>1</v>
      </c>
      <c r="N565" s="3" t="s">
        <v>19</v>
      </c>
    </row>
    <row r="566" customFormat="false" ht="15" hidden="false" customHeight="false" outlineLevel="0" collapsed="false">
      <c r="A566" s="3" t="s">
        <v>596</v>
      </c>
      <c r="B566" s="3" t="n">
        <v>38</v>
      </c>
      <c r="C566" s="3" t="s">
        <v>16</v>
      </c>
      <c r="D566" s="3" t="s">
        <v>17</v>
      </c>
      <c r="E566" s="3" t="s">
        <v>28</v>
      </c>
      <c r="F566" s="3" t="n">
        <v>0.9</v>
      </c>
      <c r="G566" s="3" t="n">
        <v>3819.38</v>
      </c>
      <c r="H566" s="3" t="s">
        <v>19</v>
      </c>
      <c r="I566" s="3" t="n">
        <v>3</v>
      </c>
      <c r="J566" s="3" t="n">
        <v>4</v>
      </c>
      <c r="K566" s="3" t="n">
        <v>4</v>
      </c>
      <c r="L566" s="3" t="n">
        <v>0</v>
      </c>
      <c r="M566" s="3" t="n">
        <v>4</v>
      </c>
      <c r="N566" s="3" t="s">
        <v>19</v>
      </c>
    </row>
    <row r="567" customFormat="false" ht="15" hidden="false" customHeight="false" outlineLevel="0" collapsed="false">
      <c r="A567" s="3" t="s">
        <v>597</v>
      </c>
      <c r="B567" s="3" t="n">
        <v>21</v>
      </c>
      <c r="C567" s="3" t="s">
        <v>26</v>
      </c>
      <c r="D567" s="3" t="s">
        <v>27</v>
      </c>
      <c r="E567" s="3" t="s">
        <v>18</v>
      </c>
      <c r="F567" s="3" t="n">
        <v>0</v>
      </c>
      <c r="G567" s="3" t="n">
        <v>6277.7</v>
      </c>
      <c r="H567" s="3" t="s">
        <v>20</v>
      </c>
      <c r="I567" s="3" t="n">
        <v>3</v>
      </c>
      <c r="J567" s="3" t="n">
        <v>2</v>
      </c>
      <c r="K567" s="3" t="n">
        <v>1</v>
      </c>
      <c r="L567" s="3" t="n">
        <v>0</v>
      </c>
      <c r="M567" s="3" t="n">
        <v>3</v>
      </c>
      <c r="N567" s="3" t="s">
        <v>19</v>
      </c>
    </row>
    <row r="568" customFormat="false" ht="15" hidden="false" customHeight="false" outlineLevel="0" collapsed="false">
      <c r="A568" s="3" t="s">
        <v>598</v>
      </c>
      <c r="B568" s="3" t="n">
        <v>25</v>
      </c>
      <c r="C568" s="3" t="s">
        <v>16</v>
      </c>
      <c r="D568" s="3" t="s">
        <v>17</v>
      </c>
      <c r="E568" s="3" t="s">
        <v>28</v>
      </c>
      <c r="F568" s="3" t="n">
        <v>4</v>
      </c>
      <c r="G568" s="3" t="n">
        <v>3109.51</v>
      </c>
      <c r="H568" s="3" t="s">
        <v>19</v>
      </c>
      <c r="I568" s="3" t="n">
        <v>1</v>
      </c>
      <c r="J568" s="3" t="n">
        <v>3</v>
      </c>
      <c r="K568" s="3" t="n">
        <v>12</v>
      </c>
      <c r="L568" s="3" t="n">
        <v>0</v>
      </c>
      <c r="M568" s="3" t="n">
        <v>0</v>
      </c>
      <c r="N568" s="3" t="s">
        <v>19</v>
      </c>
    </row>
    <row r="569" customFormat="false" ht="15" hidden="false" customHeight="false" outlineLevel="0" collapsed="false">
      <c r="A569" s="3" t="s">
        <v>599</v>
      </c>
      <c r="B569" s="3" t="n">
        <v>32</v>
      </c>
      <c r="C569" s="3" t="s">
        <v>16</v>
      </c>
      <c r="D569" s="3" t="s">
        <v>27</v>
      </c>
      <c r="E569" s="3" t="s">
        <v>41</v>
      </c>
      <c r="F569" s="3" t="n">
        <v>3.8</v>
      </c>
      <c r="G569" s="3" t="n">
        <v>7145.39</v>
      </c>
      <c r="H569" s="3" t="s">
        <v>19</v>
      </c>
      <c r="I569" s="3" t="n">
        <v>3</v>
      </c>
      <c r="J569" s="3" t="n">
        <v>1</v>
      </c>
      <c r="K569" s="3" t="n">
        <v>1</v>
      </c>
      <c r="L569" s="3" t="n">
        <v>0</v>
      </c>
      <c r="M569" s="3" t="n">
        <v>2</v>
      </c>
      <c r="N569" s="3" t="s">
        <v>19</v>
      </c>
    </row>
    <row r="570" customFormat="false" ht="15" hidden="false" customHeight="false" outlineLevel="0" collapsed="false">
      <c r="A570" s="3" t="s">
        <v>600</v>
      </c>
      <c r="B570" s="3" t="n">
        <v>41</v>
      </c>
      <c r="C570" s="3" t="s">
        <v>16</v>
      </c>
      <c r="D570" s="3" t="s">
        <v>17</v>
      </c>
      <c r="E570" s="3" t="s">
        <v>41</v>
      </c>
      <c r="F570" s="3" t="n">
        <v>5.3</v>
      </c>
      <c r="G570" s="3" t="n">
        <v>3460.97</v>
      </c>
      <c r="H570" s="3" t="s">
        <v>19</v>
      </c>
      <c r="I570" s="3" t="n">
        <v>1</v>
      </c>
      <c r="J570" s="3" t="n">
        <v>2</v>
      </c>
      <c r="K570" s="3" t="n">
        <v>9</v>
      </c>
      <c r="L570" s="3" t="n">
        <v>5</v>
      </c>
      <c r="M570" s="3" t="n">
        <v>0</v>
      </c>
      <c r="N570" s="3" t="s">
        <v>20</v>
      </c>
    </row>
    <row r="571" customFormat="false" ht="15" hidden="false" customHeight="false" outlineLevel="0" collapsed="false">
      <c r="A571" s="3" t="s">
        <v>601</v>
      </c>
      <c r="B571" s="3" t="n">
        <v>40</v>
      </c>
      <c r="C571" s="3" t="s">
        <v>32</v>
      </c>
      <c r="D571" s="3" t="s">
        <v>17</v>
      </c>
      <c r="E571" s="3" t="s">
        <v>28</v>
      </c>
      <c r="F571" s="3" t="n">
        <v>0.4</v>
      </c>
      <c r="G571" s="3" t="n">
        <v>2864.71</v>
      </c>
      <c r="H571" s="3" t="s">
        <v>20</v>
      </c>
      <c r="I571" s="3" t="n">
        <v>3</v>
      </c>
      <c r="J571" s="3" t="n">
        <v>3</v>
      </c>
      <c r="K571" s="3" t="n">
        <v>27</v>
      </c>
      <c r="L571" s="3" t="n">
        <v>0</v>
      </c>
      <c r="M571" s="3" t="n">
        <v>2</v>
      </c>
      <c r="N571" s="3" t="s">
        <v>19</v>
      </c>
    </row>
    <row r="572" customFormat="false" ht="15" hidden="false" customHeight="false" outlineLevel="0" collapsed="false">
      <c r="A572" s="3" t="s">
        <v>602</v>
      </c>
      <c r="B572" s="3" t="n">
        <v>31</v>
      </c>
      <c r="C572" s="3" t="s">
        <v>16</v>
      </c>
      <c r="D572" s="3" t="s">
        <v>17</v>
      </c>
      <c r="E572" s="3" t="s">
        <v>41</v>
      </c>
      <c r="F572" s="3" t="n">
        <v>0.4</v>
      </c>
      <c r="G572" s="3" t="n">
        <v>3023.86</v>
      </c>
      <c r="H572" s="3" t="s">
        <v>19</v>
      </c>
      <c r="I572" s="3" t="n">
        <v>4</v>
      </c>
      <c r="J572" s="3" t="n">
        <v>2</v>
      </c>
      <c r="K572" s="3" t="n">
        <v>15</v>
      </c>
      <c r="L572" s="3" t="n">
        <v>0</v>
      </c>
      <c r="M572" s="3" t="n">
        <v>2</v>
      </c>
      <c r="N572" s="3" t="s">
        <v>19</v>
      </c>
    </row>
    <row r="573" customFormat="false" ht="15" hidden="false" customHeight="false" outlineLevel="0" collapsed="false">
      <c r="A573" s="3" t="s">
        <v>603</v>
      </c>
      <c r="B573" s="3" t="n">
        <v>26</v>
      </c>
      <c r="C573" s="3" t="s">
        <v>16</v>
      </c>
      <c r="D573" s="3" t="s">
        <v>17</v>
      </c>
      <c r="E573" s="3" t="s">
        <v>24</v>
      </c>
      <c r="F573" s="3" t="n">
        <v>5</v>
      </c>
      <c r="G573" s="3" t="n">
        <v>2780.49</v>
      </c>
      <c r="H573" s="3" t="s">
        <v>19</v>
      </c>
      <c r="I573" s="3" t="n">
        <v>4</v>
      </c>
      <c r="J573" s="3" t="n">
        <v>3</v>
      </c>
      <c r="K573" s="3" t="n">
        <v>13</v>
      </c>
      <c r="L573" s="3" t="n">
        <v>0</v>
      </c>
      <c r="M573" s="3" t="n">
        <v>0</v>
      </c>
      <c r="N573" s="3" t="s">
        <v>19</v>
      </c>
    </row>
    <row r="574" customFormat="false" ht="15" hidden="false" customHeight="false" outlineLevel="0" collapsed="false">
      <c r="A574" s="3" t="s">
        <v>604</v>
      </c>
      <c r="B574" s="3" t="n">
        <v>46</v>
      </c>
      <c r="C574" s="3" t="s">
        <v>26</v>
      </c>
      <c r="D574" s="3" t="s">
        <v>17</v>
      </c>
      <c r="E574" s="3" t="s">
        <v>41</v>
      </c>
      <c r="F574" s="3" t="n">
        <v>0.9</v>
      </c>
      <c r="G574" s="3" t="n">
        <v>2750.53</v>
      </c>
      <c r="H574" s="3" t="s">
        <v>20</v>
      </c>
      <c r="I574" s="3" t="n">
        <v>4</v>
      </c>
      <c r="J574" s="3" t="n">
        <v>3</v>
      </c>
      <c r="K574" s="3" t="n">
        <v>1</v>
      </c>
      <c r="L574" s="3" t="n">
        <v>0</v>
      </c>
      <c r="M574" s="3" t="n">
        <v>4</v>
      </c>
      <c r="N574" s="3" t="s">
        <v>19</v>
      </c>
    </row>
    <row r="575" customFormat="false" ht="15" hidden="false" customHeight="false" outlineLevel="0" collapsed="false">
      <c r="A575" s="3" t="s">
        <v>605</v>
      </c>
      <c r="B575" s="3" t="n">
        <v>37</v>
      </c>
      <c r="C575" s="3" t="s">
        <v>16</v>
      </c>
      <c r="D575" s="3" t="s">
        <v>17</v>
      </c>
      <c r="E575" s="3" t="s">
        <v>24</v>
      </c>
      <c r="F575" s="3" t="n">
        <v>3</v>
      </c>
      <c r="G575" s="3" t="n">
        <v>3515.46</v>
      </c>
      <c r="H575" s="3" t="s">
        <v>19</v>
      </c>
      <c r="I575" s="3" t="n">
        <v>4</v>
      </c>
      <c r="J575" s="3" t="n">
        <v>4</v>
      </c>
      <c r="K575" s="3" t="n">
        <v>7</v>
      </c>
      <c r="L575" s="3" t="n">
        <v>0</v>
      </c>
      <c r="M575" s="3" t="n">
        <v>4</v>
      </c>
      <c r="N575" s="3" t="s">
        <v>19</v>
      </c>
    </row>
    <row r="576" customFormat="false" ht="15" hidden="false" customHeight="false" outlineLevel="0" collapsed="false">
      <c r="A576" s="3" t="s">
        <v>606</v>
      </c>
      <c r="B576" s="3" t="n">
        <v>26</v>
      </c>
      <c r="C576" s="3" t="s">
        <v>32</v>
      </c>
      <c r="D576" s="3" t="s">
        <v>17</v>
      </c>
      <c r="E576" s="3" t="s">
        <v>24</v>
      </c>
      <c r="F576" s="3" t="n">
        <v>1.8</v>
      </c>
      <c r="G576" s="3" t="n">
        <v>3762.57</v>
      </c>
      <c r="H576" s="3" t="s">
        <v>19</v>
      </c>
      <c r="I576" s="3" t="n">
        <v>2</v>
      </c>
      <c r="J576" s="3" t="n">
        <v>2</v>
      </c>
      <c r="K576" s="3" t="n">
        <v>10</v>
      </c>
      <c r="L576" s="3" t="n">
        <v>0</v>
      </c>
      <c r="M576" s="3" t="n">
        <v>0</v>
      </c>
      <c r="N576" s="3" t="s">
        <v>19</v>
      </c>
    </row>
    <row r="577" customFormat="false" ht="15" hidden="false" customHeight="false" outlineLevel="0" collapsed="false">
      <c r="A577" s="3" t="s">
        <v>607</v>
      </c>
      <c r="B577" s="3" t="n">
        <v>35</v>
      </c>
      <c r="C577" s="3" t="s">
        <v>24</v>
      </c>
      <c r="D577" s="3" t="s">
        <v>23</v>
      </c>
      <c r="E577" s="3" t="s">
        <v>41</v>
      </c>
      <c r="F577" s="3" t="n">
        <v>0</v>
      </c>
      <c r="G577" s="3" t="n">
        <v>4295.99</v>
      </c>
      <c r="H577" s="3" t="s">
        <v>19</v>
      </c>
      <c r="I577" s="3" t="n">
        <v>3</v>
      </c>
      <c r="J577" s="3" t="n">
        <v>1</v>
      </c>
      <c r="K577" s="3" t="n">
        <v>13</v>
      </c>
      <c r="L577" s="3" t="n">
        <v>0</v>
      </c>
      <c r="M577" s="3" t="n">
        <v>0</v>
      </c>
      <c r="N577" s="3" t="s">
        <v>19</v>
      </c>
    </row>
    <row r="578" customFormat="false" ht="15" hidden="false" customHeight="false" outlineLevel="0" collapsed="false">
      <c r="A578" s="3" t="s">
        <v>608</v>
      </c>
      <c r="B578" s="3" t="n">
        <v>21</v>
      </c>
      <c r="C578" s="3" t="s">
        <v>26</v>
      </c>
      <c r="D578" s="3" t="s">
        <v>17</v>
      </c>
      <c r="E578" s="3" t="s">
        <v>28</v>
      </c>
      <c r="F578" s="3" t="n">
        <v>0</v>
      </c>
      <c r="G578" s="3" t="n">
        <v>3468.25</v>
      </c>
      <c r="H578" s="3" t="s">
        <v>20</v>
      </c>
      <c r="I578" s="3" t="n">
        <v>3</v>
      </c>
      <c r="J578" s="3" t="n">
        <v>3</v>
      </c>
      <c r="K578" s="3" t="n">
        <v>10</v>
      </c>
      <c r="L578" s="3" t="n">
        <v>0</v>
      </c>
      <c r="M578" s="3" t="n">
        <v>4</v>
      </c>
      <c r="N578" s="3" t="s">
        <v>19</v>
      </c>
    </row>
    <row r="579" customFormat="false" ht="15" hidden="false" customHeight="false" outlineLevel="0" collapsed="false">
      <c r="A579" s="3" t="s">
        <v>609</v>
      </c>
      <c r="B579" s="3" t="n">
        <v>26</v>
      </c>
      <c r="C579" s="3" t="s">
        <v>22</v>
      </c>
      <c r="D579" s="3" t="s">
        <v>17</v>
      </c>
      <c r="E579" s="3" t="s">
        <v>24</v>
      </c>
      <c r="F579" s="3" t="n">
        <v>1</v>
      </c>
      <c r="G579" s="3" t="n">
        <v>3717.11</v>
      </c>
      <c r="H579" s="3" t="s">
        <v>20</v>
      </c>
      <c r="I579" s="3" t="n">
        <v>4</v>
      </c>
      <c r="J579" s="3" t="n">
        <v>3</v>
      </c>
      <c r="K579" s="3" t="n">
        <v>16</v>
      </c>
      <c r="L579" s="3" t="n">
        <v>0</v>
      </c>
      <c r="M579" s="3" t="n">
        <v>3</v>
      </c>
      <c r="N579" s="3" t="s">
        <v>19</v>
      </c>
    </row>
    <row r="580" customFormat="false" ht="15" hidden="false" customHeight="false" outlineLevel="0" collapsed="false">
      <c r="A580" s="3" t="s">
        <v>610</v>
      </c>
      <c r="B580" s="3" t="n">
        <v>48</v>
      </c>
      <c r="C580" s="3" t="s">
        <v>16</v>
      </c>
      <c r="D580" s="3" t="s">
        <v>23</v>
      </c>
      <c r="E580" s="3" t="s">
        <v>41</v>
      </c>
      <c r="F580" s="3" t="n">
        <v>0.6</v>
      </c>
      <c r="G580" s="3" t="n">
        <v>5245.04</v>
      </c>
      <c r="H580" s="3" t="s">
        <v>19</v>
      </c>
      <c r="I580" s="3" t="n">
        <v>3</v>
      </c>
      <c r="J580" s="3" t="n">
        <v>1</v>
      </c>
      <c r="K580" s="3" t="n">
        <v>40</v>
      </c>
      <c r="L580" s="3" t="n">
        <v>0</v>
      </c>
      <c r="M580" s="3" t="n">
        <v>1</v>
      </c>
      <c r="N580" s="3" t="s">
        <v>19</v>
      </c>
    </row>
    <row r="581" customFormat="false" ht="15" hidden="false" customHeight="false" outlineLevel="0" collapsed="false">
      <c r="A581" s="3" t="s">
        <v>611</v>
      </c>
      <c r="B581" s="3" t="n">
        <v>49</v>
      </c>
      <c r="C581" s="3" t="s">
        <v>32</v>
      </c>
      <c r="D581" s="3" t="s">
        <v>27</v>
      </c>
      <c r="E581" s="3" t="s">
        <v>28</v>
      </c>
      <c r="F581" s="3" t="n">
        <v>2.1</v>
      </c>
      <c r="G581" s="3" t="n">
        <v>7350.62</v>
      </c>
      <c r="H581" s="3" t="s">
        <v>19</v>
      </c>
      <c r="I581" s="3" t="n">
        <v>3</v>
      </c>
      <c r="J581" s="3" t="n">
        <v>3</v>
      </c>
      <c r="K581" s="3" t="n">
        <v>2</v>
      </c>
      <c r="L581" s="3" t="n">
        <v>1</v>
      </c>
      <c r="M581" s="3" t="n">
        <v>3</v>
      </c>
      <c r="N581" s="3" t="s">
        <v>19</v>
      </c>
    </row>
    <row r="582" customFormat="false" ht="15" hidden="false" customHeight="false" outlineLevel="0" collapsed="false">
      <c r="A582" s="3" t="s">
        <v>612</v>
      </c>
      <c r="B582" s="3" t="n">
        <v>27</v>
      </c>
      <c r="C582" s="3" t="s">
        <v>22</v>
      </c>
      <c r="D582" s="3" t="s">
        <v>48</v>
      </c>
      <c r="E582" s="3" t="s">
        <v>24</v>
      </c>
      <c r="F582" s="3" t="n">
        <v>1.1</v>
      </c>
      <c r="G582" s="3" t="n">
        <v>10846.67</v>
      </c>
      <c r="H582" s="3" t="s">
        <v>20</v>
      </c>
      <c r="I582" s="3" t="n">
        <v>3</v>
      </c>
      <c r="J582" s="3" t="n">
        <v>2</v>
      </c>
      <c r="K582" s="3" t="n">
        <v>18</v>
      </c>
      <c r="L582" s="3" t="n">
        <v>0</v>
      </c>
      <c r="M582" s="3" t="n">
        <v>3</v>
      </c>
      <c r="N582" s="3" t="s">
        <v>19</v>
      </c>
    </row>
    <row r="583" customFormat="false" ht="15" hidden="false" customHeight="false" outlineLevel="0" collapsed="false">
      <c r="A583" s="3" t="s">
        <v>613</v>
      </c>
      <c r="B583" s="3" t="n">
        <v>35</v>
      </c>
      <c r="C583" s="3" t="s">
        <v>32</v>
      </c>
      <c r="D583" s="3" t="s">
        <v>23</v>
      </c>
      <c r="E583" s="3" t="s">
        <v>41</v>
      </c>
      <c r="F583" s="3" t="n">
        <v>2.5</v>
      </c>
      <c r="G583" s="3" t="n">
        <v>4734.17</v>
      </c>
      <c r="H583" s="3" t="s">
        <v>19</v>
      </c>
      <c r="I583" s="3" t="n">
        <v>3</v>
      </c>
      <c r="J583" s="3" t="n">
        <v>2</v>
      </c>
      <c r="K583" s="3" t="n">
        <v>18</v>
      </c>
      <c r="L583" s="3" t="n">
        <v>2</v>
      </c>
      <c r="M583" s="3" t="n">
        <v>3</v>
      </c>
      <c r="N583" s="3" t="s">
        <v>19</v>
      </c>
    </row>
    <row r="584" customFormat="false" ht="15" hidden="false" customHeight="false" outlineLevel="0" collapsed="false">
      <c r="A584" s="3" t="s">
        <v>614</v>
      </c>
      <c r="B584" s="3" t="n">
        <v>50</v>
      </c>
      <c r="C584" s="3" t="s">
        <v>32</v>
      </c>
      <c r="D584" s="3" t="s">
        <v>17</v>
      </c>
      <c r="E584" s="3" t="s">
        <v>18</v>
      </c>
      <c r="F584" s="3" t="n">
        <v>1.4</v>
      </c>
      <c r="G584" s="3" t="n">
        <v>3754.42</v>
      </c>
      <c r="H584" s="3" t="s">
        <v>19</v>
      </c>
      <c r="I584" s="3" t="n">
        <v>3</v>
      </c>
      <c r="J584" s="3" t="n">
        <v>4</v>
      </c>
      <c r="K584" s="3" t="n">
        <v>8</v>
      </c>
      <c r="L584" s="3" t="n">
        <v>1</v>
      </c>
      <c r="M584" s="3" t="n">
        <v>0</v>
      </c>
      <c r="N584" s="3" t="s">
        <v>19</v>
      </c>
    </row>
    <row r="585" customFormat="false" ht="15" hidden="false" customHeight="false" outlineLevel="0" collapsed="false">
      <c r="A585" s="3" t="s">
        <v>615</v>
      </c>
      <c r="B585" s="3" t="n">
        <v>29</v>
      </c>
      <c r="C585" s="3" t="s">
        <v>16</v>
      </c>
      <c r="D585" s="3" t="s">
        <v>23</v>
      </c>
      <c r="E585" s="3" t="s">
        <v>18</v>
      </c>
      <c r="F585" s="3" t="n">
        <v>3.3</v>
      </c>
      <c r="G585" s="3" t="n">
        <v>4246.3</v>
      </c>
      <c r="H585" s="3" t="s">
        <v>19</v>
      </c>
      <c r="I585" s="3" t="n">
        <v>3</v>
      </c>
      <c r="J585" s="3" t="n">
        <v>4</v>
      </c>
      <c r="K585" s="3" t="n">
        <v>9</v>
      </c>
      <c r="L585" s="3" t="n">
        <v>0</v>
      </c>
      <c r="M585" s="3" t="n">
        <v>2</v>
      </c>
      <c r="N585" s="3" t="s">
        <v>19</v>
      </c>
    </row>
    <row r="586" customFormat="false" ht="15" hidden="false" customHeight="false" outlineLevel="0" collapsed="false">
      <c r="A586" s="3" t="s">
        <v>616</v>
      </c>
      <c r="B586" s="3" t="n">
        <v>33</v>
      </c>
      <c r="C586" s="3" t="s">
        <v>22</v>
      </c>
      <c r="D586" s="3" t="s">
        <v>17</v>
      </c>
      <c r="E586" s="3" t="s">
        <v>41</v>
      </c>
      <c r="F586" s="3" t="n">
        <v>2.8</v>
      </c>
      <c r="G586" s="3" t="n">
        <v>3334.81</v>
      </c>
      <c r="H586" s="3" t="s">
        <v>20</v>
      </c>
      <c r="I586" s="3" t="n">
        <v>4</v>
      </c>
      <c r="J586" s="3" t="n">
        <v>2</v>
      </c>
      <c r="K586" s="3" t="n">
        <v>16</v>
      </c>
      <c r="L586" s="3" t="n">
        <v>2</v>
      </c>
      <c r="M586" s="3" t="n">
        <v>0</v>
      </c>
      <c r="N586" s="3" t="s">
        <v>19</v>
      </c>
    </row>
    <row r="587" customFormat="false" ht="15" hidden="false" customHeight="false" outlineLevel="0" collapsed="false">
      <c r="A587" s="3" t="s">
        <v>617</v>
      </c>
      <c r="B587" s="3" t="n">
        <v>41</v>
      </c>
      <c r="C587" s="3" t="s">
        <v>26</v>
      </c>
      <c r="D587" s="3" t="s">
        <v>17</v>
      </c>
      <c r="E587" s="3" t="s">
        <v>24</v>
      </c>
      <c r="F587" s="3" t="n">
        <v>1.6</v>
      </c>
      <c r="G587" s="3" t="n">
        <v>3682.39</v>
      </c>
      <c r="H587" s="3" t="s">
        <v>20</v>
      </c>
      <c r="I587" s="3" t="n">
        <v>4</v>
      </c>
      <c r="J587" s="3" t="n">
        <v>1</v>
      </c>
      <c r="K587" s="3" t="n">
        <v>7</v>
      </c>
      <c r="L587" s="3" t="n">
        <v>0</v>
      </c>
      <c r="M587" s="3" t="n">
        <v>4</v>
      </c>
      <c r="N587" s="3" t="s">
        <v>20</v>
      </c>
    </row>
    <row r="588" customFormat="false" ht="15" hidden="false" customHeight="false" outlineLevel="0" collapsed="false">
      <c r="A588" s="3" t="s">
        <v>618</v>
      </c>
      <c r="B588" s="3" t="n">
        <v>33</v>
      </c>
      <c r="C588" s="3" t="s">
        <v>16</v>
      </c>
      <c r="D588" s="3" t="s">
        <v>48</v>
      </c>
      <c r="E588" s="3" t="s">
        <v>28</v>
      </c>
      <c r="F588" s="3" t="n">
        <v>0.3</v>
      </c>
      <c r="G588" s="3" t="n">
        <v>10972.65</v>
      </c>
      <c r="H588" s="3" t="s">
        <v>19</v>
      </c>
      <c r="I588" s="3" t="n">
        <v>4</v>
      </c>
      <c r="J588" s="3" t="n">
        <v>2</v>
      </c>
      <c r="K588" s="3" t="n">
        <v>5</v>
      </c>
      <c r="L588" s="3" t="n">
        <v>0</v>
      </c>
      <c r="M588" s="3" t="n">
        <v>3</v>
      </c>
      <c r="N588" s="3" t="s">
        <v>19</v>
      </c>
    </row>
    <row r="589" customFormat="false" ht="15" hidden="false" customHeight="false" outlineLevel="0" collapsed="false">
      <c r="A589" s="3" t="s">
        <v>619</v>
      </c>
      <c r="B589" s="3" t="n">
        <v>37</v>
      </c>
      <c r="C589" s="3" t="s">
        <v>16</v>
      </c>
      <c r="D589" s="3" t="s">
        <v>17</v>
      </c>
      <c r="E589" s="3" t="s">
        <v>28</v>
      </c>
      <c r="F589" s="3" t="n">
        <v>1.9</v>
      </c>
      <c r="G589" s="3" t="n">
        <v>3772.14</v>
      </c>
      <c r="H589" s="3" t="s">
        <v>19</v>
      </c>
      <c r="I589" s="3" t="n">
        <v>3</v>
      </c>
      <c r="J589" s="3" t="n">
        <v>3</v>
      </c>
      <c r="K589" s="3" t="n">
        <v>2</v>
      </c>
      <c r="L589" s="3" t="n">
        <v>1</v>
      </c>
      <c r="M589" s="3" t="n">
        <v>2</v>
      </c>
      <c r="N589" s="3" t="s">
        <v>19</v>
      </c>
    </row>
    <row r="590" customFormat="false" ht="15" hidden="false" customHeight="false" outlineLevel="0" collapsed="false">
      <c r="A590" s="3" t="s">
        <v>620</v>
      </c>
      <c r="B590" s="3" t="n">
        <v>37</v>
      </c>
      <c r="C590" s="3" t="s">
        <v>24</v>
      </c>
      <c r="D590" s="3" t="s">
        <v>23</v>
      </c>
      <c r="E590" s="3" t="s">
        <v>18</v>
      </c>
      <c r="F590" s="3" t="n">
        <v>0.9</v>
      </c>
      <c r="G590" s="3" t="n">
        <v>5382.45</v>
      </c>
      <c r="H590" s="3" t="s">
        <v>19</v>
      </c>
      <c r="I590" s="3" t="n">
        <v>2</v>
      </c>
      <c r="J590" s="3" t="n">
        <v>4</v>
      </c>
      <c r="K590" s="3" t="n">
        <v>8</v>
      </c>
      <c r="L590" s="3" t="n">
        <v>0</v>
      </c>
      <c r="M590" s="3" t="n">
        <v>1</v>
      </c>
      <c r="N590" s="3" t="s">
        <v>19</v>
      </c>
    </row>
    <row r="591" customFormat="false" ht="15" hidden="false" customHeight="false" outlineLevel="0" collapsed="false">
      <c r="A591" s="3" t="s">
        <v>621</v>
      </c>
      <c r="B591" s="3" t="n">
        <v>39</v>
      </c>
      <c r="C591" s="3" t="s">
        <v>22</v>
      </c>
      <c r="D591" s="3" t="s">
        <v>23</v>
      </c>
      <c r="E591" s="3" t="s">
        <v>41</v>
      </c>
      <c r="F591" s="3" t="n">
        <v>5.6</v>
      </c>
      <c r="G591" s="3" t="n">
        <v>4618.13</v>
      </c>
      <c r="H591" s="3" t="s">
        <v>19</v>
      </c>
      <c r="I591" s="3" t="n">
        <v>1</v>
      </c>
      <c r="J591" s="3" t="n">
        <v>4</v>
      </c>
      <c r="K591" s="3" t="n">
        <v>16</v>
      </c>
      <c r="L591" s="3" t="n">
        <v>0</v>
      </c>
      <c r="M591" s="3" t="n">
        <v>3</v>
      </c>
      <c r="N591" s="3" t="s">
        <v>19</v>
      </c>
    </row>
    <row r="592" customFormat="false" ht="15" hidden="false" customHeight="false" outlineLevel="0" collapsed="false">
      <c r="A592" s="3" t="s">
        <v>622</v>
      </c>
      <c r="B592" s="3" t="n">
        <v>29</v>
      </c>
      <c r="C592" s="3" t="s">
        <v>26</v>
      </c>
      <c r="D592" s="3" t="s">
        <v>27</v>
      </c>
      <c r="E592" s="3" t="s">
        <v>18</v>
      </c>
      <c r="F592" s="3" t="n">
        <v>1.6</v>
      </c>
      <c r="G592" s="3" t="n">
        <v>7437.68</v>
      </c>
      <c r="H592" s="3" t="s">
        <v>19</v>
      </c>
      <c r="I592" s="3" t="n">
        <v>3</v>
      </c>
      <c r="J592" s="3" t="n">
        <v>4</v>
      </c>
      <c r="K592" s="3" t="n">
        <v>3</v>
      </c>
      <c r="L592" s="3" t="n">
        <v>1</v>
      </c>
      <c r="M592" s="3" t="n">
        <v>0</v>
      </c>
      <c r="N592" s="3" t="s">
        <v>19</v>
      </c>
    </row>
    <row r="593" customFormat="false" ht="15" hidden="false" customHeight="false" outlineLevel="0" collapsed="false">
      <c r="A593" s="3" t="s">
        <v>623</v>
      </c>
      <c r="B593" s="3" t="n">
        <v>30</v>
      </c>
      <c r="C593" s="3" t="s">
        <v>32</v>
      </c>
      <c r="D593" s="3" t="s">
        <v>23</v>
      </c>
      <c r="E593" s="3" t="s">
        <v>18</v>
      </c>
      <c r="F593" s="3" t="n">
        <v>0.5</v>
      </c>
      <c r="G593" s="3" t="n">
        <v>4718.01</v>
      </c>
      <c r="H593" s="3" t="s">
        <v>20</v>
      </c>
      <c r="I593" s="3" t="n">
        <v>3</v>
      </c>
      <c r="J593" s="3" t="n">
        <v>1</v>
      </c>
      <c r="K593" s="3" t="n">
        <v>10</v>
      </c>
      <c r="L593" s="3" t="n">
        <v>0</v>
      </c>
      <c r="M593" s="3" t="n">
        <v>3</v>
      </c>
      <c r="N593" s="3" t="s">
        <v>20</v>
      </c>
    </row>
    <row r="594" customFormat="false" ht="15" hidden="false" customHeight="false" outlineLevel="0" collapsed="false">
      <c r="A594" s="3" t="s">
        <v>624</v>
      </c>
      <c r="B594" s="3" t="n">
        <v>34</v>
      </c>
      <c r="C594" s="3" t="s">
        <v>45</v>
      </c>
      <c r="D594" s="3" t="s">
        <v>17</v>
      </c>
      <c r="E594" s="3" t="s">
        <v>24</v>
      </c>
      <c r="F594" s="3" t="n">
        <v>0.5</v>
      </c>
      <c r="G594" s="3" t="n">
        <v>3583.04</v>
      </c>
      <c r="H594" s="3" t="s">
        <v>19</v>
      </c>
      <c r="I594" s="3" t="n">
        <v>4</v>
      </c>
      <c r="J594" s="3" t="n">
        <v>2</v>
      </c>
      <c r="K594" s="3" t="n">
        <v>1</v>
      </c>
      <c r="L594" s="3" t="n">
        <v>0</v>
      </c>
      <c r="M594" s="3" t="n">
        <v>4</v>
      </c>
      <c r="N594" s="3" t="s">
        <v>19</v>
      </c>
    </row>
    <row r="595" customFormat="false" ht="15" hidden="false" customHeight="false" outlineLevel="0" collapsed="false">
      <c r="A595" s="3" t="s">
        <v>625</v>
      </c>
      <c r="B595" s="3" t="n">
        <v>38</v>
      </c>
      <c r="C595" s="3" t="s">
        <v>26</v>
      </c>
      <c r="D595" s="3" t="s">
        <v>23</v>
      </c>
      <c r="E595" s="3" t="s">
        <v>41</v>
      </c>
      <c r="F595" s="3" t="n">
        <v>8.3</v>
      </c>
      <c r="G595" s="3" t="n">
        <v>5593.03</v>
      </c>
      <c r="H595" s="3" t="s">
        <v>19</v>
      </c>
      <c r="I595" s="3" t="n">
        <v>2</v>
      </c>
      <c r="J595" s="3" t="n">
        <v>1</v>
      </c>
      <c r="K595" s="3" t="n">
        <v>1</v>
      </c>
      <c r="L595" s="3" t="n">
        <v>1</v>
      </c>
      <c r="M595" s="3" t="n">
        <v>2</v>
      </c>
      <c r="N595" s="3" t="s">
        <v>19</v>
      </c>
    </row>
    <row r="596" customFormat="false" ht="15" hidden="false" customHeight="false" outlineLevel="0" collapsed="false">
      <c r="A596" s="3" t="s">
        <v>626</v>
      </c>
      <c r="B596" s="3" t="n">
        <v>34</v>
      </c>
      <c r="C596" s="3" t="s">
        <v>22</v>
      </c>
      <c r="D596" s="3" t="s">
        <v>27</v>
      </c>
      <c r="E596" s="3" t="s">
        <v>24</v>
      </c>
      <c r="F596" s="3" t="n">
        <v>8.7</v>
      </c>
      <c r="G596" s="3" t="n">
        <v>6761.59</v>
      </c>
      <c r="H596" s="3" t="s">
        <v>19</v>
      </c>
      <c r="I596" s="3" t="n">
        <v>2</v>
      </c>
      <c r="J596" s="3" t="n">
        <v>3</v>
      </c>
      <c r="K596" s="3" t="n">
        <v>1</v>
      </c>
      <c r="L596" s="3" t="n">
        <v>0</v>
      </c>
      <c r="M596" s="3" t="n">
        <v>4</v>
      </c>
      <c r="N596" s="3" t="s">
        <v>19</v>
      </c>
    </row>
    <row r="597" customFormat="false" ht="15" hidden="false" customHeight="false" outlineLevel="0" collapsed="false">
      <c r="A597" s="3" t="s">
        <v>627</v>
      </c>
      <c r="B597" s="3" t="n">
        <v>48</v>
      </c>
      <c r="C597" s="3" t="s">
        <v>24</v>
      </c>
      <c r="D597" s="3" t="s">
        <v>48</v>
      </c>
      <c r="E597" s="3" t="s">
        <v>28</v>
      </c>
      <c r="F597" s="3" t="n">
        <v>3.3</v>
      </c>
      <c r="G597" s="3" t="n">
        <v>11291.97</v>
      </c>
      <c r="H597" s="3" t="s">
        <v>19</v>
      </c>
      <c r="I597" s="3" t="n">
        <v>3</v>
      </c>
      <c r="J597" s="3" t="n">
        <v>4</v>
      </c>
      <c r="K597" s="3" t="n">
        <v>2</v>
      </c>
      <c r="L597" s="3" t="n">
        <v>1</v>
      </c>
      <c r="M597" s="3" t="n">
        <v>2</v>
      </c>
      <c r="N597" s="3" t="s">
        <v>19</v>
      </c>
    </row>
    <row r="598" customFormat="false" ht="15" hidden="false" customHeight="false" outlineLevel="0" collapsed="false">
      <c r="A598" s="3" t="s">
        <v>628</v>
      </c>
      <c r="B598" s="3" t="n">
        <v>30</v>
      </c>
      <c r="C598" s="3" t="s">
        <v>22</v>
      </c>
      <c r="D598" s="3" t="s">
        <v>48</v>
      </c>
      <c r="E598" s="3" t="s">
        <v>24</v>
      </c>
      <c r="F598" s="3" t="n">
        <v>4.3</v>
      </c>
      <c r="G598" s="3" t="n">
        <v>10648.86</v>
      </c>
      <c r="H598" s="3" t="s">
        <v>19</v>
      </c>
      <c r="I598" s="3" t="n">
        <v>3</v>
      </c>
      <c r="J598" s="3" t="n">
        <v>3</v>
      </c>
      <c r="K598" s="3" t="n">
        <v>1</v>
      </c>
      <c r="L598" s="3" t="n">
        <v>1</v>
      </c>
      <c r="M598" s="3" t="n">
        <v>3</v>
      </c>
      <c r="N598" s="3" t="s">
        <v>19</v>
      </c>
    </row>
    <row r="599" customFormat="false" ht="15" hidden="false" customHeight="false" outlineLevel="0" collapsed="false">
      <c r="A599" s="3" t="s">
        <v>629</v>
      </c>
      <c r="B599" s="3" t="n">
        <v>21</v>
      </c>
      <c r="C599" s="3" t="s">
        <v>22</v>
      </c>
      <c r="D599" s="3" t="s">
        <v>23</v>
      </c>
      <c r="E599" s="3" t="s">
        <v>18</v>
      </c>
      <c r="F599" s="3" t="n">
        <v>0</v>
      </c>
      <c r="G599" s="3" t="n">
        <v>4623.06</v>
      </c>
      <c r="H599" s="3" t="s">
        <v>19</v>
      </c>
      <c r="I599" s="3" t="n">
        <v>1</v>
      </c>
      <c r="J599" s="3" t="n">
        <v>4</v>
      </c>
      <c r="K599" s="3" t="n">
        <v>4</v>
      </c>
      <c r="L599" s="3" t="n">
        <v>0</v>
      </c>
      <c r="M599" s="3" t="n">
        <v>3</v>
      </c>
      <c r="N599" s="3" t="s">
        <v>20</v>
      </c>
    </row>
    <row r="600" customFormat="false" ht="15" hidden="false" customHeight="false" outlineLevel="0" collapsed="false">
      <c r="A600" s="3" t="s">
        <v>630</v>
      </c>
      <c r="B600" s="3" t="n">
        <v>37</v>
      </c>
      <c r="C600" s="3" t="s">
        <v>32</v>
      </c>
      <c r="D600" s="3" t="s">
        <v>17</v>
      </c>
      <c r="E600" s="3" t="s">
        <v>41</v>
      </c>
      <c r="F600" s="3" t="n">
        <v>4.6</v>
      </c>
      <c r="G600" s="3" t="n">
        <v>3292.32</v>
      </c>
      <c r="H600" s="3" t="s">
        <v>19</v>
      </c>
      <c r="I600" s="3" t="n">
        <v>2</v>
      </c>
      <c r="J600" s="3" t="n">
        <v>3</v>
      </c>
      <c r="K600" s="3" t="n">
        <v>23</v>
      </c>
      <c r="L600" s="3" t="n">
        <v>1</v>
      </c>
      <c r="M600" s="3" t="n">
        <v>1</v>
      </c>
      <c r="N600" s="3" t="s">
        <v>19</v>
      </c>
    </row>
    <row r="601" customFormat="false" ht="15" hidden="false" customHeight="false" outlineLevel="0" collapsed="false">
      <c r="A601" s="3" t="s">
        <v>631</v>
      </c>
      <c r="B601" s="3" t="n">
        <v>31</v>
      </c>
      <c r="C601" s="3" t="s">
        <v>22</v>
      </c>
      <c r="D601" s="3" t="s">
        <v>17</v>
      </c>
      <c r="E601" s="3" t="s">
        <v>18</v>
      </c>
      <c r="F601" s="3" t="n">
        <v>4.7</v>
      </c>
      <c r="G601" s="3" t="n">
        <v>3393.25</v>
      </c>
      <c r="H601" s="3" t="s">
        <v>20</v>
      </c>
      <c r="I601" s="3" t="n">
        <v>3</v>
      </c>
      <c r="J601" s="3" t="n">
        <v>3</v>
      </c>
      <c r="K601" s="3" t="n">
        <v>1</v>
      </c>
      <c r="L601" s="3" t="n">
        <v>0</v>
      </c>
      <c r="M601" s="3" t="n">
        <v>2</v>
      </c>
      <c r="N601" s="3" t="s">
        <v>19</v>
      </c>
    </row>
    <row r="602" customFormat="false" ht="15" hidden="false" customHeight="false" outlineLevel="0" collapsed="false">
      <c r="A602" s="3" t="s">
        <v>632</v>
      </c>
      <c r="B602" s="3" t="n">
        <v>31</v>
      </c>
      <c r="C602" s="3" t="s">
        <v>24</v>
      </c>
      <c r="D602" s="3" t="s">
        <v>23</v>
      </c>
      <c r="E602" s="3" t="s">
        <v>24</v>
      </c>
      <c r="F602" s="3" t="n">
        <v>5.5</v>
      </c>
      <c r="G602" s="3" t="n">
        <v>4942.28</v>
      </c>
      <c r="H602" s="3" t="s">
        <v>19</v>
      </c>
      <c r="I602" s="3" t="n">
        <v>2</v>
      </c>
      <c r="J602" s="3" t="n">
        <v>2</v>
      </c>
      <c r="K602" s="3" t="n">
        <v>5</v>
      </c>
      <c r="L602" s="3" t="n">
        <v>1</v>
      </c>
      <c r="M602" s="3" t="n">
        <v>3</v>
      </c>
      <c r="N602" s="3" t="s">
        <v>19</v>
      </c>
    </row>
    <row r="603" customFormat="false" ht="15" hidden="false" customHeight="false" outlineLevel="0" collapsed="false">
      <c r="A603" s="3" t="s">
        <v>633</v>
      </c>
      <c r="B603" s="3" t="n">
        <v>33</v>
      </c>
      <c r="C603" s="3" t="s">
        <v>26</v>
      </c>
      <c r="D603" s="3" t="s">
        <v>23</v>
      </c>
      <c r="E603" s="3" t="s">
        <v>18</v>
      </c>
      <c r="F603" s="3" t="n">
        <v>0.3</v>
      </c>
      <c r="G603" s="3" t="n">
        <v>5426.7</v>
      </c>
      <c r="H603" s="3" t="s">
        <v>19</v>
      </c>
      <c r="I603" s="3" t="n">
        <v>2</v>
      </c>
      <c r="J603" s="3" t="n">
        <v>2</v>
      </c>
      <c r="K603" s="3" t="n">
        <v>13</v>
      </c>
      <c r="L603" s="3" t="n">
        <v>0</v>
      </c>
      <c r="M603" s="3" t="n">
        <v>2</v>
      </c>
      <c r="N603" s="3" t="s">
        <v>19</v>
      </c>
    </row>
    <row r="604" customFormat="false" ht="15" hidden="false" customHeight="false" outlineLevel="0" collapsed="false">
      <c r="A604" s="3" t="s">
        <v>634</v>
      </c>
      <c r="B604" s="3" t="n">
        <v>48</v>
      </c>
      <c r="C604" s="3" t="s">
        <v>26</v>
      </c>
      <c r="D604" s="3" t="s">
        <v>23</v>
      </c>
      <c r="E604" s="3" t="s">
        <v>41</v>
      </c>
      <c r="F604" s="3" t="n">
        <v>1.5</v>
      </c>
      <c r="G604" s="3" t="n">
        <v>5661.84</v>
      </c>
      <c r="H604" s="3" t="s">
        <v>20</v>
      </c>
      <c r="I604" s="3" t="n">
        <v>1</v>
      </c>
      <c r="J604" s="3" t="n">
        <v>1</v>
      </c>
      <c r="K604" s="3" t="n">
        <v>2</v>
      </c>
      <c r="L604" s="3" t="n">
        <v>0</v>
      </c>
      <c r="M604" s="3" t="n">
        <v>4</v>
      </c>
      <c r="N604" s="3" t="s">
        <v>20</v>
      </c>
    </row>
    <row r="605" customFormat="false" ht="15" hidden="false" customHeight="false" outlineLevel="0" collapsed="false">
      <c r="A605" s="3" t="s">
        <v>635</v>
      </c>
      <c r="B605" s="3" t="n">
        <v>47</v>
      </c>
      <c r="C605" s="3" t="s">
        <v>22</v>
      </c>
      <c r="D605" s="3" t="s">
        <v>23</v>
      </c>
      <c r="E605" s="3" t="s">
        <v>28</v>
      </c>
      <c r="F605" s="3" t="n">
        <v>1</v>
      </c>
      <c r="G605" s="3" t="n">
        <v>5080.19</v>
      </c>
      <c r="H605" s="3" t="s">
        <v>20</v>
      </c>
      <c r="I605" s="3" t="n">
        <v>2</v>
      </c>
      <c r="J605" s="3" t="n">
        <v>3</v>
      </c>
      <c r="K605" s="3" t="n">
        <v>6</v>
      </c>
      <c r="L605" s="3" t="n">
        <v>0</v>
      </c>
      <c r="M605" s="3" t="n">
        <v>3</v>
      </c>
      <c r="N605" s="3" t="s">
        <v>19</v>
      </c>
    </row>
    <row r="606" customFormat="false" ht="15" hidden="false" customHeight="false" outlineLevel="0" collapsed="false">
      <c r="A606" s="3" t="s">
        <v>636</v>
      </c>
      <c r="B606" s="3" t="n">
        <v>48</v>
      </c>
      <c r="C606" s="3" t="s">
        <v>16</v>
      </c>
      <c r="D606" s="3" t="s">
        <v>27</v>
      </c>
      <c r="E606" s="3" t="s">
        <v>18</v>
      </c>
      <c r="F606" s="3" t="n">
        <v>2.6</v>
      </c>
      <c r="G606" s="3" t="n">
        <v>8113.79</v>
      </c>
      <c r="H606" s="3" t="s">
        <v>20</v>
      </c>
      <c r="I606" s="3" t="n">
        <v>2</v>
      </c>
      <c r="J606" s="3" t="n">
        <v>4</v>
      </c>
      <c r="K606" s="3" t="n">
        <v>1</v>
      </c>
      <c r="L606" s="3" t="n">
        <v>1</v>
      </c>
      <c r="M606" s="3" t="n">
        <v>4</v>
      </c>
      <c r="N606" s="3" t="s">
        <v>19</v>
      </c>
    </row>
    <row r="607" customFormat="false" ht="15" hidden="false" customHeight="false" outlineLevel="0" collapsed="false">
      <c r="A607" s="3" t="s">
        <v>637</v>
      </c>
      <c r="B607" s="3" t="n">
        <v>36</v>
      </c>
      <c r="C607" s="3" t="s">
        <v>16</v>
      </c>
      <c r="D607" s="3" t="s">
        <v>27</v>
      </c>
      <c r="E607" s="3" t="s">
        <v>18</v>
      </c>
      <c r="F607" s="3" t="n">
        <v>1</v>
      </c>
      <c r="G607" s="3" t="n">
        <v>6542.84</v>
      </c>
      <c r="H607" s="3" t="s">
        <v>19</v>
      </c>
      <c r="I607" s="3" t="n">
        <v>1</v>
      </c>
      <c r="J607" s="3" t="n">
        <v>3</v>
      </c>
      <c r="K607" s="3" t="n">
        <v>19</v>
      </c>
      <c r="L607" s="3" t="n">
        <v>0</v>
      </c>
      <c r="M607" s="3" t="n">
        <v>0</v>
      </c>
      <c r="N607" s="3" t="s">
        <v>19</v>
      </c>
    </row>
    <row r="608" customFormat="false" ht="15" hidden="false" customHeight="false" outlineLevel="0" collapsed="false">
      <c r="A608" s="3" t="s">
        <v>638</v>
      </c>
      <c r="B608" s="3" t="n">
        <v>40</v>
      </c>
      <c r="C608" s="3" t="s">
        <v>22</v>
      </c>
      <c r="D608" s="3" t="s">
        <v>27</v>
      </c>
      <c r="E608" s="3" t="s">
        <v>18</v>
      </c>
      <c r="F608" s="3" t="n">
        <v>2.5</v>
      </c>
      <c r="G608" s="3" t="n">
        <v>8173.35</v>
      </c>
      <c r="H608" s="3" t="s">
        <v>19</v>
      </c>
      <c r="I608" s="3" t="n">
        <v>4</v>
      </c>
      <c r="J608" s="3" t="n">
        <v>2</v>
      </c>
      <c r="K608" s="3" t="n">
        <v>4</v>
      </c>
      <c r="L608" s="3" t="n">
        <v>2</v>
      </c>
      <c r="M608" s="3" t="n">
        <v>1</v>
      </c>
      <c r="N608" s="3" t="s">
        <v>19</v>
      </c>
    </row>
    <row r="609" customFormat="false" ht="15" hidden="false" customHeight="false" outlineLevel="0" collapsed="false">
      <c r="A609" s="3" t="s">
        <v>639</v>
      </c>
      <c r="B609" s="3" t="n">
        <v>40</v>
      </c>
      <c r="C609" s="3" t="s">
        <v>24</v>
      </c>
      <c r="D609" s="3" t="s">
        <v>27</v>
      </c>
      <c r="E609" s="3" t="s">
        <v>28</v>
      </c>
      <c r="F609" s="3" t="n">
        <v>1.3</v>
      </c>
      <c r="G609" s="3" t="n">
        <v>7616.5</v>
      </c>
      <c r="H609" s="3" t="s">
        <v>19</v>
      </c>
      <c r="I609" s="3" t="n">
        <v>3</v>
      </c>
      <c r="J609" s="3" t="n">
        <v>3</v>
      </c>
      <c r="K609" s="3" t="n">
        <v>11</v>
      </c>
      <c r="L609" s="3" t="n">
        <v>1</v>
      </c>
      <c r="M609" s="3" t="n">
        <v>1</v>
      </c>
      <c r="N609" s="3" t="s">
        <v>19</v>
      </c>
    </row>
    <row r="610" customFormat="false" ht="15" hidden="false" customHeight="false" outlineLevel="0" collapsed="false">
      <c r="A610" s="3" t="s">
        <v>640</v>
      </c>
      <c r="B610" s="3" t="n">
        <v>25</v>
      </c>
      <c r="C610" s="3" t="s">
        <v>32</v>
      </c>
      <c r="D610" s="3" t="s">
        <v>48</v>
      </c>
      <c r="E610" s="3" t="s">
        <v>41</v>
      </c>
      <c r="F610" s="3" t="n">
        <v>3.6</v>
      </c>
      <c r="G610" s="3" t="n">
        <v>8294.65</v>
      </c>
      <c r="H610" s="3" t="s">
        <v>19</v>
      </c>
      <c r="I610" s="3" t="n">
        <v>3</v>
      </c>
      <c r="J610" s="3" t="n">
        <v>4</v>
      </c>
      <c r="K610" s="3" t="n">
        <v>17</v>
      </c>
      <c r="L610" s="3" t="n">
        <v>0</v>
      </c>
      <c r="M610" s="3" t="n">
        <v>4</v>
      </c>
      <c r="N610" s="3" t="s">
        <v>19</v>
      </c>
    </row>
    <row r="611" customFormat="false" ht="15" hidden="false" customHeight="false" outlineLevel="0" collapsed="false">
      <c r="A611" s="3" t="s">
        <v>641</v>
      </c>
      <c r="B611" s="3" t="n">
        <v>36</v>
      </c>
      <c r="C611" s="3" t="s">
        <v>32</v>
      </c>
      <c r="D611" s="3" t="s">
        <v>23</v>
      </c>
      <c r="E611" s="3" t="s">
        <v>41</v>
      </c>
      <c r="F611" s="3" t="n">
        <v>0.5</v>
      </c>
      <c r="G611" s="3" t="n">
        <v>4568.22</v>
      </c>
      <c r="H611" s="3" t="s">
        <v>19</v>
      </c>
      <c r="I611" s="3" t="n">
        <v>3</v>
      </c>
      <c r="J611" s="3" t="n">
        <v>3</v>
      </c>
      <c r="K611" s="3" t="n">
        <v>11</v>
      </c>
      <c r="L611" s="3" t="n">
        <v>0</v>
      </c>
      <c r="M611" s="3" t="n">
        <v>3</v>
      </c>
      <c r="N611" s="3" t="s">
        <v>19</v>
      </c>
    </row>
    <row r="612" customFormat="false" ht="15" hidden="false" customHeight="false" outlineLevel="0" collapsed="false">
      <c r="A612" s="3" t="s">
        <v>642</v>
      </c>
      <c r="B612" s="3" t="n">
        <v>38</v>
      </c>
      <c r="C612" s="3" t="s">
        <v>24</v>
      </c>
      <c r="D612" s="3" t="s">
        <v>17</v>
      </c>
      <c r="E612" s="3" t="s">
        <v>28</v>
      </c>
      <c r="F612" s="3" t="n">
        <v>0.1</v>
      </c>
      <c r="G612" s="3" t="n">
        <v>2970.31</v>
      </c>
      <c r="H612" s="3" t="s">
        <v>19</v>
      </c>
      <c r="I612" s="3" t="n">
        <v>3</v>
      </c>
      <c r="J612" s="3" t="n">
        <v>3</v>
      </c>
      <c r="K612" s="3" t="n">
        <v>8</v>
      </c>
      <c r="L612" s="3" t="n">
        <v>0</v>
      </c>
      <c r="M612" s="3" t="n">
        <v>3</v>
      </c>
      <c r="N612" s="3" t="s">
        <v>19</v>
      </c>
    </row>
    <row r="613" customFormat="false" ht="15" hidden="false" customHeight="false" outlineLevel="0" collapsed="false">
      <c r="A613" s="3" t="s">
        <v>643</v>
      </c>
      <c r="B613" s="3" t="n">
        <v>39</v>
      </c>
      <c r="C613" s="3" t="s">
        <v>26</v>
      </c>
      <c r="D613" s="3" t="s">
        <v>23</v>
      </c>
      <c r="E613" s="3" t="s">
        <v>28</v>
      </c>
      <c r="F613" s="3" t="n">
        <v>3</v>
      </c>
      <c r="G613" s="3" t="n">
        <v>4599.33</v>
      </c>
      <c r="H613" s="3" t="s">
        <v>20</v>
      </c>
      <c r="I613" s="3" t="n">
        <v>2</v>
      </c>
      <c r="J613" s="3" t="n">
        <v>2</v>
      </c>
      <c r="K613" s="3" t="n">
        <v>9</v>
      </c>
      <c r="L613" s="3" t="n">
        <v>1</v>
      </c>
      <c r="M613" s="3" t="n">
        <v>4</v>
      </c>
      <c r="N613" s="3" t="s">
        <v>20</v>
      </c>
    </row>
    <row r="614" customFormat="false" ht="15" hidden="false" customHeight="false" outlineLevel="0" collapsed="false">
      <c r="A614" s="3" t="s">
        <v>644</v>
      </c>
      <c r="B614" s="3" t="n">
        <v>49</v>
      </c>
      <c r="C614" s="3" t="s">
        <v>16</v>
      </c>
      <c r="D614" s="3" t="s">
        <v>27</v>
      </c>
      <c r="E614" s="3" t="s">
        <v>28</v>
      </c>
      <c r="F614" s="3" t="n">
        <v>0.1</v>
      </c>
      <c r="G614" s="3" t="n">
        <v>6604.65</v>
      </c>
      <c r="H614" s="3" t="s">
        <v>19</v>
      </c>
      <c r="I614" s="3" t="n">
        <v>4</v>
      </c>
      <c r="J614" s="3" t="n">
        <v>3</v>
      </c>
      <c r="K614" s="3" t="n">
        <v>3</v>
      </c>
      <c r="L614" s="3" t="n">
        <v>0</v>
      </c>
      <c r="M614" s="3" t="n">
        <v>1</v>
      </c>
      <c r="N614" s="3" t="s">
        <v>19</v>
      </c>
    </row>
    <row r="615" customFormat="false" ht="15" hidden="false" customHeight="false" outlineLevel="0" collapsed="false">
      <c r="A615" s="3" t="s">
        <v>645</v>
      </c>
      <c r="B615" s="3" t="n">
        <v>38</v>
      </c>
      <c r="C615" s="3" t="s">
        <v>45</v>
      </c>
      <c r="D615" s="3" t="s">
        <v>23</v>
      </c>
      <c r="E615" s="3" t="s">
        <v>28</v>
      </c>
      <c r="F615" s="3" t="n">
        <v>12</v>
      </c>
      <c r="G615" s="3" t="n">
        <v>4220.99</v>
      </c>
      <c r="H615" s="3" t="s">
        <v>19</v>
      </c>
      <c r="I615" s="3" t="n">
        <v>3</v>
      </c>
      <c r="J615" s="3" t="n">
        <v>2</v>
      </c>
      <c r="K615" s="3" t="n">
        <v>1</v>
      </c>
      <c r="L615" s="3" t="n">
        <v>4</v>
      </c>
      <c r="M615" s="3" t="n">
        <v>1</v>
      </c>
      <c r="N615" s="3" t="s">
        <v>20</v>
      </c>
    </row>
    <row r="616" customFormat="false" ht="15" hidden="false" customHeight="false" outlineLevel="0" collapsed="false">
      <c r="A616" s="3" t="s">
        <v>646</v>
      </c>
      <c r="B616" s="3" t="n">
        <v>36</v>
      </c>
      <c r="C616" s="3" t="s">
        <v>16</v>
      </c>
      <c r="D616" s="3" t="s">
        <v>17</v>
      </c>
      <c r="E616" s="3" t="s">
        <v>41</v>
      </c>
      <c r="F616" s="3" t="n">
        <v>0.3</v>
      </c>
      <c r="G616" s="3" t="n">
        <v>3529.13</v>
      </c>
      <c r="H616" s="3" t="s">
        <v>19</v>
      </c>
      <c r="I616" s="3" t="n">
        <v>2</v>
      </c>
      <c r="J616" s="3" t="n">
        <v>3</v>
      </c>
      <c r="K616" s="3" t="n">
        <v>11</v>
      </c>
      <c r="L616" s="3" t="n">
        <v>0</v>
      </c>
      <c r="M616" s="3" t="n">
        <v>0</v>
      </c>
      <c r="N616" s="3" t="s">
        <v>20</v>
      </c>
    </row>
    <row r="617" customFormat="false" ht="15" hidden="false" customHeight="false" outlineLevel="0" collapsed="false">
      <c r="A617" s="3" t="s">
        <v>647</v>
      </c>
      <c r="B617" s="3" t="n">
        <v>28</v>
      </c>
      <c r="C617" s="3" t="s">
        <v>16</v>
      </c>
      <c r="D617" s="3" t="s">
        <v>17</v>
      </c>
      <c r="E617" s="3" t="s">
        <v>24</v>
      </c>
      <c r="F617" s="3" t="n">
        <v>0.5</v>
      </c>
      <c r="G617" s="3" t="n">
        <v>3028.92</v>
      </c>
      <c r="H617" s="3" t="s">
        <v>19</v>
      </c>
      <c r="I617" s="3" t="n">
        <v>1</v>
      </c>
      <c r="J617" s="3" t="n">
        <v>4</v>
      </c>
      <c r="K617" s="3" t="n">
        <v>22</v>
      </c>
      <c r="L617" s="3" t="n">
        <v>0</v>
      </c>
      <c r="M617" s="3" t="n">
        <v>2</v>
      </c>
      <c r="N617" s="3" t="s">
        <v>19</v>
      </c>
    </row>
    <row r="618" customFormat="false" ht="15" hidden="false" customHeight="false" outlineLevel="0" collapsed="false">
      <c r="A618" s="3" t="s">
        <v>648</v>
      </c>
      <c r="B618" s="3" t="n">
        <v>42</v>
      </c>
      <c r="C618" s="3" t="s">
        <v>26</v>
      </c>
      <c r="D618" s="3" t="s">
        <v>17</v>
      </c>
      <c r="E618" s="3" t="s">
        <v>28</v>
      </c>
      <c r="F618" s="3" t="n">
        <v>3.5</v>
      </c>
      <c r="G618" s="3" t="n">
        <v>3521.29</v>
      </c>
      <c r="H618" s="3" t="s">
        <v>19</v>
      </c>
      <c r="I618" s="3" t="n">
        <v>3</v>
      </c>
      <c r="J618" s="3" t="n">
        <v>3</v>
      </c>
      <c r="K618" s="3" t="n">
        <v>1</v>
      </c>
      <c r="L618" s="3" t="n">
        <v>0</v>
      </c>
      <c r="M618" s="3" t="n">
        <v>2</v>
      </c>
      <c r="N618" s="3" t="s">
        <v>19</v>
      </c>
    </row>
    <row r="619" customFormat="false" ht="15" hidden="false" customHeight="false" outlineLevel="0" collapsed="false">
      <c r="A619" s="3" t="s">
        <v>649</v>
      </c>
      <c r="B619" s="3" t="n">
        <v>27</v>
      </c>
      <c r="C619" s="3" t="s">
        <v>16</v>
      </c>
      <c r="D619" s="3" t="s">
        <v>17</v>
      </c>
      <c r="E619" s="3" t="s">
        <v>41</v>
      </c>
      <c r="F619" s="3" t="n">
        <v>6</v>
      </c>
      <c r="G619" s="3" t="n">
        <v>2722.07</v>
      </c>
      <c r="H619" s="3" t="s">
        <v>19</v>
      </c>
      <c r="I619" s="3" t="n">
        <v>1</v>
      </c>
      <c r="J619" s="3" t="n">
        <v>2</v>
      </c>
      <c r="K619" s="3" t="n">
        <v>15</v>
      </c>
      <c r="L619" s="3" t="n">
        <v>0</v>
      </c>
      <c r="M619" s="3" t="n">
        <v>3</v>
      </c>
      <c r="N619" s="3" t="s">
        <v>20</v>
      </c>
    </row>
    <row r="620" customFormat="false" ht="15" hidden="false" customHeight="false" outlineLevel="0" collapsed="false">
      <c r="A620" s="3" t="s">
        <v>650</v>
      </c>
      <c r="B620" s="3" t="n">
        <v>21</v>
      </c>
      <c r="C620" s="3" t="s">
        <v>24</v>
      </c>
      <c r="D620" s="3" t="s">
        <v>17</v>
      </c>
      <c r="E620" s="3" t="s">
        <v>18</v>
      </c>
      <c r="F620" s="3" t="n">
        <v>0</v>
      </c>
      <c r="G620" s="3" t="n">
        <v>3133.47</v>
      </c>
      <c r="H620" s="3" t="s">
        <v>20</v>
      </c>
      <c r="I620" s="3" t="n">
        <v>1</v>
      </c>
      <c r="J620" s="3" t="n">
        <v>3</v>
      </c>
      <c r="K620" s="3" t="n">
        <v>16</v>
      </c>
      <c r="L620" s="3" t="n">
        <v>0</v>
      </c>
      <c r="M620" s="3" t="n">
        <v>5</v>
      </c>
      <c r="N620" s="3" t="s">
        <v>20</v>
      </c>
    </row>
    <row r="621" customFormat="false" ht="15" hidden="false" customHeight="false" outlineLevel="0" collapsed="false">
      <c r="A621" s="3" t="s">
        <v>651</v>
      </c>
      <c r="B621" s="3" t="n">
        <v>26</v>
      </c>
      <c r="C621" s="3" t="s">
        <v>26</v>
      </c>
      <c r="D621" s="3" t="s">
        <v>27</v>
      </c>
      <c r="E621" s="3" t="s">
        <v>28</v>
      </c>
      <c r="F621" s="3" t="n">
        <v>1.2</v>
      </c>
      <c r="G621" s="3" t="n">
        <v>6751.07</v>
      </c>
      <c r="H621" s="3" t="s">
        <v>20</v>
      </c>
      <c r="I621" s="3" t="n">
        <v>1</v>
      </c>
      <c r="J621" s="3" t="n">
        <v>2</v>
      </c>
      <c r="K621" s="3" t="n">
        <v>15</v>
      </c>
      <c r="L621" s="3" t="n">
        <v>1</v>
      </c>
      <c r="M621" s="3" t="n">
        <v>1</v>
      </c>
      <c r="N621" s="3" t="s">
        <v>19</v>
      </c>
    </row>
    <row r="622" customFormat="false" ht="15" hidden="false" customHeight="false" outlineLevel="0" collapsed="false">
      <c r="A622" s="3" t="s">
        <v>652</v>
      </c>
      <c r="B622" s="3" t="n">
        <v>29</v>
      </c>
      <c r="C622" s="3" t="s">
        <v>26</v>
      </c>
      <c r="D622" s="3" t="s">
        <v>27</v>
      </c>
      <c r="E622" s="3" t="s">
        <v>18</v>
      </c>
      <c r="F622" s="3" t="n">
        <v>8</v>
      </c>
      <c r="G622" s="3" t="n">
        <v>7234.02</v>
      </c>
      <c r="H622" s="3" t="s">
        <v>19</v>
      </c>
      <c r="I622" s="3" t="n">
        <v>1</v>
      </c>
      <c r="J622" s="3" t="n">
        <v>4</v>
      </c>
      <c r="K622" s="3" t="n">
        <v>3</v>
      </c>
      <c r="L622" s="3" t="n">
        <v>2</v>
      </c>
      <c r="M622" s="3" t="n">
        <v>2</v>
      </c>
      <c r="N622" s="3" t="s">
        <v>19</v>
      </c>
    </row>
    <row r="623" customFormat="false" ht="15" hidden="false" customHeight="false" outlineLevel="0" collapsed="false">
      <c r="A623" s="3" t="s">
        <v>653</v>
      </c>
      <c r="B623" s="3" t="n">
        <v>21</v>
      </c>
      <c r="C623" s="3" t="s">
        <v>16</v>
      </c>
      <c r="D623" s="3" t="s">
        <v>17</v>
      </c>
      <c r="E623" s="3" t="s">
        <v>24</v>
      </c>
      <c r="F623" s="3" t="n">
        <v>0</v>
      </c>
      <c r="G623" s="3" t="n">
        <v>3547.15</v>
      </c>
      <c r="H623" s="3" t="s">
        <v>19</v>
      </c>
      <c r="I623" s="3" t="n">
        <v>3</v>
      </c>
      <c r="J623" s="3" t="n">
        <v>3</v>
      </c>
      <c r="K623" s="3" t="n">
        <v>2</v>
      </c>
      <c r="L623" s="3" t="n">
        <v>0</v>
      </c>
      <c r="M623" s="3" t="n">
        <v>4</v>
      </c>
      <c r="N623" s="3" t="s">
        <v>19</v>
      </c>
    </row>
    <row r="624" customFormat="false" ht="15" hidden="false" customHeight="false" outlineLevel="0" collapsed="false">
      <c r="A624" s="3" t="s">
        <v>654</v>
      </c>
      <c r="B624" s="3" t="n">
        <v>37</v>
      </c>
      <c r="C624" s="3" t="s">
        <v>16</v>
      </c>
      <c r="D624" s="3" t="s">
        <v>17</v>
      </c>
      <c r="E624" s="3" t="s">
        <v>28</v>
      </c>
      <c r="F624" s="3" t="n">
        <v>0.2</v>
      </c>
      <c r="G624" s="3" t="n">
        <v>3186.88</v>
      </c>
      <c r="H624" s="3" t="s">
        <v>19</v>
      </c>
      <c r="I624" s="3" t="n">
        <v>3</v>
      </c>
      <c r="J624" s="3" t="n">
        <v>2</v>
      </c>
      <c r="K624" s="3" t="n">
        <v>2</v>
      </c>
      <c r="L624" s="3" t="n">
        <v>0</v>
      </c>
      <c r="M624" s="3" t="n">
        <v>2</v>
      </c>
      <c r="N624" s="3" t="s">
        <v>19</v>
      </c>
    </row>
    <row r="625" customFormat="false" ht="15" hidden="false" customHeight="false" outlineLevel="0" collapsed="false">
      <c r="A625" s="3" t="s">
        <v>655</v>
      </c>
      <c r="B625" s="3" t="n">
        <v>31</v>
      </c>
      <c r="C625" s="3" t="s">
        <v>24</v>
      </c>
      <c r="D625" s="3" t="s">
        <v>17</v>
      </c>
      <c r="E625" s="3" t="s">
        <v>24</v>
      </c>
      <c r="F625" s="3" t="n">
        <v>8.6</v>
      </c>
      <c r="G625" s="3" t="n">
        <v>3158.72</v>
      </c>
      <c r="H625" s="3" t="s">
        <v>19</v>
      </c>
      <c r="I625" s="3" t="n">
        <v>4</v>
      </c>
      <c r="J625" s="3" t="n">
        <v>1</v>
      </c>
      <c r="K625" s="3" t="n">
        <v>2</v>
      </c>
      <c r="L625" s="3" t="n">
        <v>6</v>
      </c>
      <c r="M625" s="3" t="n">
        <v>1</v>
      </c>
      <c r="N625" s="3" t="s">
        <v>20</v>
      </c>
    </row>
    <row r="626" customFormat="false" ht="15" hidden="false" customHeight="false" outlineLevel="0" collapsed="false">
      <c r="A626" s="3" t="s">
        <v>656</v>
      </c>
      <c r="B626" s="3" t="n">
        <v>36</v>
      </c>
      <c r="C626" s="3" t="s">
        <v>16</v>
      </c>
      <c r="D626" s="3" t="s">
        <v>17</v>
      </c>
      <c r="E626" s="3" t="s">
        <v>24</v>
      </c>
      <c r="F626" s="3" t="n">
        <v>3</v>
      </c>
      <c r="G626" s="3" t="n">
        <v>3814.31</v>
      </c>
      <c r="H626" s="3" t="s">
        <v>19</v>
      </c>
      <c r="I626" s="3" t="n">
        <v>3</v>
      </c>
      <c r="J626" s="3" t="n">
        <v>2</v>
      </c>
      <c r="K626" s="3" t="n">
        <v>26</v>
      </c>
      <c r="L626" s="3" t="n">
        <v>0</v>
      </c>
      <c r="M626" s="3" t="n">
        <v>4</v>
      </c>
      <c r="N626" s="3" t="s">
        <v>20</v>
      </c>
    </row>
    <row r="627" customFormat="false" ht="15" hidden="false" customHeight="false" outlineLevel="0" collapsed="false">
      <c r="A627" s="3" t="s">
        <v>657</v>
      </c>
      <c r="B627" s="3" t="n">
        <v>31</v>
      </c>
      <c r="C627" s="3" t="s">
        <v>22</v>
      </c>
      <c r="D627" s="3" t="s">
        <v>23</v>
      </c>
      <c r="E627" s="3" t="s">
        <v>41</v>
      </c>
      <c r="F627" s="3" t="n">
        <v>1.2</v>
      </c>
      <c r="G627" s="3" t="n">
        <v>4151.3</v>
      </c>
      <c r="H627" s="3" t="s">
        <v>19</v>
      </c>
      <c r="I627" s="3" t="n">
        <v>3</v>
      </c>
      <c r="J627" s="3" t="n">
        <v>3</v>
      </c>
      <c r="K627" s="3" t="n">
        <v>9</v>
      </c>
      <c r="L627" s="3" t="n">
        <v>0</v>
      </c>
      <c r="M627" s="3" t="n">
        <v>1</v>
      </c>
      <c r="N627" s="3" t="s">
        <v>19</v>
      </c>
    </row>
    <row r="628" customFormat="false" ht="15" hidden="false" customHeight="false" outlineLevel="0" collapsed="false">
      <c r="A628" s="3" t="s">
        <v>658</v>
      </c>
      <c r="B628" s="3" t="n">
        <v>38</v>
      </c>
      <c r="C628" s="3" t="s">
        <v>32</v>
      </c>
      <c r="D628" s="3" t="s">
        <v>17</v>
      </c>
      <c r="E628" s="3" t="s">
        <v>28</v>
      </c>
      <c r="F628" s="3" t="n">
        <v>0.9</v>
      </c>
      <c r="G628" s="3" t="n">
        <v>3032.24</v>
      </c>
      <c r="H628" s="3" t="s">
        <v>19</v>
      </c>
      <c r="I628" s="3" t="n">
        <v>4</v>
      </c>
      <c r="J628" s="3" t="n">
        <v>1</v>
      </c>
      <c r="K628" s="3" t="n">
        <v>3</v>
      </c>
      <c r="L628" s="3" t="n">
        <v>0</v>
      </c>
      <c r="M628" s="3" t="n">
        <v>2</v>
      </c>
      <c r="N628" s="3" t="s">
        <v>19</v>
      </c>
    </row>
    <row r="629" customFormat="false" ht="15" hidden="false" customHeight="false" outlineLevel="0" collapsed="false">
      <c r="A629" s="3" t="s">
        <v>659</v>
      </c>
      <c r="B629" s="3" t="n">
        <v>41</v>
      </c>
      <c r="C629" s="3" t="s">
        <v>16</v>
      </c>
      <c r="D629" s="3" t="s">
        <v>27</v>
      </c>
      <c r="E629" s="3" t="s">
        <v>24</v>
      </c>
      <c r="F629" s="3" t="n">
        <v>0.2</v>
      </c>
      <c r="G629" s="3" t="n">
        <v>8431.76</v>
      </c>
      <c r="H629" s="3" t="s">
        <v>20</v>
      </c>
      <c r="I629" s="3" t="n">
        <v>3</v>
      </c>
      <c r="J629" s="3" t="n">
        <v>4</v>
      </c>
      <c r="K629" s="3" t="n">
        <v>11</v>
      </c>
      <c r="L629" s="3" t="n">
        <v>0</v>
      </c>
      <c r="M629" s="3" t="n">
        <v>3</v>
      </c>
      <c r="N629" s="3" t="s">
        <v>19</v>
      </c>
    </row>
    <row r="630" customFormat="false" ht="15" hidden="false" customHeight="false" outlineLevel="0" collapsed="false">
      <c r="A630" s="3" t="s">
        <v>660</v>
      </c>
      <c r="B630" s="3" t="n">
        <v>25</v>
      </c>
      <c r="C630" s="3" t="s">
        <v>22</v>
      </c>
      <c r="D630" s="3" t="s">
        <v>23</v>
      </c>
      <c r="E630" s="3" t="s">
        <v>41</v>
      </c>
      <c r="F630" s="3" t="n">
        <v>4</v>
      </c>
      <c r="G630" s="3" t="n">
        <v>4591.65</v>
      </c>
      <c r="H630" s="3" t="s">
        <v>19</v>
      </c>
      <c r="I630" s="3" t="n">
        <v>2</v>
      </c>
      <c r="J630" s="3" t="n">
        <v>2</v>
      </c>
      <c r="K630" s="3" t="n">
        <v>1</v>
      </c>
      <c r="L630" s="3" t="n">
        <v>4</v>
      </c>
      <c r="M630" s="3" t="n">
        <v>1</v>
      </c>
      <c r="N630" s="3" t="s">
        <v>20</v>
      </c>
    </row>
    <row r="631" customFormat="false" ht="15" hidden="false" customHeight="false" outlineLevel="0" collapsed="false">
      <c r="A631" s="3" t="s">
        <v>661</v>
      </c>
      <c r="B631" s="3" t="n">
        <v>21</v>
      </c>
      <c r="C631" s="3" t="s">
        <v>22</v>
      </c>
      <c r="D631" s="3" t="s">
        <v>23</v>
      </c>
      <c r="E631" s="3" t="s">
        <v>28</v>
      </c>
      <c r="F631" s="3" t="n">
        <v>0</v>
      </c>
      <c r="G631" s="3" t="n">
        <v>5468.27</v>
      </c>
      <c r="H631" s="3" t="s">
        <v>19</v>
      </c>
      <c r="I631" s="3" t="n">
        <v>1</v>
      </c>
      <c r="J631" s="3" t="n">
        <v>3</v>
      </c>
      <c r="K631" s="3" t="n">
        <v>11</v>
      </c>
      <c r="L631" s="3" t="n">
        <v>0</v>
      </c>
      <c r="M631" s="3" t="n">
        <v>2</v>
      </c>
      <c r="N631" s="3" t="s">
        <v>19</v>
      </c>
    </row>
    <row r="632" customFormat="false" ht="15" hidden="false" customHeight="false" outlineLevel="0" collapsed="false">
      <c r="A632" s="3" t="s">
        <v>662</v>
      </c>
      <c r="B632" s="3" t="n">
        <v>41</v>
      </c>
      <c r="C632" s="3" t="s">
        <v>32</v>
      </c>
      <c r="D632" s="3" t="s">
        <v>23</v>
      </c>
      <c r="E632" s="3" t="s">
        <v>28</v>
      </c>
      <c r="F632" s="3" t="n">
        <v>4</v>
      </c>
      <c r="G632" s="3" t="n">
        <v>5583.62</v>
      </c>
      <c r="H632" s="3" t="s">
        <v>19</v>
      </c>
      <c r="I632" s="3" t="n">
        <v>4</v>
      </c>
      <c r="J632" s="3" t="n">
        <v>4</v>
      </c>
      <c r="K632" s="3" t="n">
        <v>1</v>
      </c>
      <c r="L632" s="3" t="n">
        <v>0</v>
      </c>
      <c r="M632" s="3" t="n">
        <v>3</v>
      </c>
      <c r="N632" s="3" t="s">
        <v>19</v>
      </c>
    </row>
    <row r="633" customFormat="false" ht="15" hidden="false" customHeight="false" outlineLevel="0" collapsed="false">
      <c r="A633" s="3" t="s">
        <v>663</v>
      </c>
      <c r="B633" s="3" t="n">
        <v>27</v>
      </c>
      <c r="C633" s="3" t="s">
        <v>45</v>
      </c>
      <c r="D633" s="3" t="s">
        <v>17</v>
      </c>
      <c r="E633" s="3" t="s">
        <v>18</v>
      </c>
      <c r="F633" s="3" t="n">
        <v>1</v>
      </c>
      <c r="G633" s="3" t="n">
        <v>3400.75</v>
      </c>
      <c r="H633" s="3" t="s">
        <v>19</v>
      </c>
      <c r="I633" s="3" t="n">
        <v>4</v>
      </c>
      <c r="J633" s="3" t="n">
        <v>1</v>
      </c>
      <c r="K633" s="3" t="n">
        <v>7</v>
      </c>
      <c r="L633" s="3" t="n">
        <v>1</v>
      </c>
      <c r="M633" s="3" t="n">
        <v>4</v>
      </c>
      <c r="N633" s="3" t="s">
        <v>19</v>
      </c>
    </row>
    <row r="634" customFormat="false" ht="15" hidden="false" customHeight="false" outlineLevel="0" collapsed="false">
      <c r="A634" s="3" t="s">
        <v>664</v>
      </c>
      <c r="B634" s="3" t="n">
        <v>27</v>
      </c>
      <c r="C634" s="3" t="s">
        <v>32</v>
      </c>
      <c r="D634" s="3" t="s">
        <v>27</v>
      </c>
      <c r="E634" s="3" t="s">
        <v>41</v>
      </c>
      <c r="F634" s="3" t="n">
        <v>0.9</v>
      </c>
      <c r="G634" s="3" t="n">
        <v>6745.59</v>
      </c>
      <c r="H634" s="3" t="s">
        <v>20</v>
      </c>
      <c r="I634" s="3" t="n">
        <v>3</v>
      </c>
      <c r="J634" s="3" t="n">
        <v>3</v>
      </c>
      <c r="K634" s="3" t="n">
        <v>2</v>
      </c>
      <c r="L634" s="3" t="n">
        <v>0</v>
      </c>
      <c r="M634" s="3" t="n">
        <v>0</v>
      </c>
      <c r="N634" s="3" t="s">
        <v>19</v>
      </c>
    </row>
    <row r="635" customFormat="false" ht="15" hidden="false" customHeight="false" outlineLevel="0" collapsed="false">
      <c r="A635" s="3" t="s">
        <v>665</v>
      </c>
      <c r="B635" s="3" t="n">
        <v>22</v>
      </c>
      <c r="C635" s="3" t="s">
        <v>32</v>
      </c>
      <c r="D635" s="3" t="s">
        <v>17</v>
      </c>
      <c r="E635" s="3" t="s">
        <v>28</v>
      </c>
      <c r="F635" s="3" t="n">
        <v>1</v>
      </c>
      <c r="G635" s="3" t="n">
        <v>3026.46</v>
      </c>
      <c r="H635" s="3" t="s">
        <v>19</v>
      </c>
      <c r="I635" s="3" t="n">
        <v>3</v>
      </c>
      <c r="J635" s="3" t="n">
        <v>2</v>
      </c>
      <c r="K635" s="3" t="n">
        <v>4</v>
      </c>
      <c r="L635" s="3" t="n">
        <v>1</v>
      </c>
      <c r="M635" s="3" t="n">
        <v>1</v>
      </c>
      <c r="N635" s="3" t="s">
        <v>19</v>
      </c>
    </row>
    <row r="636" customFormat="false" ht="15" hidden="false" customHeight="false" outlineLevel="0" collapsed="false">
      <c r="A636" s="3" t="s">
        <v>666</v>
      </c>
      <c r="B636" s="3" t="n">
        <v>32</v>
      </c>
      <c r="C636" s="3" t="s">
        <v>26</v>
      </c>
      <c r="D636" s="3" t="s">
        <v>27</v>
      </c>
      <c r="E636" s="3" t="s">
        <v>28</v>
      </c>
      <c r="F636" s="3" t="n">
        <v>1.6</v>
      </c>
      <c r="G636" s="3" t="n">
        <v>8156.92</v>
      </c>
      <c r="H636" s="3" t="s">
        <v>19</v>
      </c>
      <c r="I636" s="3" t="n">
        <v>3</v>
      </c>
      <c r="J636" s="3" t="n">
        <v>4</v>
      </c>
      <c r="K636" s="3" t="n">
        <v>2</v>
      </c>
      <c r="L636" s="3" t="n">
        <v>1</v>
      </c>
      <c r="M636" s="3" t="n">
        <v>1</v>
      </c>
      <c r="N636" s="3" t="s">
        <v>19</v>
      </c>
    </row>
    <row r="637" customFormat="false" ht="15" hidden="false" customHeight="false" outlineLevel="0" collapsed="false">
      <c r="A637" s="3" t="s">
        <v>667</v>
      </c>
      <c r="B637" s="3" t="n">
        <v>25</v>
      </c>
      <c r="C637" s="3" t="s">
        <v>26</v>
      </c>
      <c r="D637" s="3" t="s">
        <v>17</v>
      </c>
      <c r="E637" s="3" t="s">
        <v>18</v>
      </c>
      <c r="F637" s="3" t="n">
        <v>4</v>
      </c>
      <c r="G637" s="3" t="n">
        <v>2764.83</v>
      </c>
      <c r="H637" s="3" t="s">
        <v>19</v>
      </c>
      <c r="I637" s="3" t="n">
        <v>3</v>
      </c>
      <c r="J637" s="3" t="n">
        <v>4</v>
      </c>
      <c r="K637" s="3" t="n">
        <v>1</v>
      </c>
      <c r="L637" s="3" t="n">
        <v>1</v>
      </c>
      <c r="M637" s="3" t="n">
        <v>2</v>
      </c>
      <c r="N637" s="3" t="s">
        <v>19</v>
      </c>
    </row>
    <row r="638" customFormat="false" ht="15" hidden="false" customHeight="false" outlineLevel="0" collapsed="false">
      <c r="A638" s="3" t="s">
        <v>668</v>
      </c>
      <c r="B638" s="3" t="n">
        <v>38</v>
      </c>
      <c r="C638" s="3" t="s">
        <v>45</v>
      </c>
      <c r="D638" s="3" t="s">
        <v>23</v>
      </c>
      <c r="E638" s="3" t="s">
        <v>18</v>
      </c>
      <c r="F638" s="3" t="n">
        <v>1.7</v>
      </c>
      <c r="G638" s="4"/>
      <c r="H638" s="3" t="s">
        <v>19</v>
      </c>
      <c r="I638" s="3" t="n">
        <v>3</v>
      </c>
      <c r="J638" s="3" t="n">
        <v>3</v>
      </c>
      <c r="K638" s="3" t="n">
        <v>2</v>
      </c>
      <c r="L638" s="3" t="n">
        <v>0</v>
      </c>
      <c r="M638" s="3" t="n">
        <v>2</v>
      </c>
      <c r="N638" s="3" t="s">
        <v>19</v>
      </c>
    </row>
    <row r="639" customFormat="false" ht="15" hidden="false" customHeight="false" outlineLevel="0" collapsed="false">
      <c r="A639" s="3" t="s">
        <v>669</v>
      </c>
      <c r="B639" s="3" t="n">
        <v>32</v>
      </c>
      <c r="C639" s="3" t="s">
        <v>26</v>
      </c>
      <c r="D639" s="3" t="s">
        <v>17</v>
      </c>
      <c r="E639" s="3" t="s">
        <v>24</v>
      </c>
      <c r="F639" s="3" t="n">
        <v>6.2</v>
      </c>
      <c r="G639" s="3" t="n">
        <v>3036.59</v>
      </c>
      <c r="H639" s="3" t="s">
        <v>20</v>
      </c>
      <c r="I639" s="3" t="n">
        <v>3</v>
      </c>
      <c r="J639" s="3" t="n">
        <v>4</v>
      </c>
      <c r="K639" s="3" t="n">
        <v>4</v>
      </c>
      <c r="L639" s="3" t="n">
        <v>1</v>
      </c>
      <c r="M639" s="3" t="n">
        <v>2</v>
      </c>
      <c r="N639" s="3" t="s">
        <v>20</v>
      </c>
    </row>
    <row r="640" customFormat="false" ht="15" hidden="false" customHeight="false" outlineLevel="0" collapsed="false">
      <c r="A640" s="3" t="s">
        <v>670</v>
      </c>
      <c r="B640" s="3" t="n">
        <v>22</v>
      </c>
      <c r="C640" s="3" t="s">
        <v>32</v>
      </c>
      <c r="D640" s="3" t="s">
        <v>27</v>
      </c>
      <c r="E640" s="3" t="s">
        <v>41</v>
      </c>
      <c r="F640" s="3" t="n">
        <v>1</v>
      </c>
      <c r="G640" s="3" t="n">
        <v>8358.16</v>
      </c>
      <c r="H640" s="3" t="s">
        <v>19</v>
      </c>
      <c r="I640" s="3" t="n">
        <v>4</v>
      </c>
      <c r="J640" s="3" t="n">
        <v>3</v>
      </c>
      <c r="K640" s="3" t="n">
        <v>3</v>
      </c>
      <c r="L640" s="3" t="n">
        <v>1</v>
      </c>
      <c r="M640" s="3" t="n">
        <v>1</v>
      </c>
      <c r="N640" s="3" t="s">
        <v>19</v>
      </c>
    </row>
    <row r="641" customFormat="false" ht="15" hidden="false" customHeight="false" outlineLevel="0" collapsed="false">
      <c r="A641" s="3" t="s">
        <v>671</v>
      </c>
      <c r="B641" s="3" t="n">
        <v>32</v>
      </c>
      <c r="C641" s="3" t="s">
        <v>22</v>
      </c>
      <c r="D641" s="3" t="s">
        <v>23</v>
      </c>
      <c r="E641" s="3" t="s">
        <v>41</v>
      </c>
      <c r="F641" s="3" t="n">
        <v>2.1</v>
      </c>
      <c r="G641" s="3" t="n">
        <v>5537.8</v>
      </c>
      <c r="H641" s="3" t="s">
        <v>20</v>
      </c>
      <c r="I641" s="3" t="n">
        <v>1</v>
      </c>
      <c r="J641" s="3" t="n">
        <v>4</v>
      </c>
      <c r="K641" s="3" t="n">
        <v>8</v>
      </c>
      <c r="L641" s="3" t="n">
        <v>0</v>
      </c>
      <c r="M641" s="3" t="n">
        <v>2</v>
      </c>
      <c r="N641" s="3" t="s">
        <v>19</v>
      </c>
    </row>
    <row r="642" customFormat="false" ht="15" hidden="false" customHeight="false" outlineLevel="0" collapsed="false">
      <c r="A642" s="3" t="s">
        <v>672</v>
      </c>
      <c r="B642" s="3" t="n">
        <v>21</v>
      </c>
      <c r="C642" s="3" t="s">
        <v>22</v>
      </c>
      <c r="D642" s="3" t="s">
        <v>23</v>
      </c>
      <c r="E642" s="3" t="s">
        <v>28</v>
      </c>
      <c r="F642" s="3" t="n">
        <v>0</v>
      </c>
      <c r="G642" s="3" t="n">
        <v>5660.88</v>
      </c>
      <c r="H642" s="3" t="s">
        <v>20</v>
      </c>
      <c r="I642" s="3" t="n">
        <v>1</v>
      </c>
      <c r="J642" s="3" t="n">
        <v>2</v>
      </c>
      <c r="K642" s="3" t="n">
        <v>10</v>
      </c>
      <c r="L642" s="3" t="n">
        <v>0</v>
      </c>
      <c r="M642" s="3" t="n">
        <v>0</v>
      </c>
      <c r="N642" s="3" t="s">
        <v>20</v>
      </c>
    </row>
    <row r="643" customFormat="false" ht="15" hidden="false" customHeight="false" outlineLevel="0" collapsed="false">
      <c r="A643" s="3" t="s">
        <v>673</v>
      </c>
      <c r="B643" s="3" t="n">
        <v>29</v>
      </c>
      <c r="C643" s="3" t="s">
        <v>22</v>
      </c>
      <c r="D643" s="3" t="s">
        <v>27</v>
      </c>
      <c r="E643" s="3" t="s">
        <v>24</v>
      </c>
      <c r="F643" s="3" t="n">
        <v>8</v>
      </c>
      <c r="G643" s="3" t="n">
        <v>6896.76</v>
      </c>
      <c r="H643" s="3" t="s">
        <v>19</v>
      </c>
      <c r="I643" s="3" t="n">
        <v>4</v>
      </c>
      <c r="J643" s="3" t="n">
        <v>2</v>
      </c>
      <c r="K643" s="3" t="n">
        <v>1</v>
      </c>
      <c r="L643" s="3" t="n">
        <v>4</v>
      </c>
      <c r="M643" s="3" t="n">
        <v>2</v>
      </c>
      <c r="N643" s="3" t="s">
        <v>19</v>
      </c>
    </row>
    <row r="644" customFormat="false" ht="15" hidden="false" customHeight="false" outlineLevel="0" collapsed="false">
      <c r="A644" s="3" t="s">
        <v>674</v>
      </c>
      <c r="B644" s="3" t="n">
        <v>23</v>
      </c>
      <c r="C644" s="3" t="s">
        <v>22</v>
      </c>
      <c r="D644" s="3" t="s">
        <v>27</v>
      </c>
      <c r="E644" s="3" t="s">
        <v>18</v>
      </c>
      <c r="F644" s="3" t="n">
        <v>2</v>
      </c>
      <c r="G644" s="3" t="n">
        <v>8181.37</v>
      </c>
      <c r="H644" s="3" t="s">
        <v>19</v>
      </c>
      <c r="I644" s="3" t="n">
        <v>1</v>
      </c>
      <c r="J644" s="3" t="n">
        <v>4</v>
      </c>
      <c r="K644" s="3" t="n">
        <v>4</v>
      </c>
      <c r="L644" s="3" t="n">
        <v>2</v>
      </c>
      <c r="M644" s="3" t="n">
        <v>2</v>
      </c>
      <c r="N644" s="3" t="s">
        <v>19</v>
      </c>
    </row>
    <row r="645" customFormat="false" ht="15" hidden="false" customHeight="false" outlineLevel="0" collapsed="false">
      <c r="A645" s="3" t="s">
        <v>675</v>
      </c>
      <c r="B645" s="3" t="n">
        <v>41</v>
      </c>
      <c r="C645" s="3" t="s">
        <v>16</v>
      </c>
      <c r="D645" s="3" t="s">
        <v>48</v>
      </c>
      <c r="E645" s="3" t="s">
        <v>18</v>
      </c>
      <c r="F645" s="3" t="n">
        <v>0.8</v>
      </c>
      <c r="G645" s="3" t="n">
        <v>9172.38</v>
      </c>
      <c r="H645" s="3" t="s">
        <v>19</v>
      </c>
      <c r="I645" s="3" t="n">
        <v>2</v>
      </c>
      <c r="J645" s="3" t="n">
        <v>4</v>
      </c>
      <c r="K645" s="3" t="n">
        <v>1</v>
      </c>
      <c r="L645" s="3" t="n">
        <v>0</v>
      </c>
      <c r="M645" s="3" t="n">
        <v>1</v>
      </c>
      <c r="N645" s="3" t="s">
        <v>19</v>
      </c>
    </row>
    <row r="646" customFormat="false" ht="15" hidden="false" customHeight="false" outlineLevel="0" collapsed="false">
      <c r="A646" s="3" t="s">
        <v>676</v>
      </c>
      <c r="B646" s="3" t="n">
        <v>27</v>
      </c>
      <c r="C646" s="3" t="s">
        <v>22</v>
      </c>
      <c r="D646" s="3" t="s">
        <v>27</v>
      </c>
      <c r="E646" s="3" t="s">
        <v>24</v>
      </c>
      <c r="F646" s="3" t="n">
        <v>0.6</v>
      </c>
      <c r="G646" s="3" t="n">
        <v>8148.11</v>
      </c>
      <c r="H646" s="3" t="s">
        <v>20</v>
      </c>
      <c r="I646" s="3" t="n">
        <v>3</v>
      </c>
      <c r="J646" s="3" t="n">
        <v>3</v>
      </c>
      <c r="K646" s="3" t="n">
        <v>20</v>
      </c>
      <c r="L646" s="3" t="n">
        <v>0</v>
      </c>
      <c r="M646" s="3" t="n">
        <v>1</v>
      </c>
      <c r="N646" s="3" t="s">
        <v>19</v>
      </c>
    </row>
    <row r="647" customFormat="false" ht="15" hidden="false" customHeight="false" outlineLevel="0" collapsed="false">
      <c r="A647" s="3" t="s">
        <v>677</v>
      </c>
      <c r="B647" s="3" t="n">
        <v>29</v>
      </c>
      <c r="C647" s="3" t="s">
        <v>32</v>
      </c>
      <c r="D647" s="3" t="s">
        <v>27</v>
      </c>
      <c r="E647" s="3" t="s">
        <v>18</v>
      </c>
      <c r="F647" s="3" t="n">
        <v>3</v>
      </c>
      <c r="G647" s="3" t="n">
        <v>8167.73</v>
      </c>
      <c r="H647" s="3" t="s">
        <v>20</v>
      </c>
      <c r="I647" s="3" t="n">
        <v>2</v>
      </c>
      <c r="J647" s="3" t="n">
        <v>3</v>
      </c>
      <c r="K647" s="3" t="n">
        <v>8</v>
      </c>
      <c r="L647" s="3" t="n">
        <v>2</v>
      </c>
      <c r="M647" s="3" t="n">
        <v>2</v>
      </c>
      <c r="N647" s="3" t="s">
        <v>20</v>
      </c>
    </row>
    <row r="648" customFormat="false" ht="15" hidden="false" customHeight="false" outlineLevel="0" collapsed="false">
      <c r="A648" s="3" t="s">
        <v>678</v>
      </c>
      <c r="B648" s="3" t="n">
        <v>34</v>
      </c>
      <c r="C648" s="3" t="s">
        <v>16</v>
      </c>
      <c r="D648" s="3" t="s">
        <v>17</v>
      </c>
      <c r="E648" s="3" t="s">
        <v>41</v>
      </c>
      <c r="F648" s="3" t="n">
        <v>7.7</v>
      </c>
      <c r="G648" s="3" t="n">
        <v>3370.9</v>
      </c>
      <c r="H648" s="3" t="s">
        <v>19</v>
      </c>
      <c r="I648" s="3" t="n">
        <v>4</v>
      </c>
      <c r="J648" s="3" t="n">
        <v>2</v>
      </c>
      <c r="K648" s="3" t="n">
        <v>24</v>
      </c>
      <c r="L648" s="3" t="n">
        <v>1</v>
      </c>
      <c r="M648" s="3" t="n">
        <v>4</v>
      </c>
      <c r="N648" s="3" t="s">
        <v>19</v>
      </c>
    </row>
    <row r="649" customFormat="false" ht="15" hidden="false" customHeight="false" outlineLevel="0" collapsed="false">
      <c r="A649" s="3" t="s">
        <v>679</v>
      </c>
      <c r="B649" s="3" t="n">
        <v>38</v>
      </c>
      <c r="C649" s="3" t="s">
        <v>16</v>
      </c>
      <c r="D649" s="3" t="s">
        <v>17</v>
      </c>
      <c r="E649" s="3" t="s">
        <v>28</v>
      </c>
      <c r="F649" s="3" t="n">
        <v>1.7</v>
      </c>
      <c r="G649" s="3" t="n">
        <v>3217.93</v>
      </c>
      <c r="H649" s="3" t="s">
        <v>19</v>
      </c>
      <c r="I649" s="3" t="n">
        <v>3</v>
      </c>
      <c r="J649" s="3" t="n">
        <v>3</v>
      </c>
      <c r="K649" s="3" t="n">
        <v>2</v>
      </c>
      <c r="L649" s="3" t="n">
        <v>0</v>
      </c>
      <c r="M649" s="3" t="n">
        <v>2</v>
      </c>
      <c r="N649" s="3" t="s">
        <v>19</v>
      </c>
    </row>
    <row r="650" customFormat="false" ht="15" hidden="false" customHeight="false" outlineLevel="0" collapsed="false">
      <c r="A650" s="3" t="s">
        <v>680</v>
      </c>
      <c r="B650" s="3" t="n">
        <v>27</v>
      </c>
      <c r="C650" s="3" t="s">
        <v>22</v>
      </c>
      <c r="D650" s="3" t="s">
        <v>48</v>
      </c>
      <c r="E650" s="3" t="s">
        <v>28</v>
      </c>
      <c r="F650" s="3" t="n">
        <v>0.8</v>
      </c>
      <c r="G650" s="3" t="n">
        <v>11216.93</v>
      </c>
      <c r="H650" s="3" t="s">
        <v>20</v>
      </c>
      <c r="I650" s="3" t="n">
        <v>4</v>
      </c>
      <c r="J650" s="3" t="n">
        <v>2</v>
      </c>
      <c r="K650" s="3" t="n">
        <v>1</v>
      </c>
      <c r="L650" s="3" t="n">
        <v>0</v>
      </c>
      <c r="M650" s="3" t="n">
        <v>3</v>
      </c>
      <c r="N650" s="3" t="s">
        <v>19</v>
      </c>
    </row>
    <row r="651" customFormat="false" ht="15" hidden="false" customHeight="false" outlineLevel="0" collapsed="false">
      <c r="A651" s="3" t="s">
        <v>681</v>
      </c>
      <c r="B651" s="3" t="n">
        <v>21</v>
      </c>
      <c r="C651" s="3" t="s">
        <v>26</v>
      </c>
      <c r="D651" s="3" t="s">
        <v>17</v>
      </c>
      <c r="E651" s="3" t="s">
        <v>24</v>
      </c>
      <c r="F651" s="3" t="n">
        <v>0</v>
      </c>
      <c r="G651" s="3" t="n">
        <v>3193.41</v>
      </c>
      <c r="H651" s="3" t="s">
        <v>19</v>
      </c>
      <c r="I651" s="3" t="n">
        <v>3</v>
      </c>
      <c r="J651" s="3" t="n">
        <v>2</v>
      </c>
      <c r="K651" s="3" t="n">
        <v>9</v>
      </c>
      <c r="L651" s="3" t="n">
        <v>0</v>
      </c>
      <c r="M651" s="3" t="n">
        <v>2</v>
      </c>
      <c r="N651" s="3" t="s">
        <v>19</v>
      </c>
    </row>
    <row r="652" customFormat="false" ht="15" hidden="false" customHeight="false" outlineLevel="0" collapsed="false">
      <c r="A652" s="3" t="s">
        <v>682</v>
      </c>
      <c r="B652" s="3" t="n">
        <v>43</v>
      </c>
      <c r="C652" s="3" t="s">
        <v>16</v>
      </c>
      <c r="D652" s="3" t="s">
        <v>27</v>
      </c>
      <c r="E652" s="3" t="s">
        <v>18</v>
      </c>
      <c r="F652" s="3" t="n">
        <v>5.3</v>
      </c>
      <c r="G652" s="3" t="n">
        <v>7517.01</v>
      </c>
      <c r="H652" s="3" t="s">
        <v>19</v>
      </c>
      <c r="I652" s="3" t="n">
        <v>4</v>
      </c>
      <c r="J652" s="3" t="n">
        <v>2</v>
      </c>
      <c r="K652" s="3" t="n">
        <v>1</v>
      </c>
      <c r="L652" s="3" t="n">
        <v>1</v>
      </c>
      <c r="M652" s="3" t="n">
        <v>0</v>
      </c>
      <c r="N652" s="3" t="s">
        <v>19</v>
      </c>
    </row>
    <row r="653" customFormat="false" ht="15" hidden="false" customHeight="false" outlineLevel="0" collapsed="false">
      <c r="A653" s="3" t="s">
        <v>683</v>
      </c>
      <c r="B653" s="3" t="n">
        <v>25</v>
      </c>
      <c r="C653" s="3" t="s">
        <v>22</v>
      </c>
      <c r="D653" s="3" t="s">
        <v>48</v>
      </c>
      <c r="E653" s="3" t="s">
        <v>28</v>
      </c>
      <c r="F653" s="3" t="n">
        <v>1.5</v>
      </c>
      <c r="G653" s="3" t="n">
        <v>9882.1</v>
      </c>
      <c r="H653" s="3" t="s">
        <v>20</v>
      </c>
      <c r="I653" s="3" t="n">
        <v>3</v>
      </c>
      <c r="J653" s="3" t="n">
        <v>4</v>
      </c>
      <c r="K653" s="3" t="n">
        <v>3</v>
      </c>
      <c r="L653" s="3" t="n">
        <v>1</v>
      </c>
      <c r="M653" s="3" t="n">
        <v>2</v>
      </c>
      <c r="N653" s="3" t="s">
        <v>19</v>
      </c>
    </row>
    <row r="654" customFormat="false" ht="15" hidden="false" customHeight="false" outlineLevel="0" collapsed="false">
      <c r="A654" s="3" t="s">
        <v>684</v>
      </c>
      <c r="B654" s="3" t="n">
        <v>31</v>
      </c>
      <c r="C654" s="3" t="s">
        <v>16</v>
      </c>
      <c r="D654" s="3" t="s">
        <v>27</v>
      </c>
      <c r="E654" s="3" t="s">
        <v>41</v>
      </c>
      <c r="F654" s="3" t="n">
        <v>1.4</v>
      </c>
      <c r="G654" s="3" t="n">
        <v>8012.48</v>
      </c>
      <c r="H654" s="3" t="s">
        <v>20</v>
      </c>
      <c r="I654" s="3" t="n">
        <v>2</v>
      </c>
      <c r="J654" s="3" t="n">
        <v>2</v>
      </c>
      <c r="K654" s="3" t="n">
        <v>1</v>
      </c>
      <c r="L654" s="3" t="n">
        <v>1</v>
      </c>
      <c r="M654" s="3" t="n">
        <v>3</v>
      </c>
      <c r="N654" s="3" t="s">
        <v>20</v>
      </c>
    </row>
    <row r="655" customFormat="false" ht="15" hidden="false" customHeight="false" outlineLevel="0" collapsed="false">
      <c r="A655" s="3" t="s">
        <v>685</v>
      </c>
      <c r="B655" s="3" t="n">
        <v>27</v>
      </c>
      <c r="C655" s="3" t="s">
        <v>26</v>
      </c>
      <c r="D655" s="3" t="s">
        <v>27</v>
      </c>
      <c r="E655" s="3" t="s">
        <v>18</v>
      </c>
      <c r="F655" s="3" t="n">
        <v>2.1</v>
      </c>
      <c r="G655" s="3" t="n">
        <v>6854.02</v>
      </c>
      <c r="H655" s="3" t="s">
        <v>20</v>
      </c>
      <c r="I655" s="3" t="n">
        <v>4</v>
      </c>
      <c r="J655" s="3" t="n">
        <v>2</v>
      </c>
      <c r="K655" s="3" t="n">
        <v>19</v>
      </c>
      <c r="L655" s="3" t="n">
        <v>2</v>
      </c>
      <c r="M655" s="3" t="n">
        <v>1</v>
      </c>
      <c r="N655" s="3" t="s">
        <v>20</v>
      </c>
    </row>
    <row r="656" customFormat="false" ht="15" hidden="false" customHeight="false" outlineLevel="0" collapsed="false">
      <c r="A656" s="3" t="s">
        <v>686</v>
      </c>
      <c r="B656" s="3" t="n">
        <v>40</v>
      </c>
      <c r="C656" s="3" t="s">
        <v>16</v>
      </c>
      <c r="D656" s="3" t="s">
        <v>17</v>
      </c>
      <c r="E656" s="3" t="s">
        <v>28</v>
      </c>
      <c r="F656" s="3" t="n">
        <v>2.3</v>
      </c>
      <c r="G656" s="3" t="n">
        <v>3575.69</v>
      </c>
      <c r="H656" s="3" t="s">
        <v>19</v>
      </c>
      <c r="I656" s="3" t="n">
        <v>4</v>
      </c>
      <c r="J656" s="3" t="n">
        <v>1</v>
      </c>
      <c r="K656" s="3" t="n">
        <v>7</v>
      </c>
      <c r="L656" s="3" t="n">
        <v>0</v>
      </c>
      <c r="M656" s="3" t="n">
        <v>1</v>
      </c>
      <c r="N656" s="3" t="s">
        <v>20</v>
      </c>
    </row>
    <row r="657" customFormat="false" ht="15" hidden="false" customHeight="false" outlineLevel="0" collapsed="false">
      <c r="A657" s="3" t="s">
        <v>687</v>
      </c>
      <c r="B657" s="3" t="n">
        <v>35</v>
      </c>
      <c r="C657" s="3" t="s">
        <v>22</v>
      </c>
      <c r="D657" s="3" t="s">
        <v>17</v>
      </c>
      <c r="E657" s="3" t="s">
        <v>41</v>
      </c>
      <c r="F657" s="3" t="n">
        <v>6.4</v>
      </c>
      <c r="G657" s="3" t="n">
        <v>2918.09</v>
      </c>
      <c r="H657" s="3" t="s">
        <v>19</v>
      </c>
      <c r="I657" s="3" t="n">
        <v>4</v>
      </c>
      <c r="J657" s="3" t="n">
        <v>3</v>
      </c>
      <c r="K657" s="3" t="n">
        <v>4</v>
      </c>
      <c r="L657" s="3" t="n">
        <v>1</v>
      </c>
      <c r="M657" s="3" t="n">
        <v>1</v>
      </c>
      <c r="N657" s="3" t="s">
        <v>19</v>
      </c>
    </row>
    <row r="658" customFormat="false" ht="15" hidden="false" customHeight="false" outlineLevel="0" collapsed="false">
      <c r="A658" s="3" t="s">
        <v>688</v>
      </c>
      <c r="B658" s="3" t="n">
        <v>40</v>
      </c>
      <c r="C658" s="3" t="s">
        <v>26</v>
      </c>
      <c r="D658" s="3" t="s">
        <v>27</v>
      </c>
      <c r="E658" s="3" t="s">
        <v>18</v>
      </c>
      <c r="F658" s="3" t="n">
        <v>3.6</v>
      </c>
      <c r="G658" s="3" t="n">
        <v>7262.86</v>
      </c>
      <c r="H658" s="3" t="s">
        <v>19</v>
      </c>
      <c r="I658" s="3" t="n">
        <v>4</v>
      </c>
      <c r="J658" s="3" t="n">
        <v>1</v>
      </c>
      <c r="K658" s="3" t="n">
        <v>3</v>
      </c>
      <c r="L658" s="3" t="n">
        <v>3</v>
      </c>
      <c r="M658" s="3" t="n">
        <v>3</v>
      </c>
      <c r="N658" s="3" t="s">
        <v>19</v>
      </c>
    </row>
    <row r="659" customFormat="false" ht="15" hidden="false" customHeight="false" outlineLevel="0" collapsed="false">
      <c r="A659" s="3" t="s">
        <v>689</v>
      </c>
      <c r="B659" s="3" t="n">
        <v>36</v>
      </c>
      <c r="C659" s="3" t="s">
        <v>22</v>
      </c>
      <c r="D659" s="3" t="s">
        <v>23</v>
      </c>
      <c r="E659" s="3" t="s">
        <v>28</v>
      </c>
      <c r="F659" s="3" t="n">
        <v>4.5</v>
      </c>
      <c r="G659" s="3" t="n">
        <v>5602.1</v>
      </c>
      <c r="H659" s="3" t="s">
        <v>19</v>
      </c>
      <c r="I659" s="3" t="n">
        <v>1</v>
      </c>
      <c r="J659" s="3" t="n">
        <v>3</v>
      </c>
      <c r="K659" s="3" t="n">
        <v>1</v>
      </c>
      <c r="L659" s="3" t="n">
        <v>2</v>
      </c>
      <c r="M659" s="3" t="n">
        <v>1</v>
      </c>
      <c r="N659" s="3" t="s">
        <v>19</v>
      </c>
    </row>
    <row r="660" customFormat="false" ht="15" hidden="false" customHeight="false" outlineLevel="0" collapsed="false">
      <c r="A660" s="3" t="s">
        <v>690</v>
      </c>
      <c r="B660" s="3" t="n">
        <v>35</v>
      </c>
      <c r="C660" s="3" t="s">
        <v>26</v>
      </c>
      <c r="D660" s="3" t="s">
        <v>17</v>
      </c>
      <c r="E660" s="3" t="s">
        <v>28</v>
      </c>
      <c r="F660" s="3" t="n">
        <v>1.1</v>
      </c>
      <c r="G660" s="3" t="n">
        <v>3576.74</v>
      </c>
      <c r="H660" s="3" t="s">
        <v>20</v>
      </c>
      <c r="I660" s="3" t="n">
        <v>3</v>
      </c>
      <c r="J660" s="3" t="n">
        <v>3</v>
      </c>
      <c r="K660" s="3" t="n">
        <v>4</v>
      </c>
      <c r="L660" s="3" t="n">
        <v>1</v>
      </c>
      <c r="M660" s="3" t="n">
        <v>1</v>
      </c>
      <c r="N660" s="3" t="s">
        <v>19</v>
      </c>
    </row>
    <row r="661" customFormat="false" ht="15" hidden="false" customHeight="false" outlineLevel="0" collapsed="false">
      <c r="A661" s="3" t="s">
        <v>691</v>
      </c>
      <c r="B661" s="3" t="n">
        <v>27</v>
      </c>
      <c r="C661" s="3" t="s">
        <v>22</v>
      </c>
      <c r="D661" s="3" t="s">
        <v>23</v>
      </c>
      <c r="E661" s="3" t="s">
        <v>41</v>
      </c>
      <c r="F661" s="3" t="n">
        <v>1.1</v>
      </c>
      <c r="G661" s="3" t="n">
        <v>4768.16</v>
      </c>
      <c r="H661" s="3" t="s">
        <v>20</v>
      </c>
      <c r="I661" s="3" t="n">
        <v>4</v>
      </c>
      <c r="J661" s="3" t="n">
        <v>4</v>
      </c>
      <c r="K661" s="3" t="n">
        <v>1</v>
      </c>
      <c r="L661" s="3" t="n">
        <v>1</v>
      </c>
      <c r="M661" s="3" t="n">
        <v>1</v>
      </c>
      <c r="N661" s="3" t="s">
        <v>20</v>
      </c>
    </row>
    <row r="662" customFormat="false" ht="15" hidden="false" customHeight="false" outlineLevel="0" collapsed="false">
      <c r="A662" s="3" t="s">
        <v>692</v>
      </c>
      <c r="B662" s="3" t="n">
        <v>33</v>
      </c>
      <c r="C662" s="3" t="s">
        <v>22</v>
      </c>
      <c r="D662" s="3" t="s">
        <v>27</v>
      </c>
      <c r="E662" s="3" t="s">
        <v>41</v>
      </c>
      <c r="F662" s="3" t="n">
        <v>2.7</v>
      </c>
      <c r="G662" s="3" t="n">
        <v>8362.55</v>
      </c>
      <c r="H662" s="3" t="s">
        <v>19</v>
      </c>
      <c r="I662" s="3" t="n">
        <v>4</v>
      </c>
      <c r="J662" s="3" t="n">
        <v>1</v>
      </c>
      <c r="K662" s="3" t="n">
        <v>6</v>
      </c>
      <c r="L662" s="3" t="n">
        <v>1</v>
      </c>
      <c r="M662" s="3" t="n">
        <v>5</v>
      </c>
      <c r="N662" s="3" t="s">
        <v>20</v>
      </c>
    </row>
    <row r="663" customFormat="false" ht="15" hidden="false" customHeight="false" outlineLevel="0" collapsed="false">
      <c r="A663" s="3" t="s">
        <v>693</v>
      </c>
      <c r="B663" s="3" t="n">
        <v>26</v>
      </c>
      <c r="C663" s="3" t="s">
        <v>45</v>
      </c>
      <c r="D663" s="3" t="s">
        <v>23</v>
      </c>
      <c r="E663" s="3" t="s">
        <v>18</v>
      </c>
      <c r="F663" s="3" t="n">
        <v>5</v>
      </c>
      <c r="G663" s="3" t="n">
        <v>4264.29</v>
      </c>
      <c r="H663" s="3" t="s">
        <v>19</v>
      </c>
      <c r="I663" s="3" t="n">
        <v>4</v>
      </c>
      <c r="J663" s="3" t="n">
        <v>2</v>
      </c>
      <c r="K663" s="3" t="n">
        <v>6</v>
      </c>
      <c r="L663" s="3" t="n">
        <v>5</v>
      </c>
      <c r="M663" s="3" t="n">
        <v>1</v>
      </c>
      <c r="N663" s="3" t="s">
        <v>20</v>
      </c>
    </row>
    <row r="664" customFormat="false" ht="15" hidden="false" customHeight="false" outlineLevel="0" collapsed="false">
      <c r="A664" s="3" t="s">
        <v>694</v>
      </c>
      <c r="B664" s="3" t="n">
        <v>21</v>
      </c>
      <c r="C664" s="3" t="s">
        <v>16</v>
      </c>
      <c r="D664" s="3" t="s">
        <v>48</v>
      </c>
      <c r="E664" s="3" t="s">
        <v>24</v>
      </c>
      <c r="F664" s="3" t="n">
        <v>0</v>
      </c>
      <c r="G664" s="3" t="n">
        <v>10546.56</v>
      </c>
      <c r="H664" s="3" t="s">
        <v>19</v>
      </c>
      <c r="I664" s="3" t="n">
        <v>4</v>
      </c>
      <c r="J664" s="3" t="n">
        <v>2</v>
      </c>
      <c r="K664" s="3" t="n">
        <v>3</v>
      </c>
      <c r="L664" s="3" t="n">
        <v>0</v>
      </c>
      <c r="M664" s="3" t="n">
        <v>0</v>
      </c>
      <c r="N664" s="3" t="s">
        <v>19</v>
      </c>
    </row>
    <row r="665" customFormat="false" ht="15" hidden="false" customHeight="false" outlineLevel="0" collapsed="false">
      <c r="A665" s="3" t="s">
        <v>695</v>
      </c>
      <c r="B665" s="3" t="n">
        <v>31</v>
      </c>
      <c r="C665" s="3" t="s">
        <v>16</v>
      </c>
      <c r="D665" s="3" t="s">
        <v>17</v>
      </c>
      <c r="E665" s="3" t="s">
        <v>24</v>
      </c>
      <c r="F665" s="3" t="n">
        <v>0</v>
      </c>
      <c r="G665" s="3" t="n">
        <v>3835.08</v>
      </c>
      <c r="H665" s="3" t="s">
        <v>19</v>
      </c>
      <c r="I665" s="3" t="n">
        <v>4</v>
      </c>
      <c r="J665" s="3" t="n">
        <v>3</v>
      </c>
      <c r="K665" s="3" t="n">
        <v>1</v>
      </c>
      <c r="L665" s="3" t="n">
        <v>0</v>
      </c>
      <c r="M665" s="3" t="n">
        <v>4</v>
      </c>
      <c r="N665" s="3" t="s">
        <v>19</v>
      </c>
    </row>
    <row r="666" customFormat="false" ht="15" hidden="false" customHeight="false" outlineLevel="0" collapsed="false">
      <c r="A666" s="3" t="s">
        <v>696</v>
      </c>
      <c r="B666" s="3" t="n">
        <v>47</v>
      </c>
      <c r="C666" s="3" t="s">
        <v>45</v>
      </c>
      <c r="D666" s="3" t="s">
        <v>27</v>
      </c>
      <c r="E666" s="3" t="s">
        <v>24</v>
      </c>
      <c r="F666" s="3" t="n">
        <v>11.5</v>
      </c>
      <c r="G666" s="4"/>
      <c r="H666" s="3" t="s">
        <v>19</v>
      </c>
      <c r="I666" s="3" t="n">
        <v>3</v>
      </c>
      <c r="J666" s="3" t="n">
        <v>4</v>
      </c>
      <c r="K666" s="3" t="n">
        <v>2</v>
      </c>
      <c r="L666" s="3" t="n">
        <v>1</v>
      </c>
      <c r="M666" s="3" t="n">
        <v>2</v>
      </c>
      <c r="N666" s="3" t="s">
        <v>19</v>
      </c>
    </row>
    <row r="667" customFormat="false" ht="15" hidden="false" customHeight="false" outlineLevel="0" collapsed="false">
      <c r="A667" s="3" t="s">
        <v>697</v>
      </c>
      <c r="B667" s="3" t="n">
        <v>21</v>
      </c>
      <c r="C667" s="3" t="s">
        <v>32</v>
      </c>
      <c r="D667" s="3" t="s">
        <v>27</v>
      </c>
      <c r="E667" s="3" t="s">
        <v>18</v>
      </c>
      <c r="F667" s="3" t="n">
        <v>0</v>
      </c>
      <c r="G667" s="3" t="n">
        <v>8443.15</v>
      </c>
      <c r="H667" s="3" t="s">
        <v>19</v>
      </c>
      <c r="I667" s="3" t="n">
        <v>3</v>
      </c>
      <c r="J667" s="3" t="n">
        <v>2</v>
      </c>
      <c r="K667" s="3" t="n">
        <v>25</v>
      </c>
      <c r="L667" s="3" t="n">
        <v>0</v>
      </c>
      <c r="M667" s="3" t="n">
        <v>2</v>
      </c>
      <c r="N667" s="3" t="s">
        <v>19</v>
      </c>
    </row>
    <row r="668" customFormat="false" ht="15" hidden="false" customHeight="false" outlineLevel="0" collapsed="false">
      <c r="A668" s="3" t="s">
        <v>698</v>
      </c>
      <c r="B668" s="3" t="n">
        <v>37</v>
      </c>
      <c r="C668" s="3" t="s">
        <v>16</v>
      </c>
      <c r="D668" s="3" t="s">
        <v>17</v>
      </c>
      <c r="E668" s="3" t="s">
        <v>24</v>
      </c>
      <c r="F668" s="3" t="n">
        <v>0.6</v>
      </c>
      <c r="G668" s="3" t="n">
        <v>3153.44</v>
      </c>
      <c r="H668" s="3" t="s">
        <v>19</v>
      </c>
      <c r="I668" s="3" t="n">
        <v>1</v>
      </c>
      <c r="J668" s="3" t="n">
        <v>2</v>
      </c>
      <c r="K668" s="3" t="n">
        <v>21</v>
      </c>
      <c r="L668" s="3" t="n">
        <v>0</v>
      </c>
      <c r="M668" s="3" t="n">
        <v>1</v>
      </c>
      <c r="N668" s="3" t="s">
        <v>20</v>
      </c>
    </row>
    <row r="669" customFormat="false" ht="15" hidden="false" customHeight="false" outlineLevel="0" collapsed="false">
      <c r="A669" s="3" t="s">
        <v>699</v>
      </c>
      <c r="B669" s="3" t="n">
        <v>30</v>
      </c>
      <c r="C669" s="3" t="s">
        <v>22</v>
      </c>
      <c r="D669" s="3" t="s">
        <v>23</v>
      </c>
      <c r="E669" s="3" t="s">
        <v>18</v>
      </c>
      <c r="F669" s="3" t="n">
        <v>0</v>
      </c>
      <c r="G669" s="3" t="n">
        <v>5083.94</v>
      </c>
      <c r="H669" s="3" t="s">
        <v>19</v>
      </c>
      <c r="I669" s="3" t="n">
        <v>2</v>
      </c>
      <c r="J669" s="3" t="n">
        <v>1</v>
      </c>
      <c r="K669" s="3" t="n">
        <v>6</v>
      </c>
      <c r="L669" s="3" t="n">
        <v>0</v>
      </c>
      <c r="M669" s="3" t="n">
        <v>2</v>
      </c>
      <c r="N669" s="3" t="s">
        <v>19</v>
      </c>
    </row>
    <row r="670" customFormat="false" ht="15" hidden="false" customHeight="false" outlineLevel="0" collapsed="false">
      <c r="A670" s="3" t="s">
        <v>700</v>
      </c>
      <c r="B670" s="3" t="n">
        <v>52</v>
      </c>
      <c r="C670" s="3" t="s">
        <v>16</v>
      </c>
      <c r="D670" s="3" t="s">
        <v>23</v>
      </c>
      <c r="E670" s="3" t="s">
        <v>18</v>
      </c>
      <c r="F670" s="3" t="n">
        <v>2.4</v>
      </c>
      <c r="G670" s="3" t="n">
        <v>4880.87</v>
      </c>
      <c r="H670" s="3" t="s">
        <v>20</v>
      </c>
      <c r="I670" s="3" t="n">
        <v>2</v>
      </c>
      <c r="J670" s="3" t="n">
        <v>2</v>
      </c>
      <c r="K670" s="3" t="n">
        <v>1</v>
      </c>
      <c r="L670" s="3" t="n">
        <v>1</v>
      </c>
      <c r="M670" s="3" t="n">
        <v>2</v>
      </c>
      <c r="N670" s="3" t="s">
        <v>19</v>
      </c>
    </row>
    <row r="671" customFormat="false" ht="15" hidden="false" customHeight="false" outlineLevel="0" collapsed="false">
      <c r="A671" s="3" t="s">
        <v>701</v>
      </c>
      <c r="B671" s="3" t="n">
        <v>40</v>
      </c>
      <c r="C671" s="3" t="s">
        <v>16</v>
      </c>
      <c r="D671" s="3" t="s">
        <v>17</v>
      </c>
      <c r="E671" s="3" t="s">
        <v>18</v>
      </c>
      <c r="F671" s="3" t="n">
        <v>1</v>
      </c>
      <c r="G671" s="3" t="n">
        <v>3469.55</v>
      </c>
      <c r="H671" s="3" t="s">
        <v>19</v>
      </c>
      <c r="I671" s="3" t="n">
        <v>3</v>
      </c>
      <c r="J671" s="3" t="n">
        <v>3</v>
      </c>
      <c r="K671" s="3" t="n">
        <v>17</v>
      </c>
      <c r="L671" s="3" t="n">
        <v>1</v>
      </c>
      <c r="M671" s="3" t="n">
        <v>5</v>
      </c>
      <c r="N671" s="3" t="s">
        <v>19</v>
      </c>
    </row>
    <row r="672" customFormat="false" ht="15" hidden="false" customHeight="false" outlineLevel="0" collapsed="false">
      <c r="A672" s="3" t="s">
        <v>702</v>
      </c>
      <c r="B672" s="3" t="n">
        <v>40</v>
      </c>
      <c r="C672" s="3" t="s">
        <v>22</v>
      </c>
      <c r="D672" s="3" t="s">
        <v>23</v>
      </c>
      <c r="E672" s="3" t="s">
        <v>41</v>
      </c>
      <c r="F672" s="3" t="n">
        <v>0.6</v>
      </c>
      <c r="G672" s="3" t="n">
        <v>5482.11</v>
      </c>
      <c r="H672" s="3" t="s">
        <v>19</v>
      </c>
      <c r="I672" s="3" t="n">
        <v>3</v>
      </c>
      <c r="J672" s="3" t="n">
        <v>4</v>
      </c>
      <c r="K672" s="3" t="n">
        <v>1</v>
      </c>
      <c r="L672" s="3" t="n">
        <v>0</v>
      </c>
      <c r="M672" s="3" t="n">
        <v>4</v>
      </c>
      <c r="N672" s="3" t="s">
        <v>20</v>
      </c>
    </row>
    <row r="673" customFormat="false" ht="15" hidden="false" customHeight="false" outlineLevel="0" collapsed="false">
      <c r="A673" s="3" t="s">
        <v>703</v>
      </c>
      <c r="B673" s="3" t="n">
        <v>36</v>
      </c>
      <c r="C673" s="3" t="s">
        <v>32</v>
      </c>
      <c r="D673" s="3" t="s">
        <v>48</v>
      </c>
      <c r="E673" s="3" t="s">
        <v>18</v>
      </c>
      <c r="F673" s="3" t="n">
        <v>1.5</v>
      </c>
      <c r="G673" s="3" t="n">
        <v>9216.41</v>
      </c>
      <c r="H673" s="3" t="s">
        <v>19</v>
      </c>
      <c r="I673" s="3" t="n">
        <v>4</v>
      </c>
      <c r="J673" s="3" t="n">
        <v>4</v>
      </c>
      <c r="K673" s="3" t="n">
        <v>8</v>
      </c>
      <c r="L673" s="3" t="n">
        <v>0</v>
      </c>
      <c r="M673" s="3" t="n">
        <v>1</v>
      </c>
      <c r="N673" s="3" t="s">
        <v>20</v>
      </c>
    </row>
    <row r="674" customFormat="false" ht="15" hidden="false" customHeight="false" outlineLevel="0" collapsed="false">
      <c r="A674" s="3" t="s">
        <v>704</v>
      </c>
      <c r="B674" s="3" t="n">
        <v>41</v>
      </c>
      <c r="C674" s="3" t="s">
        <v>32</v>
      </c>
      <c r="D674" s="3" t="s">
        <v>27</v>
      </c>
      <c r="E674" s="3" t="s">
        <v>18</v>
      </c>
      <c r="F674" s="3" t="n">
        <v>7.9</v>
      </c>
      <c r="G674" s="3" t="n">
        <v>8069.24</v>
      </c>
      <c r="H674" s="3" t="s">
        <v>20</v>
      </c>
      <c r="I674" s="3" t="n">
        <v>2</v>
      </c>
      <c r="J674" s="3" t="n">
        <v>3</v>
      </c>
      <c r="K674" s="3" t="n">
        <v>2</v>
      </c>
      <c r="L674" s="3" t="n">
        <v>1</v>
      </c>
      <c r="M674" s="3" t="n">
        <v>1</v>
      </c>
      <c r="N674" s="3" t="s">
        <v>19</v>
      </c>
    </row>
    <row r="675" customFormat="false" ht="15" hidden="false" customHeight="false" outlineLevel="0" collapsed="false">
      <c r="A675" s="3" t="s">
        <v>705</v>
      </c>
      <c r="B675" s="3" t="n">
        <v>33</v>
      </c>
      <c r="C675" s="3" t="s">
        <v>22</v>
      </c>
      <c r="D675" s="3" t="s">
        <v>23</v>
      </c>
      <c r="E675" s="3" t="s">
        <v>24</v>
      </c>
      <c r="F675" s="3" t="n">
        <v>1.6</v>
      </c>
      <c r="G675" s="3" t="n">
        <v>5542.56</v>
      </c>
      <c r="H675" s="3" t="s">
        <v>19</v>
      </c>
      <c r="I675" s="3" t="n">
        <v>3</v>
      </c>
      <c r="J675" s="3" t="n">
        <v>1</v>
      </c>
      <c r="K675" s="3" t="n">
        <v>8</v>
      </c>
      <c r="L675" s="3" t="n">
        <v>0</v>
      </c>
      <c r="M675" s="3" t="n">
        <v>1</v>
      </c>
      <c r="N675" s="3" t="s">
        <v>20</v>
      </c>
    </row>
    <row r="676" customFormat="false" ht="15" hidden="false" customHeight="false" outlineLevel="0" collapsed="false">
      <c r="A676" s="3" t="s">
        <v>706</v>
      </c>
      <c r="B676" s="3" t="n">
        <v>38</v>
      </c>
      <c r="C676" s="3" t="s">
        <v>24</v>
      </c>
      <c r="D676" s="3" t="s">
        <v>23</v>
      </c>
      <c r="E676" s="3" t="s">
        <v>18</v>
      </c>
      <c r="F676" s="3" t="n">
        <v>2.8</v>
      </c>
      <c r="G676" s="3" t="n">
        <v>5345.55</v>
      </c>
      <c r="H676" s="3" t="s">
        <v>19</v>
      </c>
      <c r="I676" s="3" t="n">
        <v>2</v>
      </c>
      <c r="J676" s="3" t="n">
        <v>4</v>
      </c>
      <c r="K676" s="3" t="n">
        <v>1</v>
      </c>
      <c r="L676" s="3" t="n">
        <v>0</v>
      </c>
      <c r="M676" s="3" t="n">
        <v>1</v>
      </c>
      <c r="N676" s="3" t="s">
        <v>19</v>
      </c>
    </row>
    <row r="677" customFormat="false" ht="15" hidden="false" customHeight="false" outlineLevel="0" collapsed="false">
      <c r="A677" s="3" t="s">
        <v>707</v>
      </c>
      <c r="B677" s="3" t="n">
        <v>48</v>
      </c>
      <c r="C677" s="3" t="s">
        <v>26</v>
      </c>
      <c r="D677" s="3" t="s">
        <v>17</v>
      </c>
      <c r="E677" s="3" t="s">
        <v>18</v>
      </c>
      <c r="F677" s="3" t="n">
        <v>0.1</v>
      </c>
      <c r="G677" s="3" t="n">
        <v>2852.41</v>
      </c>
      <c r="H677" s="3" t="s">
        <v>20</v>
      </c>
      <c r="I677" s="3" t="n">
        <v>3</v>
      </c>
      <c r="J677" s="3" t="n">
        <v>3</v>
      </c>
      <c r="K677" s="3" t="n">
        <v>6</v>
      </c>
      <c r="L677" s="3" t="n">
        <v>0</v>
      </c>
      <c r="M677" s="3" t="n">
        <v>1</v>
      </c>
      <c r="N677" s="3" t="s">
        <v>20</v>
      </c>
    </row>
    <row r="678" customFormat="false" ht="15" hidden="false" customHeight="false" outlineLevel="0" collapsed="false">
      <c r="A678" s="3" t="s">
        <v>708</v>
      </c>
      <c r="B678" s="3" t="n">
        <v>21</v>
      </c>
      <c r="C678" s="3" t="s">
        <v>16</v>
      </c>
      <c r="D678" s="3" t="s">
        <v>48</v>
      </c>
      <c r="E678" s="3" t="s">
        <v>24</v>
      </c>
      <c r="F678" s="3" t="n">
        <v>0</v>
      </c>
      <c r="G678" s="3" t="n">
        <v>8876.83</v>
      </c>
      <c r="H678" s="3" t="s">
        <v>19</v>
      </c>
      <c r="I678" s="3" t="n">
        <v>3</v>
      </c>
      <c r="J678" s="3" t="n">
        <v>2</v>
      </c>
      <c r="K678" s="3" t="n">
        <v>11</v>
      </c>
      <c r="L678" s="3" t="n">
        <v>0</v>
      </c>
      <c r="M678" s="3" t="n">
        <v>2</v>
      </c>
      <c r="N678" s="3" t="s">
        <v>19</v>
      </c>
    </row>
    <row r="679" customFormat="false" ht="15" hidden="false" customHeight="false" outlineLevel="0" collapsed="false">
      <c r="A679" s="3" t="s">
        <v>709</v>
      </c>
      <c r="B679" s="3" t="n">
        <v>29</v>
      </c>
      <c r="C679" s="3" t="s">
        <v>22</v>
      </c>
      <c r="D679" s="3" t="s">
        <v>17</v>
      </c>
      <c r="E679" s="3" t="s">
        <v>28</v>
      </c>
      <c r="F679" s="3" t="n">
        <v>0.1</v>
      </c>
      <c r="G679" s="3" t="n">
        <v>2785.21</v>
      </c>
      <c r="H679" s="3" t="s">
        <v>20</v>
      </c>
      <c r="I679" s="3" t="n">
        <v>3</v>
      </c>
      <c r="J679" s="3" t="n">
        <v>3</v>
      </c>
      <c r="K679" s="3" t="n">
        <v>14</v>
      </c>
      <c r="L679" s="3" t="n">
        <v>0</v>
      </c>
      <c r="M679" s="3" t="n">
        <v>1</v>
      </c>
      <c r="N679" s="3" t="s">
        <v>20</v>
      </c>
    </row>
    <row r="680" customFormat="false" ht="15" hidden="false" customHeight="false" outlineLevel="0" collapsed="false">
      <c r="A680" s="3" t="s">
        <v>710</v>
      </c>
      <c r="B680" s="3" t="n">
        <v>38</v>
      </c>
      <c r="C680" s="3" t="s">
        <v>22</v>
      </c>
      <c r="D680" s="3" t="s">
        <v>23</v>
      </c>
      <c r="E680" s="3" t="s">
        <v>24</v>
      </c>
      <c r="F680" s="3" t="n">
        <v>3.3</v>
      </c>
      <c r="G680" s="3" t="n">
        <v>5394.27</v>
      </c>
      <c r="H680" s="3" t="s">
        <v>20</v>
      </c>
      <c r="I680" s="3" t="n">
        <v>2</v>
      </c>
      <c r="J680" s="3" t="n">
        <v>3</v>
      </c>
      <c r="K680" s="3" t="n">
        <v>2</v>
      </c>
      <c r="L680" s="3" t="n">
        <v>2</v>
      </c>
      <c r="M680" s="3" t="n">
        <v>1</v>
      </c>
      <c r="N680" s="3" t="s">
        <v>20</v>
      </c>
    </row>
    <row r="681" customFormat="false" ht="15" hidden="false" customHeight="false" outlineLevel="0" collapsed="false">
      <c r="A681" s="3" t="s">
        <v>711</v>
      </c>
      <c r="B681" s="3" t="n">
        <v>34</v>
      </c>
      <c r="C681" s="3" t="s">
        <v>22</v>
      </c>
      <c r="D681" s="3" t="s">
        <v>23</v>
      </c>
      <c r="E681" s="3" t="s">
        <v>28</v>
      </c>
      <c r="F681" s="3" t="n">
        <v>6.9</v>
      </c>
      <c r="G681" s="3" t="n">
        <v>5625.05</v>
      </c>
      <c r="H681" s="3" t="s">
        <v>20</v>
      </c>
      <c r="I681" s="3" t="n">
        <v>1</v>
      </c>
      <c r="J681" s="3" t="n">
        <v>4</v>
      </c>
      <c r="K681" s="3" t="n">
        <v>17</v>
      </c>
      <c r="L681" s="3" t="n">
        <v>4</v>
      </c>
      <c r="M681" s="3" t="n">
        <v>1</v>
      </c>
      <c r="N681" s="3" t="s">
        <v>19</v>
      </c>
    </row>
    <row r="682" customFormat="false" ht="15" hidden="false" customHeight="false" outlineLevel="0" collapsed="false">
      <c r="A682" s="3" t="s">
        <v>712</v>
      </c>
      <c r="B682" s="3" t="n">
        <v>40</v>
      </c>
      <c r="C682" s="3" t="s">
        <v>16</v>
      </c>
      <c r="D682" s="3" t="s">
        <v>23</v>
      </c>
      <c r="E682" s="3" t="s">
        <v>24</v>
      </c>
      <c r="F682" s="3" t="n">
        <v>1.8</v>
      </c>
      <c r="G682" s="3" t="n">
        <v>5302.31</v>
      </c>
      <c r="H682" s="3" t="s">
        <v>19</v>
      </c>
      <c r="I682" s="3" t="n">
        <v>3</v>
      </c>
      <c r="J682" s="3" t="n">
        <v>4</v>
      </c>
      <c r="K682" s="3" t="n">
        <v>12</v>
      </c>
      <c r="L682" s="3" t="n">
        <v>0</v>
      </c>
      <c r="M682" s="3" t="n">
        <v>2</v>
      </c>
      <c r="N682" s="3" t="s">
        <v>19</v>
      </c>
    </row>
    <row r="683" customFormat="false" ht="15" hidden="false" customHeight="false" outlineLevel="0" collapsed="false">
      <c r="A683" s="3" t="s">
        <v>713</v>
      </c>
      <c r="B683" s="3" t="n">
        <v>46</v>
      </c>
      <c r="C683" s="3" t="s">
        <v>24</v>
      </c>
      <c r="D683" s="3" t="s">
        <v>23</v>
      </c>
      <c r="E683" s="3" t="s">
        <v>24</v>
      </c>
      <c r="F683" s="3" t="n">
        <v>2</v>
      </c>
      <c r="G683" s="3" t="n">
        <v>4147.99</v>
      </c>
      <c r="H683" s="3" t="s">
        <v>19</v>
      </c>
      <c r="I683" s="3" t="n">
        <v>3</v>
      </c>
      <c r="J683" s="3" t="n">
        <v>3</v>
      </c>
      <c r="K683" s="3" t="n">
        <v>1</v>
      </c>
      <c r="L683" s="3" t="n">
        <v>2</v>
      </c>
      <c r="M683" s="3" t="n">
        <v>2</v>
      </c>
      <c r="N683" s="3" t="s">
        <v>19</v>
      </c>
    </row>
    <row r="684" customFormat="false" ht="15" hidden="false" customHeight="false" outlineLevel="0" collapsed="false">
      <c r="A684" s="3" t="s">
        <v>714</v>
      </c>
      <c r="B684" s="3" t="n">
        <v>36</v>
      </c>
      <c r="C684" s="3" t="s">
        <v>22</v>
      </c>
      <c r="D684" s="3" t="s">
        <v>17</v>
      </c>
      <c r="E684" s="3" t="s">
        <v>24</v>
      </c>
      <c r="F684" s="3" t="n">
        <v>0.7</v>
      </c>
      <c r="G684" s="3" t="n">
        <v>2987.13</v>
      </c>
      <c r="H684" s="3" t="s">
        <v>19</v>
      </c>
      <c r="I684" s="3" t="n">
        <v>1</v>
      </c>
      <c r="J684" s="3" t="n">
        <v>4</v>
      </c>
      <c r="K684" s="3" t="n">
        <v>32</v>
      </c>
      <c r="L684" s="3" t="n">
        <v>0</v>
      </c>
      <c r="M684" s="3" t="n">
        <v>1</v>
      </c>
      <c r="N684" s="3" t="s">
        <v>20</v>
      </c>
    </row>
    <row r="685" customFormat="false" ht="15" hidden="false" customHeight="false" outlineLevel="0" collapsed="false">
      <c r="A685" s="3" t="s">
        <v>715</v>
      </c>
      <c r="B685" s="3" t="n">
        <v>35</v>
      </c>
      <c r="C685" s="3" t="s">
        <v>32</v>
      </c>
      <c r="D685" s="3" t="s">
        <v>23</v>
      </c>
      <c r="E685" s="3" t="s">
        <v>28</v>
      </c>
      <c r="F685" s="3" t="n">
        <v>0.3</v>
      </c>
      <c r="G685" s="4"/>
      <c r="H685" s="4" t="s">
        <v>100</v>
      </c>
      <c r="I685" s="3" t="n">
        <v>3</v>
      </c>
      <c r="J685" s="3" t="n">
        <v>3</v>
      </c>
      <c r="K685" s="3" t="n">
        <v>8</v>
      </c>
      <c r="L685" s="3" t="n">
        <v>0</v>
      </c>
      <c r="M685" s="3" t="n">
        <v>2</v>
      </c>
      <c r="N685" s="3" t="s">
        <v>20</v>
      </c>
    </row>
    <row r="686" customFormat="false" ht="15" hidden="false" customHeight="false" outlineLevel="0" collapsed="false">
      <c r="A686" s="3" t="s">
        <v>716</v>
      </c>
      <c r="B686" s="3" t="n">
        <v>28</v>
      </c>
      <c r="C686" s="3" t="s">
        <v>26</v>
      </c>
      <c r="D686" s="3" t="s">
        <v>17</v>
      </c>
      <c r="E686" s="3" t="s">
        <v>24</v>
      </c>
      <c r="F686" s="3" t="n">
        <v>0.5</v>
      </c>
      <c r="G686" s="3" t="n">
        <v>2798.52</v>
      </c>
      <c r="H686" s="3" t="s">
        <v>19</v>
      </c>
      <c r="I686" s="3" t="n">
        <v>2</v>
      </c>
      <c r="J686" s="3" t="n">
        <v>3</v>
      </c>
      <c r="K686" s="3" t="n">
        <v>1</v>
      </c>
      <c r="L686" s="3" t="n">
        <v>0</v>
      </c>
      <c r="M686" s="3" t="n">
        <v>2</v>
      </c>
      <c r="N686" s="3" t="s">
        <v>19</v>
      </c>
    </row>
    <row r="687" customFormat="false" ht="15" hidden="false" customHeight="false" outlineLevel="0" collapsed="false">
      <c r="A687" s="3" t="s">
        <v>717</v>
      </c>
      <c r="B687" s="3" t="n">
        <v>31</v>
      </c>
      <c r="C687" s="3" t="s">
        <v>16</v>
      </c>
      <c r="D687" s="3" t="s">
        <v>23</v>
      </c>
      <c r="E687" s="3" t="s">
        <v>41</v>
      </c>
      <c r="F687" s="3" t="n">
        <v>0.5</v>
      </c>
      <c r="G687" s="3" t="n">
        <v>5175.58</v>
      </c>
      <c r="H687" s="3" t="s">
        <v>19</v>
      </c>
      <c r="I687" s="3" t="n">
        <v>1</v>
      </c>
      <c r="J687" s="3" t="n">
        <v>2</v>
      </c>
      <c r="K687" s="3" t="n">
        <v>1</v>
      </c>
      <c r="L687" s="3" t="n">
        <v>0</v>
      </c>
      <c r="M687" s="3" t="n">
        <v>1</v>
      </c>
      <c r="N687" s="3" t="s">
        <v>20</v>
      </c>
    </row>
    <row r="688" customFormat="false" ht="15" hidden="false" customHeight="false" outlineLevel="0" collapsed="false">
      <c r="A688" s="3" t="s">
        <v>718</v>
      </c>
      <c r="B688" s="3" t="n">
        <v>36</v>
      </c>
      <c r="C688" s="3" t="s">
        <v>16</v>
      </c>
      <c r="D688" s="3" t="s">
        <v>17</v>
      </c>
      <c r="E688" s="3" t="s">
        <v>28</v>
      </c>
      <c r="F688" s="3" t="n">
        <v>2.7</v>
      </c>
      <c r="G688" s="3" t="n">
        <v>3560.98</v>
      </c>
      <c r="H688" s="3" t="s">
        <v>19</v>
      </c>
      <c r="I688" s="3" t="n">
        <v>2</v>
      </c>
      <c r="J688" s="3" t="n">
        <v>2</v>
      </c>
      <c r="K688" s="3" t="n">
        <v>13</v>
      </c>
      <c r="L688" s="3" t="n">
        <v>2</v>
      </c>
      <c r="M688" s="3" t="n">
        <v>3</v>
      </c>
      <c r="N688" s="3" t="s">
        <v>19</v>
      </c>
    </row>
    <row r="689" customFormat="false" ht="15" hidden="false" customHeight="false" outlineLevel="0" collapsed="false">
      <c r="A689" s="3" t="s">
        <v>719</v>
      </c>
      <c r="B689" s="3" t="n">
        <v>36</v>
      </c>
      <c r="C689" s="3" t="s">
        <v>16</v>
      </c>
      <c r="D689" s="3" t="s">
        <v>17</v>
      </c>
      <c r="E689" s="3" t="s">
        <v>41</v>
      </c>
      <c r="F689" s="3" t="n">
        <v>1.4</v>
      </c>
      <c r="G689" s="3" t="n">
        <v>3416.43</v>
      </c>
      <c r="H689" s="3" t="s">
        <v>20</v>
      </c>
      <c r="I689" s="3" t="n">
        <v>1</v>
      </c>
      <c r="J689" s="3" t="n">
        <v>4</v>
      </c>
      <c r="K689" s="3" t="n">
        <v>1</v>
      </c>
      <c r="L689" s="3" t="n">
        <v>1</v>
      </c>
      <c r="M689" s="3" t="n">
        <v>1</v>
      </c>
      <c r="N689" s="3" t="s">
        <v>20</v>
      </c>
    </row>
    <row r="690" customFormat="false" ht="15" hidden="false" customHeight="false" outlineLevel="0" collapsed="false">
      <c r="A690" s="3" t="s">
        <v>720</v>
      </c>
      <c r="B690" s="3" t="n">
        <v>27</v>
      </c>
      <c r="C690" s="3" t="s">
        <v>24</v>
      </c>
      <c r="D690" s="3" t="s">
        <v>23</v>
      </c>
      <c r="E690" s="3" t="s">
        <v>24</v>
      </c>
      <c r="F690" s="3" t="n">
        <v>4.4</v>
      </c>
      <c r="G690" s="3" t="n">
        <v>4510.76</v>
      </c>
      <c r="H690" s="3" t="s">
        <v>19</v>
      </c>
      <c r="I690" s="3" t="n">
        <v>4</v>
      </c>
      <c r="J690" s="3" t="n">
        <v>2</v>
      </c>
      <c r="K690" s="3" t="n">
        <v>1</v>
      </c>
      <c r="L690" s="3" t="n">
        <v>0</v>
      </c>
      <c r="M690" s="3" t="n">
        <v>4</v>
      </c>
      <c r="N690" s="3" t="s">
        <v>19</v>
      </c>
    </row>
    <row r="691" customFormat="false" ht="15" hidden="false" customHeight="false" outlineLevel="0" collapsed="false">
      <c r="A691" s="3" t="s">
        <v>721</v>
      </c>
      <c r="B691" s="3" t="n">
        <v>35</v>
      </c>
      <c r="C691" s="3" t="s">
        <v>22</v>
      </c>
      <c r="D691" s="3" t="s">
        <v>48</v>
      </c>
      <c r="E691" s="3" t="s">
        <v>24</v>
      </c>
      <c r="F691" s="3" t="n">
        <v>1.6</v>
      </c>
      <c r="G691" s="3" t="n">
        <v>11325.24</v>
      </c>
      <c r="H691" s="3" t="s">
        <v>20</v>
      </c>
      <c r="I691" s="3" t="n">
        <v>3</v>
      </c>
      <c r="J691" s="3" t="n">
        <v>4</v>
      </c>
      <c r="K691" s="3" t="n">
        <v>9</v>
      </c>
      <c r="L691" s="3" t="n">
        <v>1</v>
      </c>
      <c r="M691" s="3" t="n">
        <v>2</v>
      </c>
      <c r="N691" s="3" t="s">
        <v>19</v>
      </c>
    </row>
    <row r="692" customFormat="false" ht="15" hidden="false" customHeight="false" outlineLevel="0" collapsed="false">
      <c r="A692" s="3" t="s">
        <v>722</v>
      </c>
      <c r="B692" s="3" t="n">
        <v>21</v>
      </c>
      <c r="C692" s="3" t="s">
        <v>26</v>
      </c>
      <c r="D692" s="3" t="s">
        <v>23</v>
      </c>
      <c r="E692" s="3" t="s">
        <v>24</v>
      </c>
      <c r="F692" s="3" t="n">
        <v>0</v>
      </c>
      <c r="G692" s="3" t="n">
        <v>4530.24</v>
      </c>
      <c r="H692" s="3" t="s">
        <v>19</v>
      </c>
      <c r="I692" s="3" t="n">
        <v>3</v>
      </c>
      <c r="J692" s="3" t="n">
        <v>3</v>
      </c>
      <c r="K692" s="3" t="n">
        <v>7</v>
      </c>
      <c r="L692" s="3" t="n">
        <v>0</v>
      </c>
      <c r="M692" s="3" t="n">
        <v>0</v>
      </c>
      <c r="N692" s="3" t="s">
        <v>20</v>
      </c>
    </row>
    <row r="693" customFormat="false" ht="15" hidden="false" customHeight="false" outlineLevel="0" collapsed="false">
      <c r="A693" s="3" t="s">
        <v>723</v>
      </c>
      <c r="B693" s="3" t="n">
        <v>21</v>
      </c>
      <c r="C693" s="3" t="s">
        <v>24</v>
      </c>
      <c r="D693" s="3" t="s">
        <v>17</v>
      </c>
      <c r="E693" s="3" t="s">
        <v>18</v>
      </c>
      <c r="F693" s="3" t="n">
        <v>0</v>
      </c>
      <c r="G693" s="3" t="n">
        <v>3481.88</v>
      </c>
      <c r="H693" s="3" t="s">
        <v>20</v>
      </c>
      <c r="I693" s="3" t="n">
        <v>3</v>
      </c>
      <c r="J693" s="3" t="n">
        <v>4</v>
      </c>
      <c r="K693" s="3" t="n">
        <v>4</v>
      </c>
      <c r="L693" s="3" t="n">
        <v>0</v>
      </c>
      <c r="M693" s="3" t="n">
        <v>5</v>
      </c>
      <c r="N693" s="3" t="s">
        <v>19</v>
      </c>
    </row>
    <row r="694" customFormat="false" ht="15" hidden="false" customHeight="false" outlineLevel="0" collapsed="false">
      <c r="A694" s="3" t="s">
        <v>724</v>
      </c>
      <c r="B694" s="3" t="n">
        <v>44</v>
      </c>
      <c r="C694" s="3" t="s">
        <v>32</v>
      </c>
      <c r="D694" s="3" t="s">
        <v>17</v>
      </c>
      <c r="E694" s="3" t="s">
        <v>18</v>
      </c>
      <c r="F694" s="3" t="n">
        <v>3.5</v>
      </c>
      <c r="G694" s="3" t="n">
        <v>3032.47</v>
      </c>
      <c r="H694" s="3" t="s">
        <v>19</v>
      </c>
      <c r="I694" s="3" t="n">
        <v>2</v>
      </c>
      <c r="J694" s="3" t="n">
        <v>4</v>
      </c>
      <c r="K694" s="3" t="n">
        <v>1</v>
      </c>
      <c r="L694" s="3" t="n">
        <v>2</v>
      </c>
      <c r="M694" s="3" t="n">
        <v>2</v>
      </c>
      <c r="N694" s="3" t="s">
        <v>19</v>
      </c>
    </row>
    <row r="695" customFormat="false" ht="15" hidden="false" customHeight="false" outlineLevel="0" collapsed="false">
      <c r="A695" s="3" t="s">
        <v>725</v>
      </c>
      <c r="B695" s="3" t="n">
        <v>51</v>
      </c>
      <c r="C695" s="3" t="s">
        <v>26</v>
      </c>
      <c r="D695" s="3" t="s">
        <v>17</v>
      </c>
      <c r="E695" s="3" t="s">
        <v>18</v>
      </c>
      <c r="F695" s="3" t="n">
        <v>0.2</v>
      </c>
      <c r="G695" s="3" t="n">
        <v>2874.16</v>
      </c>
      <c r="H695" s="3" t="s">
        <v>20</v>
      </c>
      <c r="I695" s="3" t="n">
        <v>4</v>
      </c>
      <c r="J695" s="3" t="n">
        <v>3</v>
      </c>
      <c r="K695" s="3" t="n">
        <v>1</v>
      </c>
      <c r="L695" s="3" t="n">
        <v>0</v>
      </c>
      <c r="M695" s="3" t="n">
        <v>3</v>
      </c>
      <c r="N695" s="3" t="s">
        <v>19</v>
      </c>
    </row>
    <row r="696" customFormat="false" ht="15" hidden="false" customHeight="false" outlineLevel="0" collapsed="false">
      <c r="A696" s="3" t="s">
        <v>726</v>
      </c>
      <c r="B696" s="3" t="n">
        <v>46</v>
      </c>
      <c r="C696" s="3" t="s">
        <v>26</v>
      </c>
      <c r="D696" s="3" t="s">
        <v>27</v>
      </c>
      <c r="E696" s="3" t="s">
        <v>24</v>
      </c>
      <c r="F696" s="3" t="n">
        <v>1.8</v>
      </c>
      <c r="G696" s="3" t="n">
        <v>7776.06</v>
      </c>
      <c r="H696" s="3" t="s">
        <v>19</v>
      </c>
      <c r="I696" s="3" t="n">
        <v>3</v>
      </c>
      <c r="J696" s="3" t="n">
        <v>3</v>
      </c>
      <c r="K696" s="3" t="n">
        <v>20</v>
      </c>
      <c r="L696" s="3" t="n">
        <v>1</v>
      </c>
      <c r="M696" s="3" t="n">
        <v>1</v>
      </c>
      <c r="N696" s="3" t="s">
        <v>19</v>
      </c>
    </row>
    <row r="697" customFormat="false" ht="15" hidden="false" customHeight="false" outlineLevel="0" collapsed="false">
      <c r="A697" s="3" t="s">
        <v>727</v>
      </c>
      <c r="B697" s="3" t="n">
        <v>33</v>
      </c>
      <c r="C697" s="3" t="s">
        <v>45</v>
      </c>
      <c r="D697" s="3" t="s">
        <v>17</v>
      </c>
      <c r="E697" s="3" t="s">
        <v>28</v>
      </c>
      <c r="F697" s="3" t="n">
        <v>2.2</v>
      </c>
      <c r="G697" s="3" t="n">
        <v>3650.72</v>
      </c>
      <c r="H697" s="3" t="s">
        <v>19</v>
      </c>
      <c r="I697" s="3" t="n">
        <v>4</v>
      </c>
      <c r="J697" s="3" t="n">
        <v>1</v>
      </c>
      <c r="K697" s="3" t="n">
        <v>20</v>
      </c>
      <c r="L697" s="3" t="n">
        <v>2</v>
      </c>
      <c r="M697" s="3" t="n">
        <v>1</v>
      </c>
      <c r="N697" s="3" t="s">
        <v>19</v>
      </c>
    </row>
    <row r="698" customFormat="false" ht="15" hidden="false" customHeight="false" outlineLevel="0" collapsed="false">
      <c r="A698" s="3" t="s">
        <v>728</v>
      </c>
      <c r="B698" s="3" t="n">
        <v>54</v>
      </c>
      <c r="C698" s="3" t="s">
        <v>24</v>
      </c>
      <c r="D698" s="3" t="s">
        <v>23</v>
      </c>
      <c r="E698" s="3" t="s">
        <v>28</v>
      </c>
      <c r="F698" s="3" t="n">
        <v>3.3</v>
      </c>
      <c r="G698" s="3" t="n">
        <v>5591.97</v>
      </c>
      <c r="H698" s="3" t="s">
        <v>19</v>
      </c>
      <c r="I698" s="3" t="n">
        <v>4</v>
      </c>
      <c r="J698" s="3" t="n">
        <v>2</v>
      </c>
      <c r="K698" s="3" t="n">
        <v>10</v>
      </c>
      <c r="L698" s="3" t="n">
        <v>1</v>
      </c>
      <c r="M698" s="3" t="n">
        <v>1</v>
      </c>
      <c r="N698" s="3" t="s">
        <v>19</v>
      </c>
    </row>
    <row r="699" customFormat="false" ht="15" hidden="false" customHeight="false" outlineLevel="0" collapsed="false">
      <c r="A699" s="3" t="s">
        <v>729</v>
      </c>
      <c r="B699" s="3" t="n">
        <v>48</v>
      </c>
      <c r="C699" s="3" t="s">
        <v>16</v>
      </c>
      <c r="D699" s="3" t="s">
        <v>23</v>
      </c>
      <c r="E699" s="3" t="s">
        <v>28</v>
      </c>
      <c r="F699" s="3" t="n">
        <v>0.3</v>
      </c>
      <c r="G699" s="3" t="n">
        <v>4322.01</v>
      </c>
      <c r="H699" s="3" t="s">
        <v>19</v>
      </c>
      <c r="I699" s="3" t="n">
        <v>2</v>
      </c>
      <c r="J699" s="3" t="n">
        <v>4</v>
      </c>
      <c r="K699" s="3" t="n">
        <v>13</v>
      </c>
      <c r="L699" s="3" t="n">
        <v>0</v>
      </c>
      <c r="M699" s="3" t="n">
        <v>4</v>
      </c>
      <c r="N699" s="3" t="s">
        <v>20</v>
      </c>
    </row>
    <row r="700" customFormat="false" ht="15" hidden="false" customHeight="false" outlineLevel="0" collapsed="false">
      <c r="A700" s="3" t="s">
        <v>730</v>
      </c>
      <c r="B700" s="3" t="n">
        <v>37</v>
      </c>
      <c r="C700" s="3" t="s">
        <v>45</v>
      </c>
      <c r="D700" s="3" t="s">
        <v>23</v>
      </c>
      <c r="E700" s="3" t="s">
        <v>24</v>
      </c>
      <c r="F700" s="3" t="n">
        <v>0.6</v>
      </c>
      <c r="G700" s="3" t="n">
        <v>4268.61</v>
      </c>
      <c r="H700" s="3" t="s">
        <v>19</v>
      </c>
      <c r="I700" s="3" t="n">
        <v>4</v>
      </c>
      <c r="J700" s="3" t="n">
        <v>4</v>
      </c>
      <c r="K700" s="3" t="n">
        <v>17</v>
      </c>
      <c r="L700" s="3" t="n">
        <v>0</v>
      </c>
      <c r="M700" s="3" t="n">
        <v>1</v>
      </c>
      <c r="N700" s="3" t="s">
        <v>20</v>
      </c>
    </row>
    <row r="701" customFormat="false" ht="15" hidden="false" customHeight="false" outlineLevel="0" collapsed="false">
      <c r="A701" s="3" t="s">
        <v>731</v>
      </c>
      <c r="B701" s="3" t="n">
        <v>33</v>
      </c>
      <c r="C701" s="3" t="s">
        <v>32</v>
      </c>
      <c r="D701" s="3" t="s">
        <v>23</v>
      </c>
      <c r="E701" s="3" t="s">
        <v>41</v>
      </c>
      <c r="F701" s="3" t="n">
        <v>9.1</v>
      </c>
      <c r="G701" s="3" t="n">
        <v>4244.7</v>
      </c>
      <c r="H701" s="3" t="s">
        <v>19</v>
      </c>
      <c r="I701" s="3" t="n">
        <v>3</v>
      </c>
      <c r="J701" s="3" t="n">
        <v>3</v>
      </c>
      <c r="K701" s="3" t="n">
        <v>10</v>
      </c>
      <c r="L701" s="3" t="n">
        <v>1</v>
      </c>
      <c r="M701" s="3" t="n">
        <v>1</v>
      </c>
      <c r="N701" s="3" t="s">
        <v>19</v>
      </c>
    </row>
    <row r="702" customFormat="false" ht="15" hidden="false" customHeight="false" outlineLevel="0" collapsed="false">
      <c r="A702" s="3" t="s">
        <v>732</v>
      </c>
      <c r="B702" s="3" t="n">
        <v>32</v>
      </c>
      <c r="C702" s="3" t="s">
        <v>16</v>
      </c>
      <c r="D702" s="3" t="s">
        <v>23</v>
      </c>
      <c r="E702" s="3" t="s">
        <v>28</v>
      </c>
      <c r="F702" s="3" t="n">
        <v>0.3</v>
      </c>
      <c r="G702" s="3" t="n">
        <v>5005.53</v>
      </c>
      <c r="H702" s="3" t="s">
        <v>19</v>
      </c>
      <c r="I702" s="3" t="n">
        <v>2</v>
      </c>
      <c r="J702" s="3" t="n">
        <v>4</v>
      </c>
      <c r="K702" s="3" t="n">
        <v>30</v>
      </c>
      <c r="L702" s="3" t="n">
        <v>0</v>
      </c>
      <c r="M702" s="3" t="n">
        <v>0</v>
      </c>
      <c r="N702" s="3" t="s">
        <v>20</v>
      </c>
    </row>
    <row r="703" customFormat="false" ht="15" hidden="false" customHeight="false" outlineLevel="0" collapsed="false">
      <c r="A703" s="3" t="s">
        <v>733</v>
      </c>
      <c r="B703" s="3" t="n">
        <v>24</v>
      </c>
      <c r="C703" s="3" t="s">
        <v>16</v>
      </c>
      <c r="D703" s="3" t="s">
        <v>17</v>
      </c>
      <c r="E703" s="3" t="s">
        <v>41</v>
      </c>
      <c r="F703" s="3" t="n">
        <v>3</v>
      </c>
      <c r="G703" s="3" t="n">
        <v>3585.91</v>
      </c>
      <c r="H703" s="3" t="s">
        <v>19</v>
      </c>
      <c r="I703" s="3" t="n">
        <v>4</v>
      </c>
      <c r="J703" s="3" t="n">
        <v>3</v>
      </c>
      <c r="K703" s="3" t="n">
        <v>1</v>
      </c>
      <c r="L703" s="3" t="n">
        <v>1</v>
      </c>
      <c r="M703" s="3" t="n">
        <v>3</v>
      </c>
      <c r="N703" s="3" t="s">
        <v>19</v>
      </c>
    </row>
    <row r="704" customFormat="false" ht="15" hidden="false" customHeight="false" outlineLevel="0" collapsed="false">
      <c r="A704" s="3" t="s">
        <v>734</v>
      </c>
      <c r="B704" s="3" t="n">
        <v>36</v>
      </c>
      <c r="C704" s="3" t="s">
        <v>32</v>
      </c>
      <c r="D704" s="3" t="s">
        <v>23</v>
      </c>
      <c r="E704" s="3" t="s">
        <v>41</v>
      </c>
      <c r="F704" s="3" t="n">
        <v>3.1</v>
      </c>
      <c r="G704" s="3" t="n">
        <v>4286.67</v>
      </c>
      <c r="H704" s="3" t="s">
        <v>20</v>
      </c>
      <c r="I704" s="3" t="n">
        <v>3</v>
      </c>
      <c r="J704" s="3" t="n">
        <v>4</v>
      </c>
      <c r="K704" s="3" t="n">
        <v>13</v>
      </c>
      <c r="L704" s="3" t="n">
        <v>0</v>
      </c>
      <c r="M704" s="3" t="n">
        <v>3</v>
      </c>
      <c r="N704" s="3" t="s">
        <v>20</v>
      </c>
    </row>
    <row r="705" customFormat="false" ht="15" hidden="false" customHeight="false" outlineLevel="0" collapsed="false">
      <c r="A705" s="3" t="s">
        <v>735</v>
      </c>
      <c r="B705" s="3" t="n">
        <v>29</v>
      </c>
      <c r="C705" s="3" t="s">
        <v>16</v>
      </c>
      <c r="D705" s="3" t="s">
        <v>48</v>
      </c>
      <c r="E705" s="3" t="s">
        <v>28</v>
      </c>
      <c r="F705" s="3" t="n">
        <v>1.1</v>
      </c>
      <c r="G705" s="3" t="n">
        <v>8403.17</v>
      </c>
      <c r="H705" s="3" t="s">
        <v>19</v>
      </c>
      <c r="I705" s="3" t="n">
        <v>3</v>
      </c>
      <c r="J705" s="3" t="n">
        <v>4</v>
      </c>
      <c r="K705" s="3" t="n">
        <v>5</v>
      </c>
      <c r="L705" s="3" t="n">
        <v>1</v>
      </c>
      <c r="M705" s="3" t="n">
        <v>0</v>
      </c>
      <c r="N705" s="3" t="s">
        <v>19</v>
      </c>
    </row>
    <row r="706" customFormat="false" ht="15" hidden="false" customHeight="false" outlineLevel="0" collapsed="false">
      <c r="A706" s="3" t="s">
        <v>736</v>
      </c>
      <c r="B706" s="3" t="n">
        <v>44</v>
      </c>
      <c r="C706" s="3" t="s">
        <v>16</v>
      </c>
      <c r="D706" s="3" t="s">
        <v>27</v>
      </c>
      <c r="E706" s="3" t="s">
        <v>18</v>
      </c>
      <c r="F706" s="3" t="n">
        <v>0.8</v>
      </c>
      <c r="G706" s="3" t="n">
        <v>6192.12</v>
      </c>
      <c r="H706" s="3" t="s">
        <v>19</v>
      </c>
      <c r="I706" s="3" t="n">
        <v>4</v>
      </c>
      <c r="J706" s="3" t="n">
        <v>3</v>
      </c>
      <c r="K706" s="3" t="n">
        <v>11</v>
      </c>
      <c r="L706" s="3" t="n">
        <v>0</v>
      </c>
      <c r="M706" s="3" t="n">
        <v>1</v>
      </c>
      <c r="N706" s="3" t="s">
        <v>19</v>
      </c>
    </row>
    <row r="707" customFormat="false" ht="15" hidden="false" customHeight="false" outlineLevel="0" collapsed="false">
      <c r="A707" s="3" t="s">
        <v>737</v>
      </c>
      <c r="B707" s="3" t="n">
        <v>44</v>
      </c>
      <c r="C707" s="3" t="s">
        <v>16</v>
      </c>
      <c r="D707" s="3" t="s">
        <v>23</v>
      </c>
      <c r="E707" s="3" t="s">
        <v>41</v>
      </c>
      <c r="F707" s="3" t="n">
        <v>3</v>
      </c>
      <c r="G707" s="3" t="n">
        <v>4695.25</v>
      </c>
      <c r="H707" s="3" t="s">
        <v>19</v>
      </c>
      <c r="I707" s="3" t="n">
        <v>4</v>
      </c>
      <c r="J707" s="3" t="n">
        <v>4</v>
      </c>
      <c r="K707" s="3" t="n">
        <v>3</v>
      </c>
      <c r="L707" s="3" t="n">
        <v>0</v>
      </c>
      <c r="M707" s="3" t="n">
        <v>1</v>
      </c>
      <c r="N707" s="3" t="s">
        <v>19</v>
      </c>
    </row>
    <row r="708" customFormat="false" ht="15" hidden="false" customHeight="false" outlineLevel="0" collapsed="false">
      <c r="A708" s="3" t="s">
        <v>738</v>
      </c>
      <c r="B708" s="3" t="n">
        <v>25</v>
      </c>
      <c r="C708" s="3" t="s">
        <v>16</v>
      </c>
      <c r="D708" s="3" t="s">
        <v>23</v>
      </c>
      <c r="E708" s="3" t="s">
        <v>24</v>
      </c>
      <c r="F708" s="3" t="n">
        <v>3.7</v>
      </c>
      <c r="G708" s="3" t="n">
        <v>5558.45</v>
      </c>
      <c r="H708" s="3" t="s">
        <v>19</v>
      </c>
      <c r="I708" s="3" t="n">
        <v>2</v>
      </c>
      <c r="J708" s="3" t="n">
        <v>4</v>
      </c>
      <c r="K708" s="3" t="n">
        <v>16</v>
      </c>
      <c r="L708" s="3" t="n">
        <v>2</v>
      </c>
      <c r="M708" s="3" t="n">
        <v>3</v>
      </c>
      <c r="N708" s="3" t="s">
        <v>19</v>
      </c>
    </row>
    <row r="709" customFormat="false" ht="15" hidden="false" customHeight="false" outlineLevel="0" collapsed="false">
      <c r="A709" s="3" t="s">
        <v>739</v>
      </c>
      <c r="B709" s="3" t="n">
        <v>26</v>
      </c>
      <c r="C709" s="3" t="s">
        <v>16</v>
      </c>
      <c r="D709" s="3" t="s">
        <v>23</v>
      </c>
      <c r="E709" s="3" t="s">
        <v>41</v>
      </c>
      <c r="F709" s="3" t="n">
        <v>3.6</v>
      </c>
      <c r="G709" s="3" t="n">
        <v>5174.68</v>
      </c>
      <c r="H709" s="3" t="s">
        <v>19</v>
      </c>
      <c r="I709" s="3" t="n">
        <v>3</v>
      </c>
      <c r="J709" s="3" t="n">
        <v>1</v>
      </c>
      <c r="K709" s="3" t="n">
        <v>4</v>
      </c>
      <c r="L709" s="3" t="n">
        <v>3</v>
      </c>
      <c r="M709" s="3" t="n">
        <v>2</v>
      </c>
      <c r="N709" s="3" t="s">
        <v>19</v>
      </c>
    </row>
    <row r="710" customFormat="false" ht="15" hidden="false" customHeight="false" outlineLevel="0" collapsed="false">
      <c r="A710" s="3" t="s">
        <v>740</v>
      </c>
      <c r="B710" s="3" t="n">
        <v>32</v>
      </c>
      <c r="C710" s="3" t="s">
        <v>26</v>
      </c>
      <c r="D710" s="3" t="s">
        <v>17</v>
      </c>
      <c r="E710" s="3" t="s">
        <v>41</v>
      </c>
      <c r="F710" s="3" t="n">
        <v>3.3</v>
      </c>
      <c r="G710" s="3" t="n">
        <v>3360.35</v>
      </c>
      <c r="H710" s="3" t="s">
        <v>19</v>
      </c>
      <c r="I710" s="3" t="n">
        <v>3</v>
      </c>
      <c r="J710" s="3" t="n">
        <v>4</v>
      </c>
      <c r="K710" s="3" t="n">
        <v>8</v>
      </c>
      <c r="L710" s="3" t="n">
        <v>3</v>
      </c>
      <c r="M710" s="3" t="n">
        <v>0</v>
      </c>
      <c r="N710" s="3" t="s">
        <v>19</v>
      </c>
    </row>
    <row r="711" customFormat="false" ht="15" hidden="false" customHeight="false" outlineLevel="0" collapsed="false">
      <c r="A711" s="3" t="s">
        <v>741</v>
      </c>
      <c r="B711" s="3" t="n">
        <v>38</v>
      </c>
      <c r="C711" s="3" t="s">
        <v>16</v>
      </c>
      <c r="D711" s="3" t="s">
        <v>17</v>
      </c>
      <c r="E711" s="3" t="s">
        <v>24</v>
      </c>
      <c r="F711" s="3" t="n">
        <v>0.5</v>
      </c>
      <c r="G711" s="3" t="n">
        <v>3537.99</v>
      </c>
      <c r="H711" s="3" t="s">
        <v>19</v>
      </c>
      <c r="I711" s="3" t="n">
        <v>3</v>
      </c>
      <c r="J711" s="3" t="n">
        <v>1</v>
      </c>
      <c r="K711" s="3" t="n">
        <v>18</v>
      </c>
      <c r="L711" s="3" t="n">
        <v>0</v>
      </c>
      <c r="M711" s="3" t="n">
        <v>1</v>
      </c>
      <c r="N711" s="3" t="s">
        <v>19</v>
      </c>
    </row>
    <row r="712" customFormat="false" ht="15" hidden="false" customHeight="false" outlineLevel="0" collapsed="false">
      <c r="A712" s="3" t="s">
        <v>742</v>
      </c>
      <c r="B712" s="3" t="n">
        <v>27</v>
      </c>
      <c r="C712" s="3" t="s">
        <v>32</v>
      </c>
      <c r="D712" s="3" t="s">
        <v>23</v>
      </c>
      <c r="E712" s="3" t="s">
        <v>41</v>
      </c>
      <c r="F712" s="3" t="n">
        <v>0.3</v>
      </c>
      <c r="G712" s="3" t="n">
        <v>4141.77</v>
      </c>
      <c r="H712" s="3" t="s">
        <v>19</v>
      </c>
      <c r="I712" s="3" t="n">
        <v>4</v>
      </c>
      <c r="J712" s="3" t="n">
        <v>4</v>
      </c>
      <c r="K712" s="3" t="n">
        <v>6</v>
      </c>
      <c r="L712" s="3" t="n">
        <v>0</v>
      </c>
      <c r="M712" s="3" t="n">
        <v>2</v>
      </c>
      <c r="N712" s="3" t="s">
        <v>20</v>
      </c>
    </row>
    <row r="713" customFormat="false" ht="15" hidden="false" customHeight="false" outlineLevel="0" collapsed="false">
      <c r="A713" s="3" t="s">
        <v>743</v>
      </c>
      <c r="B713" s="3" t="n">
        <v>36</v>
      </c>
      <c r="C713" s="3" t="s">
        <v>26</v>
      </c>
      <c r="D713" s="3" t="s">
        <v>17</v>
      </c>
      <c r="E713" s="3" t="s">
        <v>24</v>
      </c>
      <c r="F713" s="3" t="n">
        <v>4.6</v>
      </c>
      <c r="G713" s="3" t="n">
        <v>3029.22</v>
      </c>
      <c r="H713" s="3" t="s">
        <v>20</v>
      </c>
      <c r="I713" s="3" t="n">
        <v>3</v>
      </c>
      <c r="J713" s="3" t="n">
        <v>4</v>
      </c>
      <c r="K713" s="3" t="n">
        <v>16</v>
      </c>
      <c r="L713" s="3" t="n">
        <v>4</v>
      </c>
      <c r="M713" s="3" t="n">
        <v>5</v>
      </c>
      <c r="N713" s="3" t="s">
        <v>19</v>
      </c>
    </row>
    <row r="714" customFormat="false" ht="15" hidden="false" customHeight="false" outlineLevel="0" collapsed="false">
      <c r="A714" s="3" t="s">
        <v>744</v>
      </c>
      <c r="B714" s="3" t="n">
        <v>35</v>
      </c>
      <c r="C714" s="3" t="s">
        <v>16</v>
      </c>
      <c r="D714" s="3" t="s">
        <v>27</v>
      </c>
      <c r="E714" s="3" t="s">
        <v>28</v>
      </c>
      <c r="F714" s="3" t="n">
        <v>0.3</v>
      </c>
      <c r="G714" s="3" t="n">
        <v>6442.39</v>
      </c>
      <c r="H714" s="3" t="s">
        <v>19</v>
      </c>
      <c r="I714" s="3" t="n">
        <v>3</v>
      </c>
      <c r="J714" s="3" t="n">
        <v>2</v>
      </c>
      <c r="K714" s="3" t="n">
        <v>13</v>
      </c>
      <c r="L714" s="3" t="n">
        <v>0</v>
      </c>
      <c r="M714" s="3" t="n">
        <v>3</v>
      </c>
      <c r="N714" s="3" t="s">
        <v>19</v>
      </c>
    </row>
    <row r="715" customFormat="false" ht="15" hidden="false" customHeight="false" outlineLevel="0" collapsed="false">
      <c r="A715" s="3" t="s">
        <v>745</v>
      </c>
      <c r="B715" s="3" t="n">
        <v>23</v>
      </c>
      <c r="C715" s="3" t="s">
        <v>24</v>
      </c>
      <c r="D715" s="3" t="s">
        <v>17</v>
      </c>
      <c r="E715" s="3" t="s">
        <v>41</v>
      </c>
      <c r="F715" s="3" t="n">
        <v>0.8</v>
      </c>
      <c r="G715" s="3" t="n">
        <v>3517.14</v>
      </c>
      <c r="H715" s="3" t="s">
        <v>20</v>
      </c>
      <c r="I715" s="3" t="n">
        <v>4</v>
      </c>
      <c r="J715" s="3" t="n">
        <v>2</v>
      </c>
      <c r="K715" s="3" t="n">
        <v>1</v>
      </c>
      <c r="L715" s="3" t="n">
        <v>0</v>
      </c>
      <c r="M715" s="3" t="n">
        <v>2</v>
      </c>
      <c r="N715" s="3" t="s">
        <v>19</v>
      </c>
    </row>
    <row r="716" customFormat="false" ht="15" hidden="false" customHeight="false" outlineLevel="0" collapsed="false">
      <c r="A716" s="3" t="s">
        <v>746</v>
      </c>
      <c r="B716" s="3" t="n">
        <v>36</v>
      </c>
      <c r="C716" s="3" t="s">
        <v>24</v>
      </c>
      <c r="D716" s="3" t="s">
        <v>48</v>
      </c>
      <c r="E716" s="3" t="s">
        <v>18</v>
      </c>
      <c r="F716" s="3" t="n">
        <v>3</v>
      </c>
      <c r="G716" s="3" t="n">
        <v>11085.17</v>
      </c>
      <c r="H716" s="3" t="s">
        <v>19</v>
      </c>
      <c r="I716" s="3" t="n">
        <v>4</v>
      </c>
      <c r="J716" s="3" t="n">
        <v>1</v>
      </c>
      <c r="K716" s="3" t="n">
        <v>11</v>
      </c>
      <c r="L716" s="3" t="n">
        <v>3</v>
      </c>
      <c r="M716" s="3" t="n">
        <v>2</v>
      </c>
      <c r="N716" s="3" t="s">
        <v>20</v>
      </c>
    </row>
    <row r="717" customFormat="false" ht="15" hidden="false" customHeight="false" outlineLevel="0" collapsed="false">
      <c r="A717" s="3" t="s">
        <v>747</v>
      </c>
      <c r="B717" s="3" t="n">
        <v>45</v>
      </c>
      <c r="C717" s="3" t="s">
        <v>22</v>
      </c>
      <c r="D717" s="3" t="s">
        <v>23</v>
      </c>
      <c r="E717" s="3" t="s">
        <v>41</v>
      </c>
      <c r="F717" s="3" t="n">
        <v>0.7</v>
      </c>
      <c r="G717" s="3" t="n">
        <v>4288.81</v>
      </c>
      <c r="H717" s="3" t="s">
        <v>19</v>
      </c>
      <c r="I717" s="3" t="n">
        <v>4</v>
      </c>
      <c r="J717" s="3" t="n">
        <v>2</v>
      </c>
      <c r="K717" s="3" t="n">
        <v>1</v>
      </c>
      <c r="L717" s="3" t="n">
        <v>0</v>
      </c>
      <c r="M717" s="3" t="n">
        <v>3</v>
      </c>
      <c r="N717" s="3" t="s">
        <v>19</v>
      </c>
    </row>
    <row r="718" customFormat="false" ht="15" hidden="false" customHeight="false" outlineLevel="0" collapsed="false">
      <c r="A718" s="3" t="s">
        <v>748</v>
      </c>
      <c r="B718" s="3" t="n">
        <v>37</v>
      </c>
      <c r="C718" s="3" t="s">
        <v>16</v>
      </c>
      <c r="D718" s="3" t="s">
        <v>23</v>
      </c>
      <c r="E718" s="3" t="s">
        <v>24</v>
      </c>
      <c r="F718" s="3" t="n">
        <v>1.4</v>
      </c>
      <c r="G718" s="3" t="n">
        <v>4379.72</v>
      </c>
      <c r="H718" s="3" t="s">
        <v>20</v>
      </c>
      <c r="I718" s="3" t="n">
        <v>4</v>
      </c>
      <c r="J718" s="3" t="n">
        <v>4</v>
      </c>
      <c r="K718" s="3" t="n">
        <v>11</v>
      </c>
      <c r="L718" s="3" t="n">
        <v>1</v>
      </c>
      <c r="M718" s="3" t="n">
        <v>1</v>
      </c>
      <c r="N718" s="3" t="s">
        <v>19</v>
      </c>
    </row>
    <row r="719" customFormat="false" ht="15" hidden="false" customHeight="false" outlineLevel="0" collapsed="false">
      <c r="A719" s="3" t="s">
        <v>749</v>
      </c>
      <c r="B719" s="3" t="n">
        <v>29</v>
      </c>
      <c r="C719" s="3" t="s">
        <v>26</v>
      </c>
      <c r="D719" s="3" t="s">
        <v>48</v>
      </c>
      <c r="E719" s="3" t="s">
        <v>41</v>
      </c>
      <c r="F719" s="3" t="n">
        <v>3.5</v>
      </c>
      <c r="G719" s="3" t="n">
        <v>8119.95</v>
      </c>
      <c r="H719" s="3" t="s">
        <v>20</v>
      </c>
      <c r="I719" s="3" t="n">
        <v>3</v>
      </c>
      <c r="J719" s="3" t="n">
        <v>4</v>
      </c>
      <c r="K719" s="3" t="n">
        <v>2</v>
      </c>
      <c r="L719" s="3" t="n">
        <v>0</v>
      </c>
      <c r="M719" s="3" t="n">
        <v>2</v>
      </c>
      <c r="N719" s="3" t="s">
        <v>20</v>
      </c>
    </row>
    <row r="720" customFormat="false" ht="15" hidden="false" customHeight="false" outlineLevel="0" collapsed="false">
      <c r="A720" s="3" t="s">
        <v>750</v>
      </c>
      <c r="B720" s="3" t="n">
        <v>26</v>
      </c>
      <c r="C720" s="3" t="s">
        <v>16</v>
      </c>
      <c r="D720" s="3" t="s">
        <v>23</v>
      </c>
      <c r="E720" s="3" t="s">
        <v>24</v>
      </c>
      <c r="F720" s="3" t="n">
        <v>1</v>
      </c>
      <c r="G720" s="3" t="n">
        <v>5752.34</v>
      </c>
      <c r="H720" s="3" t="s">
        <v>19</v>
      </c>
      <c r="I720" s="3" t="n">
        <v>3</v>
      </c>
      <c r="J720" s="3" t="n">
        <v>1</v>
      </c>
      <c r="K720" s="3" t="n">
        <v>3</v>
      </c>
      <c r="L720" s="3" t="n">
        <v>0</v>
      </c>
      <c r="M720" s="3" t="n">
        <v>2</v>
      </c>
      <c r="N720" s="3" t="s">
        <v>19</v>
      </c>
    </row>
    <row r="721" customFormat="false" ht="15" hidden="false" customHeight="false" outlineLevel="0" collapsed="false">
      <c r="A721" s="3" t="s">
        <v>751</v>
      </c>
      <c r="B721" s="3" t="n">
        <v>42</v>
      </c>
      <c r="C721" s="3" t="s">
        <v>16</v>
      </c>
      <c r="D721" s="3" t="s">
        <v>17</v>
      </c>
      <c r="E721" s="3" t="s">
        <v>18</v>
      </c>
      <c r="F721" s="3" t="n">
        <v>0.3</v>
      </c>
      <c r="G721" s="3" t="n">
        <v>3700.59</v>
      </c>
      <c r="H721" s="3" t="s">
        <v>19</v>
      </c>
      <c r="I721" s="3" t="n">
        <v>4</v>
      </c>
      <c r="J721" s="3" t="n">
        <v>3</v>
      </c>
      <c r="K721" s="3" t="n">
        <v>5</v>
      </c>
      <c r="L721" s="3" t="n">
        <v>0</v>
      </c>
      <c r="M721" s="3" t="n">
        <v>0</v>
      </c>
      <c r="N721" s="3" t="s">
        <v>19</v>
      </c>
    </row>
    <row r="722" customFormat="false" ht="15" hidden="false" customHeight="false" outlineLevel="0" collapsed="false">
      <c r="A722" s="3" t="s">
        <v>752</v>
      </c>
      <c r="B722" s="3" t="n">
        <v>32</v>
      </c>
      <c r="C722" s="3" t="s">
        <v>26</v>
      </c>
      <c r="D722" s="3" t="s">
        <v>17</v>
      </c>
      <c r="E722" s="3" t="s">
        <v>24</v>
      </c>
      <c r="F722" s="3" t="n">
        <v>0</v>
      </c>
      <c r="G722" s="3" t="n">
        <v>3461.32</v>
      </c>
      <c r="H722" s="3" t="s">
        <v>20</v>
      </c>
      <c r="I722" s="3" t="n">
        <v>4</v>
      </c>
      <c r="J722" s="3" t="n">
        <v>2</v>
      </c>
      <c r="K722" s="3" t="n">
        <v>8</v>
      </c>
      <c r="L722" s="3" t="n">
        <v>0</v>
      </c>
      <c r="M722" s="3" t="n">
        <v>3</v>
      </c>
      <c r="N722" s="3" t="s">
        <v>19</v>
      </c>
    </row>
    <row r="723" customFormat="false" ht="15" hidden="false" customHeight="false" outlineLevel="0" collapsed="false">
      <c r="A723" s="3" t="s">
        <v>753</v>
      </c>
      <c r="B723" s="3" t="n">
        <v>44</v>
      </c>
      <c r="C723" s="3" t="s">
        <v>26</v>
      </c>
      <c r="D723" s="3" t="s">
        <v>23</v>
      </c>
      <c r="E723" s="3" t="s">
        <v>28</v>
      </c>
      <c r="F723" s="3" t="n">
        <v>2.2</v>
      </c>
      <c r="G723" s="3" t="n">
        <v>4836.23</v>
      </c>
      <c r="H723" s="3" t="s">
        <v>20</v>
      </c>
      <c r="I723" s="3" t="n">
        <v>1</v>
      </c>
      <c r="J723" s="3" t="n">
        <v>1</v>
      </c>
      <c r="K723" s="3" t="n">
        <v>9</v>
      </c>
      <c r="L723" s="3" t="n">
        <v>0</v>
      </c>
      <c r="M723" s="3" t="n">
        <v>1</v>
      </c>
      <c r="N723" s="3" t="s">
        <v>20</v>
      </c>
    </row>
    <row r="724" customFormat="false" ht="15" hidden="false" customHeight="false" outlineLevel="0" collapsed="false">
      <c r="A724" s="3" t="s">
        <v>754</v>
      </c>
      <c r="B724" s="3" t="n">
        <v>26</v>
      </c>
      <c r="C724" s="3" t="s">
        <v>24</v>
      </c>
      <c r="D724" s="3" t="s">
        <v>48</v>
      </c>
      <c r="E724" s="3" t="s">
        <v>41</v>
      </c>
      <c r="F724" s="3" t="n">
        <v>5</v>
      </c>
      <c r="G724" s="3" t="n">
        <v>11327.21</v>
      </c>
      <c r="H724" s="3" t="s">
        <v>19</v>
      </c>
      <c r="I724" s="3" t="n">
        <v>1</v>
      </c>
      <c r="J724" s="3" t="n">
        <v>2</v>
      </c>
      <c r="K724" s="3" t="n">
        <v>1</v>
      </c>
      <c r="L724" s="3" t="n">
        <v>0</v>
      </c>
      <c r="M724" s="3" t="n">
        <v>5</v>
      </c>
      <c r="N724" s="3" t="s">
        <v>19</v>
      </c>
    </row>
    <row r="725" customFormat="false" ht="15" hidden="false" customHeight="false" outlineLevel="0" collapsed="false">
      <c r="A725" s="3" t="s">
        <v>755</v>
      </c>
      <c r="B725" s="3" t="n">
        <v>43</v>
      </c>
      <c r="C725" s="3" t="s">
        <v>16</v>
      </c>
      <c r="D725" s="3" t="s">
        <v>27</v>
      </c>
      <c r="E725" s="3" t="s">
        <v>24</v>
      </c>
      <c r="F725" s="3" t="n">
        <v>1.9</v>
      </c>
      <c r="G725" s="3" t="n">
        <v>6569.02</v>
      </c>
      <c r="H725" s="3" t="s">
        <v>20</v>
      </c>
      <c r="I725" s="3" t="n">
        <v>3</v>
      </c>
      <c r="J725" s="3" t="n">
        <v>4</v>
      </c>
      <c r="K725" s="3" t="n">
        <v>1</v>
      </c>
      <c r="L725" s="3" t="n">
        <v>1</v>
      </c>
      <c r="M725" s="3" t="n">
        <v>0</v>
      </c>
      <c r="N725" s="3" t="s">
        <v>19</v>
      </c>
    </row>
    <row r="726" customFormat="false" ht="15" hidden="false" customHeight="false" outlineLevel="0" collapsed="false">
      <c r="A726" s="3" t="s">
        <v>756</v>
      </c>
      <c r="B726" s="3" t="n">
        <v>36</v>
      </c>
      <c r="C726" s="3" t="s">
        <v>45</v>
      </c>
      <c r="D726" s="3" t="s">
        <v>27</v>
      </c>
      <c r="E726" s="3" t="s">
        <v>18</v>
      </c>
      <c r="F726" s="3" t="n">
        <v>1.1</v>
      </c>
      <c r="G726" s="3" t="n">
        <v>6492.78</v>
      </c>
      <c r="H726" s="3" t="s">
        <v>19</v>
      </c>
      <c r="I726" s="3" t="n">
        <v>4</v>
      </c>
      <c r="J726" s="3" t="n">
        <v>3</v>
      </c>
      <c r="K726" s="3" t="n">
        <v>11</v>
      </c>
      <c r="L726" s="3" t="n">
        <v>1</v>
      </c>
      <c r="M726" s="3" t="n">
        <v>2</v>
      </c>
      <c r="N726" s="3" t="s">
        <v>20</v>
      </c>
    </row>
    <row r="727" customFormat="false" ht="15" hidden="false" customHeight="false" outlineLevel="0" collapsed="false">
      <c r="A727" s="3" t="s">
        <v>757</v>
      </c>
      <c r="B727" s="3" t="n">
        <v>41</v>
      </c>
      <c r="C727" s="3" t="s">
        <v>22</v>
      </c>
      <c r="D727" s="3" t="s">
        <v>17</v>
      </c>
      <c r="E727" s="3" t="s">
        <v>18</v>
      </c>
      <c r="F727" s="3" t="n">
        <v>0.9</v>
      </c>
      <c r="G727" s="3" t="n">
        <v>3135.54</v>
      </c>
      <c r="H727" s="3" t="s">
        <v>19</v>
      </c>
      <c r="I727" s="3" t="n">
        <v>1</v>
      </c>
      <c r="J727" s="3" t="n">
        <v>3</v>
      </c>
      <c r="K727" s="3" t="n">
        <v>1</v>
      </c>
      <c r="L727" s="3" t="n">
        <v>0</v>
      </c>
      <c r="M727" s="3" t="n">
        <v>3</v>
      </c>
      <c r="N727" s="3" t="s">
        <v>19</v>
      </c>
    </row>
    <row r="728" customFormat="false" ht="15" hidden="false" customHeight="false" outlineLevel="0" collapsed="false">
      <c r="A728" s="3" t="s">
        <v>758</v>
      </c>
      <c r="B728" s="3" t="n">
        <v>33</v>
      </c>
      <c r="C728" s="3" t="s">
        <v>32</v>
      </c>
      <c r="D728" s="3" t="s">
        <v>23</v>
      </c>
      <c r="E728" s="3" t="s">
        <v>18</v>
      </c>
      <c r="F728" s="3" t="n">
        <v>1.5</v>
      </c>
      <c r="G728" s="3" t="n">
        <v>4399.3</v>
      </c>
      <c r="H728" s="3" t="s">
        <v>19</v>
      </c>
      <c r="I728" s="3" t="n">
        <v>1</v>
      </c>
      <c r="J728" s="3" t="n">
        <v>1</v>
      </c>
      <c r="K728" s="3" t="n">
        <v>10</v>
      </c>
      <c r="L728" s="3" t="n">
        <v>0</v>
      </c>
      <c r="M728" s="3" t="n">
        <v>1</v>
      </c>
      <c r="N728" s="3" t="s">
        <v>19</v>
      </c>
    </row>
    <row r="729" customFormat="false" ht="15" hidden="false" customHeight="false" outlineLevel="0" collapsed="false">
      <c r="A729" s="3" t="s">
        <v>759</v>
      </c>
      <c r="B729" s="3" t="n">
        <v>32</v>
      </c>
      <c r="C729" s="3" t="s">
        <v>26</v>
      </c>
      <c r="D729" s="3" t="s">
        <v>17</v>
      </c>
      <c r="E729" s="3" t="s">
        <v>24</v>
      </c>
      <c r="F729" s="3" t="n">
        <v>3.4</v>
      </c>
      <c r="G729" s="3" t="n">
        <v>3328.18</v>
      </c>
      <c r="H729" s="3" t="s">
        <v>19</v>
      </c>
      <c r="I729" s="3" t="n">
        <v>3</v>
      </c>
      <c r="J729" s="3" t="n">
        <v>2</v>
      </c>
      <c r="K729" s="3" t="n">
        <v>2</v>
      </c>
      <c r="L729" s="3" t="n">
        <v>3</v>
      </c>
      <c r="M729" s="3" t="n">
        <v>4</v>
      </c>
      <c r="N729" s="3" t="s">
        <v>19</v>
      </c>
    </row>
    <row r="730" customFormat="false" ht="15" hidden="false" customHeight="false" outlineLevel="0" collapsed="false">
      <c r="A730" s="3" t="s">
        <v>760</v>
      </c>
      <c r="B730" s="3" t="n">
        <v>32</v>
      </c>
      <c r="C730" s="3" t="s">
        <v>32</v>
      </c>
      <c r="D730" s="3" t="s">
        <v>48</v>
      </c>
      <c r="E730" s="3" t="s">
        <v>41</v>
      </c>
      <c r="F730" s="3" t="n">
        <v>1</v>
      </c>
      <c r="G730" s="3" t="n">
        <v>10107.75</v>
      </c>
      <c r="H730" s="3" t="s">
        <v>19</v>
      </c>
      <c r="I730" s="3" t="n">
        <v>4</v>
      </c>
      <c r="J730" s="3" t="n">
        <v>3</v>
      </c>
      <c r="K730" s="3" t="n">
        <v>2</v>
      </c>
      <c r="L730" s="3" t="n">
        <v>1</v>
      </c>
      <c r="M730" s="3" t="n">
        <v>2</v>
      </c>
      <c r="N730" s="3" t="s">
        <v>19</v>
      </c>
    </row>
    <row r="731" customFormat="false" ht="15" hidden="false" customHeight="false" outlineLevel="0" collapsed="false">
      <c r="A731" s="3" t="s">
        <v>761</v>
      </c>
      <c r="B731" s="3" t="n">
        <v>33</v>
      </c>
      <c r="C731" s="3" t="s">
        <v>26</v>
      </c>
      <c r="D731" s="3" t="s">
        <v>23</v>
      </c>
      <c r="E731" s="3" t="s">
        <v>28</v>
      </c>
      <c r="F731" s="3" t="n">
        <v>1.1</v>
      </c>
      <c r="G731" s="3" t="n">
        <v>5400.76</v>
      </c>
      <c r="H731" s="3" t="s">
        <v>20</v>
      </c>
      <c r="I731" s="3" t="n">
        <v>3</v>
      </c>
      <c r="J731" s="3" t="n">
        <v>2</v>
      </c>
      <c r="K731" s="3" t="n">
        <v>7</v>
      </c>
      <c r="L731" s="3" t="n">
        <v>1</v>
      </c>
      <c r="M731" s="3" t="n">
        <v>1</v>
      </c>
      <c r="N731" s="3" t="s">
        <v>19</v>
      </c>
    </row>
    <row r="732" customFormat="false" ht="15" hidden="false" customHeight="false" outlineLevel="0" collapsed="false">
      <c r="A732" s="3" t="s">
        <v>762</v>
      </c>
      <c r="B732" s="3" t="n">
        <v>40</v>
      </c>
      <c r="C732" s="3" t="s">
        <v>26</v>
      </c>
      <c r="D732" s="3" t="s">
        <v>17</v>
      </c>
      <c r="E732" s="3" t="s">
        <v>28</v>
      </c>
      <c r="F732" s="3" t="n">
        <v>6</v>
      </c>
      <c r="G732" s="3" t="n">
        <v>3228.98</v>
      </c>
      <c r="H732" s="3" t="s">
        <v>20</v>
      </c>
      <c r="I732" s="3" t="n">
        <v>3</v>
      </c>
      <c r="J732" s="3" t="n">
        <v>3</v>
      </c>
      <c r="K732" s="3" t="n">
        <v>13</v>
      </c>
      <c r="L732" s="3" t="n">
        <v>2</v>
      </c>
      <c r="M732" s="3" t="n">
        <v>1</v>
      </c>
      <c r="N732" s="3" t="s">
        <v>19</v>
      </c>
    </row>
    <row r="733" customFormat="false" ht="15" hidden="false" customHeight="false" outlineLevel="0" collapsed="false">
      <c r="A733" s="3" t="s">
        <v>763</v>
      </c>
      <c r="B733" s="3" t="n">
        <v>27</v>
      </c>
      <c r="C733" s="3" t="s">
        <v>22</v>
      </c>
      <c r="D733" s="3" t="s">
        <v>23</v>
      </c>
      <c r="E733" s="3" t="s">
        <v>18</v>
      </c>
      <c r="F733" s="3" t="n">
        <v>0.5</v>
      </c>
      <c r="G733" s="3" t="n">
        <v>4753.94</v>
      </c>
      <c r="H733" s="3" t="s">
        <v>19</v>
      </c>
      <c r="I733" s="3" t="n">
        <v>3</v>
      </c>
      <c r="J733" s="3" t="n">
        <v>2</v>
      </c>
      <c r="K733" s="3" t="n">
        <v>13</v>
      </c>
      <c r="L733" s="3" t="n">
        <v>0</v>
      </c>
      <c r="M733" s="3" t="n">
        <v>1</v>
      </c>
      <c r="N733" s="3" t="s">
        <v>19</v>
      </c>
    </row>
    <row r="734" customFormat="false" ht="15" hidden="false" customHeight="false" outlineLevel="0" collapsed="false">
      <c r="A734" s="3" t="s">
        <v>764</v>
      </c>
      <c r="B734" s="3" t="n">
        <v>21</v>
      </c>
      <c r="C734" s="3" t="s">
        <v>16</v>
      </c>
      <c r="D734" s="3" t="s">
        <v>48</v>
      </c>
      <c r="E734" s="3" t="s">
        <v>18</v>
      </c>
      <c r="F734" s="3" t="n">
        <v>0</v>
      </c>
      <c r="G734" s="3" t="n">
        <v>9028.49</v>
      </c>
      <c r="H734" s="3" t="s">
        <v>19</v>
      </c>
      <c r="I734" s="3" t="n">
        <v>4</v>
      </c>
      <c r="J734" s="3" t="n">
        <v>3</v>
      </c>
      <c r="K734" s="3" t="n">
        <v>2</v>
      </c>
      <c r="L734" s="3" t="n">
        <v>0</v>
      </c>
      <c r="M734" s="3" t="n">
        <v>2</v>
      </c>
      <c r="N734" s="3" t="s">
        <v>19</v>
      </c>
    </row>
    <row r="735" customFormat="false" ht="15" hidden="false" customHeight="false" outlineLevel="0" collapsed="false">
      <c r="A735" s="3" t="s">
        <v>765</v>
      </c>
      <c r="B735" s="3" t="n">
        <v>30</v>
      </c>
      <c r="C735" s="3" t="s">
        <v>45</v>
      </c>
      <c r="D735" s="3" t="s">
        <v>17</v>
      </c>
      <c r="E735" s="3" t="s">
        <v>18</v>
      </c>
      <c r="F735" s="3" t="n">
        <v>0.4</v>
      </c>
      <c r="G735" s="3" t="n">
        <v>3293.19</v>
      </c>
      <c r="H735" s="3" t="s">
        <v>19</v>
      </c>
      <c r="I735" s="3" t="n">
        <v>2</v>
      </c>
      <c r="J735" s="3" t="n">
        <v>2</v>
      </c>
      <c r="K735" s="3" t="n">
        <v>4</v>
      </c>
      <c r="L735" s="3" t="n">
        <v>0</v>
      </c>
      <c r="M735" s="3" t="n">
        <v>2</v>
      </c>
      <c r="N735" s="3" t="s">
        <v>19</v>
      </c>
    </row>
    <row r="736" customFormat="false" ht="15" hidden="false" customHeight="false" outlineLevel="0" collapsed="false">
      <c r="A736" s="3" t="s">
        <v>766</v>
      </c>
      <c r="B736" s="3" t="n">
        <v>37</v>
      </c>
      <c r="C736" s="3" t="s">
        <v>16</v>
      </c>
      <c r="D736" s="3" t="s">
        <v>23</v>
      </c>
      <c r="E736" s="3" t="s">
        <v>18</v>
      </c>
      <c r="F736" s="3" t="n">
        <v>3.8</v>
      </c>
      <c r="G736" s="3" t="n">
        <v>4388.7</v>
      </c>
      <c r="H736" s="3" t="s">
        <v>20</v>
      </c>
      <c r="I736" s="3" t="n">
        <v>4</v>
      </c>
      <c r="J736" s="3" t="n">
        <v>4</v>
      </c>
      <c r="K736" s="3" t="n">
        <v>1</v>
      </c>
      <c r="L736" s="3" t="n">
        <v>0</v>
      </c>
      <c r="M736" s="3" t="n">
        <v>0</v>
      </c>
      <c r="N736" s="3" t="s">
        <v>19</v>
      </c>
    </row>
    <row r="737" customFormat="false" ht="15" hidden="false" customHeight="false" outlineLevel="0" collapsed="false">
      <c r="A737" s="3" t="s">
        <v>767</v>
      </c>
      <c r="B737" s="3" t="n">
        <v>46</v>
      </c>
      <c r="C737" s="3" t="s">
        <v>24</v>
      </c>
      <c r="D737" s="3" t="s">
        <v>23</v>
      </c>
      <c r="E737" s="3" t="s">
        <v>18</v>
      </c>
      <c r="F737" s="3" t="n">
        <v>2.3</v>
      </c>
      <c r="G737" s="3" t="n">
        <v>5162.52</v>
      </c>
      <c r="H737" s="3" t="s">
        <v>19</v>
      </c>
      <c r="I737" s="3" t="n">
        <v>3</v>
      </c>
      <c r="J737" s="3" t="n">
        <v>3</v>
      </c>
      <c r="K737" s="3" t="n">
        <v>1</v>
      </c>
      <c r="L737" s="3" t="n">
        <v>0</v>
      </c>
      <c r="M737" s="3" t="n">
        <v>1</v>
      </c>
      <c r="N737" s="3" t="s">
        <v>19</v>
      </c>
    </row>
    <row r="738" customFormat="false" ht="15" hidden="false" customHeight="false" outlineLevel="0" collapsed="false">
      <c r="A738" s="3" t="s">
        <v>768</v>
      </c>
      <c r="B738" s="3" t="n">
        <v>34</v>
      </c>
      <c r="C738" s="3" t="s">
        <v>26</v>
      </c>
      <c r="D738" s="3" t="s">
        <v>23</v>
      </c>
      <c r="E738" s="3" t="s">
        <v>28</v>
      </c>
      <c r="F738" s="3" t="n">
        <v>12.7</v>
      </c>
      <c r="G738" s="3" t="n">
        <v>4802.98</v>
      </c>
      <c r="H738" s="3" t="s">
        <v>19</v>
      </c>
      <c r="I738" s="3" t="n">
        <v>3</v>
      </c>
      <c r="J738" s="3" t="n">
        <v>1</v>
      </c>
      <c r="K738" s="3" t="n">
        <v>5</v>
      </c>
      <c r="L738" s="3" t="n">
        <v>1</v>
      </c>
      <c r="M738" s="3" t="n">
        <v>1</v>
      </c>
      <c r="N738" s="3" t="s">
        <v>20</v>
      </c>
    </row>
    <row r="739" customFormat="false" ht="15" hidden="false" customHeight="false" outlineLevel="0" collapsed="false">
      <c r="A739" s="3" t="s">
        <v>769</v>
      </c>
      <c r="B739" s="3" t="n">
        <v>40</v>
      </c>
      <c r="C739" s="3" t="s">
        <v>22</v>
      </c>
      <c r="D739" s="3" t="s">
        <v>27</v>
      </c>
      <c r="E739" s="3" t="s">
        <v>24</v>
      </c>
      <c r="F739" s="3" t="n">
        <v>0.6</v>
      </c>
      <c r="G739" s="3" t="n">
        <v>7694.59</v>
      </c>
      <c r="H739" s="3" t="s">
        <v>20</v>
      </c>
      <c r="I739" s="3" t="n">
        <v>2</v>
      </c>
      <c r="J739" s="3" t="n">
        <v>1</v>
      </c>
      <c r="K739" s="3" t="n">
        <v>6</v>
      </c>
      <c r="L739" s="3" t="n">
        <v>0</v>
      </c>
      <c r="M739" s="3" t="n">
        <v>1</v>
      </c>
      <c r="N739" s="3" t="s">
        <v>20</v>
      </c>
    </row>
    <row r="740" customFormat="false" ht="15" hidden="false" customHeight="false" outlineLevel="0" collapsed="false">
      <c r="A740" s="3" t="s">
        <v>770</v>
      </c>
      <c r="B740" s="3" t="n">
        <v>28</v>
      </c>
      <c r="C740" s="3" t="s">
        <v>24</v>
      </c>
      <c r="D740" s="3" t="s">
        <v>27</v>
      </c>
      <c r="E740" s="3" t="s">
        <v>28</v>
      </c>
      <c r="F740" s="3" t="n">
        <v>3.2</v>
      </c>
      <c r="G740" s="3" t="n">
        <v>6983.84</v>
      </c>
      <c r="H740" s="3" t="s">
        <v>19</v>
      </c>
      <c r="I740" s="3" t="n">
        <v>4</v>
      </c>
      <c r="J740" s="3" t="n">
        <v>2</v>
      </c>
      <c r="K740" s="3" t="n">
        <v>7</v>
      </c>
      <c r="L740" s="3" t="n">
        <v>0</v>
      </c>
      <c r="M740" s="3" t="n">
        <v>2</v>
      </c>
      <c r="N740" s="3" t="s">
        <v>19</v>
      </c>
    </row>
    <row r="741" customFormat="false" ht="15" hidden="false" customHeight="false" outlineLevel="0" collapsed="false">
      <c r="A741" s="3" t="s">
        <v>771</v>
      </c>
      <c r="B741" s="3" t="n">
        <v>31</v>
      </c>
      <c r="C741" s="3" t="s">
        <v>26</v>
      </c>
      <c r="D741" s="3" t="s">
        <v>23</v>
      </c>
      <c r="E741" s="3" t="s">
        <v>18</v>
      </c>
      <c r="F741" s="3" t="n">
        <v>1.1</v>
      </c>
      <c r="G741" s="3" t="n">
        <v>5028.55</v>
      </c>
      <c r="H741" s="3" t="s">
        <v>20</v>
      </c>
      <c r="I741" s="3" t="n">
        <v>4</v>
      </c>
      <c r="J741" s="3" t="n">
        <v>4</v>
      </c>
      <c r="K741" s="3" t="n">
        <v>11</v>
      </c>
      <c r="L741" s="3" t="n">
        <v>1</v>
      </c>
      <c r="M741" s="3" t="n">
        <v>4</v>
      </c>
      <c r="N741" s="3" t="s">
        <v>20</v>
      </c>
    </row>
    <row r="742" customFormat="false" ht="15" hidden="false" customHeight="false" outlineLevel="0" collapsed="false">
      <c r="A742" s="3" t="s">
        <v>772</v>
      </c>
      <c r="B742" s="3" t="n">
        <v>29</v>
      </c>
      <c r="C742" s="3" t="s">
        <v>22</v>
      </c>
      <c r="D742" s="3" t="s">
        <v>23</v>
      </c>
      <c r="E742" s="3" t="s">
        <v>18</v>
      </c>
      <c r="F742" s="3" t="n">
        <v>6.3</v>
      </c>
      <c r="G742" s="3" t="n">
        <v>5677.07</v>
      </c>
      <c r="H742" s="3" t="s">
        <v>20</v>
      </c>
      <c r="I742" s="3" t="n">
        <v>3</v>
      </c>
      <c r="J742" s="3" t="n">
        <v>4</v>
      </c>
      <c r="K742" s="3" t="n">
        <v>9</v>
      </c>
      <c r="L742" s="3" t="n">
        <v>0</v>
      </c>
      <c r="M742" s="3" t="n">
        <v>1</v>
      </c>
      <c r="N742" s="3" t="s">
        <v>19</v>
      </c>
    </row>
    <row r="743" customFormat="false" ht="15" hidden="false" customHeight="false" outlineLevel="0" collapsed="false">
      <c r="A743" s="3" t="s">
        <v>773</v>
      </c>
      <c r="B743" s="3" t="n">
        <v>49</v>
      </c>
      <c r="C743" s="3" t="s">
        <v>22</v>
      </c>
      <c r="D743" s="3" t="s">
        <v>17</v>
      </c>
      <c r="E743" s="3" t="s">
        <v>41</v>
      </c>
      <c r="F743" s="3" t="n">
        <v>3</v>
      </c>
      <c r="G743" s="3" t="n">
        <v>2786.88</v>
      </c>
      <c r="H743" s="4" t="s">
        <v>100</v>
      </c>
      <c r="I743" s="3" t="n">
        <v>3</v>
      </c>
      <c r="J743" s="3" t="n">
        <v>3</v>
      </c>
      <c r="K743" s="3" t="n">
        <v>5</v>
      </c>
      <c r="L743" s="3" t="n">
        <v>0</v>
      </c>
      <c r="M743" s="3" t="n">
        <v>2</v>
      </c>
      <c r="N743" s="3" t="s">
        <v>19</v>
      </c>
    </row>
    <row r="744" customFormat="false" ht="15" hidden="false" customHeight="false" outlineLevel="0" collapsed="false">
      <c r="A744" s="3" t="s">
        <v>774</v>
      </c>
      <c r="B744" s="3" t="n">
        <v>36</v>
      </c>
      <c r="C744" s="3" t="s">
        <v>32</v>
      </c>
      <c r="D744" s="3" t="s">
        <v>23</v>
      </c>
      <c r="E744" s="3" t="s">
        <v>18</v>
      </c>
      <c r="F744" s="3" t="n">
        <v>1.2</v>
      </c>
      <c r="G744" s="3" t="n">
        <v>4199.72</v>
      </c>
      <c r="H744" s="3" t="s">
        <v>19</v>
      </c>
      <c r="I744" s="3" t="n">
        <v>4</v>
      </c>
      <c r="J744" s="3" t="n">
        <v>2</v>
      </c>
      <c r="K744" s="3" t="n">
        <v>22</v>
      </c>
      <c r="L744" s="3" t="n">
        <v>0</v>
      </c>
      <c r="M744" s="3" t="n">
        <v>1</v>
      </c>
      <c r="N744" s="3" t="s">
        <v>19</v>
      </c>
    </row>
    <row r="745" customFormat="false" ht="15" hidden="false" customHeight="false" outlineLevel="0" collapsed="false">
      <c r="A745" s="3" t="s">
        <v>775</v>
      </c>
      <c r="B745" s="3" t="n">
        <v>47</v>
      </c>
      <c r="C745" s="3" t="s">
        <v>26</v>
      </c>
      <c r="D745" s="3" t="s">
        <v>23</v>
      </c>
      <c r="E745" s="3" t="s">
        <v>24</v>
      </c>
      <c r="F745" s="3" t="n">
        <v>9.4</v>
      </c>
      <c r="G745" s="3" t="n">
        <v>4657.39</v>
      </c>
      <c r="H745" s="3" t="s">
        <v>20</v>
      </c>
      <c r="I745" s="3" t="n">
        <v>3</v>
      </c>
      <c r="J745" s="3" t="n">
        <v>2</v>
      </c>
      <c r="K745" s="3" t="n">
        <v>28</v>
      </c>
      <c r="L745" s="3" t="n">
        <v>8</v>
      </c>
      <c r="M745" s="3" t="n">
        <v>6</v>
      </c>
      <c r="N745" s="3" t="s">
        <v>20</v>
      </c>
    </row>
    <row r="746" customFormat="false" ht="15" hidden="false" customHeight="false" outlineLevel="0" collapsed="false">
      <c r="A746" s="3" t="s">
        <v>776</v>
      </c>
      <c r="B746" s="3" t="n">
        <v>38</v>
      </c>
      <c r="C746" s="3" t="s">
        <v>22</v>
      </c>
      <c r="D746" s="3" t="s">
        <v>17</v>
      </c>
      <c r="E746" s="3" t="s">
        <v>24</v>
      </c>
      <c r="F746" s="3" t="n">
        <v>0.6</v>
      </c>
      <c r="G746" s="3" t="n">
        <v>3831.36</v>
      </c>
      <c r="H746" s="3" t="s">
        <v>20</v>
      </c>
      <c r="I746" s="3" t="n">
        <v>3</v>
      </c>
      <c r="J746" s="3" t="n">
        <v>4</v>
      </c>
      <c r="K746" s="3" t="n">
        <v>28</v>
      </c>
      <c r="L746" s="3" t="n">
        <v>0</v>
      </c>
      <c r="M746" s="3" t="n">
        <v>1</v>
      </c>
      <c r="N746" s="3" t="s">
        <v>20</v>
      </c>
    </row>
    <row r="747" customFormat="false" ht="15" hidden="false" customHeight="false" outlineLevel="0" collapsed="false">
      <c r="A747" s="3" t="s">
        <v>777</v>
      </c>
      <c r="B747" s="3" t="n">
        <v>35</v>
      </c>
      <c r="C747" s="3" t="s">
        <v>22</v>
      </c>
      <c r="D747" s="3" t="s">
        <v>17</v>
      </c>
      <c r="E747" s="3" t="s">
        <v>18</v>
      </c>
      <c r="F747" s="3" t="n">
        <v>4.7</v>
      </c>
      <c r="G747" s="3" t="n">
        <v>3097.44</v>
      </c>
      <c r="H747" s="3" t="s">
        <v>19</v>
      </c>
      <c r="I747" s="3" t="n">
        <v>1</v>
      </c>
      <c r="J747" s="3" t="n">
        <v>2</v>
      </c>
      <c r="K747" s="3" t="n">
        <v>15</v>
      </c>
      <c r="L747" s="3" t="n">
        <v>2</v>
      </c>
      <c r="M747" s="3" t="n">
        <v>4</v>
      </c>
      <c r="N747" s="3" t="s">
        <v>20</v>
      </c>
    </row>
    <row r="748" customFormat="false" ht="15" hidden="false" customHeight="false" outlineLevel="0" collapsed="false">
      <c r="A748" s="3" t="s">
        <v>778</v>
      </c>
      <c r="B748" s="3" t="n">
        <v>40</v>
      </c>
      <c r="C748" s="3" t="s">
        <v>32</v>
      </c>
      <c r="D748" s="3" t="s">
        <v>48</v>
      </c>
      <c r="E748" s="3" t="s">
        <v>18</v>
      </c>
      <c r="F748" s="3" t="n">
        <v>2.1</v>
      </c>
      <c r="G748" s="3" t="n">
        <v>9174.92</v>
      </c>
      <c r="H748" s="3" t="s">
        <v>19</v>
      </c>
      <c r="I748" s="3" t="n">
        <v>2</v>
      </c>
      <c r="J748" s="3" t="n">
        <v>2</v>
      </c>
      <c r="K748" s="3" t="n">
        <v>17</v>
      </c>
      <c r="L748" s="3" t="n">
        <v>1</v>
      </c>
      <c r="M748" s="3" t="n">
        <v>2</v>
      </c>
      <c r="N748" s="3" t="s">
        <v>19</v>
      </c>
    </row>
    <row r="749" customFormat="false" ht="15" hidden="false" customHeight="false" outlineLevel="0" collapsed="false">
      <c r="A749" s="3" t="s">
        <v>779</v>
      </c>
      <c r="B749" s="3" t="n">
        <v>23</v>
      </c>
      <c r="C749" s="3" t="s">
        <v>16</v>
      </c>
      <c r="D749" s="3" t="s">
        <v>23</v>
      </c>
      <c r="E749" s="3" t="s">
        <v>41</v>
      </c>
      <c r="F749" s="3" t="n">
        <v>2</v>
      </c>
      <c r="G749" s="3" t="n">
        <v>4396.42</v>
      </c>
      <c r="H749" s="3" t="s">
        <v>19</v>
      </c>
      <c r="I749" s="3" t="n">
        <v>3</v>
      </c>
      <c r="J749" s="3" t="n">
        <v>2</v>
      </c>
      <c r="K749" s="3" t="n">
        <v>22</v>
      </c>
      <c r="L749" s="3" t="n">
        <v>0</v>
      </c>
      <c r="M749" s="3" t="n">
        <v>3</v>
      </c>
      <c r="N749" s="3" t="s">
        <v>19</v>
      </c>
    </row>
    <row r="750" customFormat="false" ht="15" hidden="false" customHeight="false" outlineLevel="0" collapsed="false">
      <c r="A750" s="3" t="s">
        <v>780</v>
      </c>
      <c r="B750" s="3" t="n">
        <v>39</v>
      </c>
      <c r="C750" s="3" t="s">
        <v>22</v>
      </c>
      <c r="D750" s="3" t="s">
        <v>17</v>
      </c>
      <c r="E750" s="3" t="s">
        <v>41</v>
      </c>
      <c r="F750" s="3" t="n">
        <v>1.7</v>
      </c>
      <c r="G750" s="3" t="n">
        <v>3143.57</v>
      </c>
      <c r="H750" s="3" t="s">
        <v>20</v>
      </c>
      <c r="I750" s="3" t="n">
        <v>4</v>
      </c>
      <c r="J750" s="3" t="n">
        <v>4</v>
      </c>
      <c r="K750" s="3" t="n">
        <v>3</v>
      </c>
      <c r="L750" s="3" t="n">
        <v>1</v>
      </c>
      <c r="M750" s="3" t="n">
        <v>1</v>
      </c>
      <c r="N750" s="3" t="s">
        <v>19</v>
      </c>
    </row>
    <row r="751" customFormat="false" ht="15" hidden="false" customHeight="false" outlineLevel="0" collapsed="false">
      <c r="A751" s="3" t="s">
        <v>781</v>
      </c>
      <c r="B751" s="3" t="n">
        <v>33</v>
      </c>
      <c r="C751" s="3" t="s">
        <v>26</v>
      </c>
      <c r="D751" s="3" t="s">
        <v>48</v>
      </c>
      <c r="E751" s="3" t="s">
        <v>41</v>
      </c>
      <c r="F751" s="3" t="n">
        <v>0.7</v>
      </c>
      <c r="G751" s="3" t="n">
        <v>10424.37</v>
      </c>
      <c r="H751" s="3" t="s">
        <v>19</v>
      </c>
      <c r="I751" s="3" t="n">
        <v>2</v>
      </c>
      <c r="J751" s="3" t="n">
        <v>2</v>
      </c>
      <c r="K751" s="3" t="n">
        <v>21</v>
      </c>
      <c r="L751" s="3" t="n">
        <v>0</v>
      </c>
      <c r="M751" s="3" t="n">
        <v>2</v>
      </c>
      <c r="N751" s="3" t="s">
        <v>20</v>
      </c>
    </row>
    <row r="752" customFormat="false" ht="15" hidden="false" customHeight="false" outlineLevel="0" collapsed="false">
      <c r="A752" s="3" t="s">
        <v>782</v>
      </c>
      <c r="B752" s="3" t="n">
        <v>23</v>
      </c>
      <c r="C752" s="3" t="s">
        <v>22</v>
      </c>
      <c r="D752" s="3" t="s">
        <v>17</v>
      </c>
      <c r="E752" s="3" t="s">
        <v>28</v>
      </c>
      <c r="F752" s="3" t="n">
        <v>2</v>
      </c>
      <c r="G752" s="3" t="n">
        <v>2931</v>
      </c>
      <c r="H752" s="3" t="s">
        <v>20</v>
      </c>
      <c r="I752" s="3" t="n">
        <v>1</v>
      </c>
      <c r="J752" s="3" t="n">
        <v>4</v>
      </c>
      <c r="K752" s="3" t="n">
        <v>7</v>
      </c>
      <c r="L752" s="3" t="n">
        <v>1</v>
      </c>
      <c r="M752" s="3" t="n">
        <v>4</v>
      </c>
      <c r="N752" s="3" t="s">
        <v>19</v>
      </c>
    </row>
    <row r="753" customFormat="false" ht="15" hidden="false" customHeight="false" outlineLevel="0" collapsed="false">
      <c r="A753" s="3" t="s">
        <v>783</v>
      </c>
      <c r="B753" s="3" t="n">
        <v>43</v>
      </c>
      <c r="C753" s="3" t="s">
        <v>22</v>
      </c>
      <c r="D753" s="3" t="s">
        <v>48</v>
      </c>
      <c r="E753" s="3" t="s">
        <v>28</v>
      </c>
      <c r="F753" s="3" t="n">
        <v>2.3</v>
      </c>
      <c r="G753" s="3" t="n">
        <v>9279.96</v>
      </c>
      <c r="H753" s="3" t="s">
        <v>19</v>
      </c>
      <c r="I753" s="3" t="n">
        <v>3</v>
      </c>
      <c r="J753" s="3" t="n">
        <v>3</v>
      </c>
      <c r="K753" s="3" t="n">
        <v>17</v>
      </c>
      <c r="L753" s="3" t="n">
        <v>2</v>
      </c>
      <c r="M753" s="3" t="n">
        <v>5</v>
      </c>
      <c r="N753" s="3" t="s">
        <v>19</v>
      </c>
    </row>
    <row r="754" customFormat="false" ht="15" hidden="false" customHeight="false" outlineLevel="0" collapsed="false">
      <c r="A754" s="3" t="s">
        <v>784</v>
      </c>
      <c r="B754" s="3" t="n">
        <v>48</v>
      </c>
      <c r="C754" s="3" t="s">
        <v>16</v>
      </c>
      <c r="D754" s="3" t="s">
        <v>27</v>
      </c>
      <c r="E754" s="3" t="s">
        <v>41</v>
      </c>
      <c r="F754" s="3" t="n">
        <v>5.4</v>
      </c>
      <c r="G754" s="3" t="n">
        <v>7610.33</v>
      </c>
      <c r="H754" s="3" t="s">
        <v>20</v>
      </c>
      <c r="I754" s="3" t="n">
        <v>1</v>
      </c>
      <c r="J754" s="3" t="n">
        <v>3</v>
      </c>
      <c r="K754" s="3" t="n">
        <v>8</v>
      </c>
      <c r="L754" s="3" t="n">
        <v>0</v>
      </c>
      <c r="M754" s="3" t="n">
        <v>1</v>
      </c>
      <c r="N754" s="3" t="s">
        <v>19</v>
      </c>
    </row>
    <row r="755" customFormat="false" ht="15" hidden="false" customHeight="false" outlineLevel="0" collapsed="false">
      <c r="A755" s="3" t="s">
        <v>785</v>
      </c>
      <c r="B755" s="3" t="n">
        <v>34</v>
      </c>
      <c r="C755" s="3" t="s">
        <v>16</v>
      </c>
      <c r="D755" s="3" t="s">
        <v>23</v>
      </c>
      <c r="E755" s="3" t="s">
        <v>41</v>
      </c>
      <c r="F755" s="3" t="n">
        <v>4.3</v>
      </c>
      <c r="G755" s="3" t="n">
        <v>4924.92</v>
      </c>
      <c r="H755" s="3" t="s">
        <v>19</v>
      </c>
      <c r="I755" s="3" t="n">
        <v>4</v>
      </c>
      <c r="J755" s="3" t="n">
        <v>2</v>
      </c>
      <c r="K755" s="3" t="n">
        <v>2</v>
      </c>
      <c r="L755" s="3" t="n">
        <v>4</v>
      </c>
      <c r="M755" s="3" t="n">
        <v>3</v>
      </c>
      <c r="N755" s="3" t="s">
        <v>20</v>
      </c>
    </row>
    <row r="756" customFormat="false" ht="15" hidden="false" customHeight="false" outlineLevel="0" collapsed="false">
      <c r="A756" s="3" t="s">
        <v>786</v>
      </c>
      <c r="B756" s="3" t="n">
        <v>23</v>
      </c>
      <c r="C756" s="3" t="s">
        <v>24</v>
      </c>
      <c r="D756" s="3" t="s">
        <v>17</v>
      </c>
      <c r="E756" s="3" t="s">
        <v>41</v>
      </c>
      <c r="F756" s="3" t="n">
        <v>0</v>
      </c>
      <c r="G756" s="3" t="n">
        <v>3437.67</v>
      </c>
      <c r="H756" s="3" t="s">
        <v>19</v>
      </c>
      <c r="I756" s="3" t="n">
        <v>3</v>
      </c>
      <c r="J756" s="3" t="n">
        <v>4</v>
      </c>
      <c r="K756" s="3" t="n">
        <v>7</v>
      </c>
      <c r="L756" s="3" t="n">
        <v>0</v>
      </c>
      <c r="M756" s="3" t="n">
        <v>3</v>
      </c>
      <c r="N756" s="3" t="s">
        <v>19</v>
      </c>
    </row>
    <row r="757" customFormat="false" ht="15" hidden="false" customHeight="false" outlineLevel="0" collapsed="false">
      <c r="A757" s="3" t="s">
        <v>787</v>
      </c>
      <c r="B757" s="3" t="n">
        <v>34</v>
      </c>
      <c r="C757" s="3" t="s">
        <v>45</v>
      </c>
      <c r="D757" s="3" t="s">
        <v>23</v>
      </c>
      <c r="E757" s="3" t="s">
        <v>41</v>
      </c>
      <c r="F757" s="3" t="n">
        <v>1.7</v>
      </c>
      <c r="G757" s="3" t="n">
        <v>4456.06</v>
      </c>
      <c r="H757" s="3" t="s">
        <v>19</v>
      </c>
      <c r="I757" s="3" t="n">
        <v>4</v>
      </c>
      <c r="J757" s="3" t="n">
        <v>2</v>
      </c>
      <c r="K757" s="3" t="n">
        <v>6</v>
      </c>
      <c r="L757" s="3" t="n">
        <v>1</v>
      </c>
      <c r="M757" s="3" t="n">
        <v>2</v>
      </c>
      <c r="N757" s="3" t="s">
        <v>19</v>
      </c>
    </row>
    <row r="758" customFormat="false" ht="15" hidden="false" customHeight="false" outlineLevel="0" collapsed="false">
      <c r="A758" s="3" t="s">
        <v>788</v>
      </c>
      <c r="B758" s="3" t="n">
        <v>46</v>
      </c>
      <c r="C758" s="3" t="s">
        <v>16</v>
      </c>
      <c r="D758" s="3" t="s">
        <v>27</v>
      </c>
      <c r="E758" s="3" t="s">
        <v>41</v>
      </c>
      <c r="F758" s="3" t="n">
        <v>3.8</v>
      </c>
      <c r="G758" s="3" t="n">
        <v>7286.12</v>
      </c>
      <c r="H758" s="3" t="s">
        <v>19</v>
      </c>
      <c r="I758" s="3" t="n">
        <v>1</v>
      </c>
      <c r="J758" s="3" t="n">
        <v>4</v>
      </c>
      <c r="K758" s="3" t="n">
        <v>3</v>
      </c>
      <c r="L758" s="3" t="n">
        <v>1</v>
      </c>
      <c r="M758" s="3" t="n">
        <v>0</v>
      </c>
      <c r="N758" s="3" t="s">
        <v>20</v>
      </c>
    </row>
    <row r="759" customFormat="false" ht="15" hidden="false" customHeight="false" outlineLevel="0" collapsed="false">
      <c r="A759" s="3" t="s">
        <v>789</v>
      </c>
      <c r="B759" s="3" t="n">
        <v>38</v>
      </c>
      <c r="C759" s="3" t="s">
        <v>22</v>
      </c>
      <c r="D759" s="3" t="s">
        <v>27</v>
      </c>
      <c r="E759" s="3" t="s">
        <v>18</v>
      </c>
      <c r="F759" s="3" t="n">
        <v>4.7</v>
      </c>
      <c r="G759" s="3" t="n">
        <v>8308.46</v>
      </c>
      <c r="H759" s="3" t="s">
        <v>19</v>
      </c>
      <c r="I759" s="3" t="n">
        <v>3</v>
      </c>
      <c r="J759" s="3" t="n">
        <v>4</v>
      </c>
      <c r="K759" s="3" t="n">
        <v>1</v>
      </c>
      <c r="L759" s="3" t="n">
        <v>0</v>
      </c>
      <c r="M759" s="3" t="n">
        <v>2</v>
      </c>
      <c r="N759" s="3" t="s">
        <v>19</v>
      </c>
    </row>
    <row r="760" customFormat="false" ht="15" hidden="false" customHeight="false" outlineLevel="0" collapsed="false">
      <c r="A760" s="3" t="s">
        <v>790</v>
      </c>
      <c r="B760" s="3" t="n">
        <v>48</v>
      </c>
      <c r="C760" s="3" t="s">
        <v>22</v>
      </c>
      <c r="D760" s="3" t="s">
        <v>23</v>
      </c>
      <c r="E760" s="3" t="s">
        <v>28</v>
      </c>
      <c r="F760" s="3" t="n">
        <v>1.2</v>
      </c>
      <c r="G760" s="3" t="n">
        <v>4298.11</v>
      </c>
      <c r="H760" s="3" t="s">
        <v>20</v>
      </c>
      <c r="I760" s="3" t="n">
        <v>4</v>
      </c>
      <c r="J760" s="3" t="n">
        <v>4</v>
      </c>
      <c r="K760" s="3" t="n">
        <v>15</v>
      </c>
      <c r="L760" s="3" t="n">
        <v>1</v>
      </c>
      <c r="M760" s="3" t="n">
        <v>1</v>
      </c>
      <c r="N760" s="3" t="s">
        <v>19</v>
      </c>
    </row>
    <row r="761" customFormat="false" ht="15" hidden="false" customHeight="false" outlineLevel="0" collapsed="false">
      <c r="A761" s="3" t="s">
        <v>791</v>
      </c>
      <c r="B761" s="3" t="n">
        <v>31</v>
      </c>
      <c r="C761" s="3" t="s">
        <v>22</v>
      </c>
      <c r="D761" s="3" t="s">
        <v>27</v>
      </c>
      <c r="E761" s="3" t="s">
        <v>41</v>
      </c>
      <c r="F761" s="3" t="n">
        <v>5.4</v>
      </c>
      <c r="G761" s="3" t="n">
        <v>8490.85</v>
      </c>
      <c r="H761" s="3" t="s">
        <v>19</v>
      </c>
      <c r="I761" s="3" t="n">
        <v>3</v>
      </c>
      <c r="J761" s="3" t="n">
        <v>4</v>
      </c>
      <c r="K761" s="3" t="n">
        <v>3</v>
      </c>
      <c r="L761" s="3" t="n">
        <v>0</v>
      </c>
      <c r="M761" s="3" t="n">
        <v>0</v>
      </c>
      <c r="N761" s="3" t="s">
        <v>19</v>
      </c>
    </row>
    <row r="762" customFormat="false" ht="15" hidden="false" customHeight="false" outlineLevel="0" collapsed="false">
      <c r="A762" s="3" t="s">
        <v>792</v>
      </c>
      <c r="B762" s="3" t="n">
        <v>31</v>
      </c>
      <c r="C762" s="3" t="s">
        <v>26</v>
      </c>
      <c r="D762" s="3" t="s">
        <v>17</v>
      </c>
      <c r="E762" s="3" t="s">
        <v>41</v>
      </c>
      <c r="F762" s="3" t="n">
        <v>2.6</v>
      </c>
      <c r="G762" s="3" t="n">
        <v>3047.15</v>
      </c>
      <c r="H762" s="3" t="s">
        <v>19</v>
      </c>
      <c r="I762" s="3" t="n">
        <v>3</v>
      </c>
      <c r="J762" s="3" t="n">
        <v>3</v>
      </c>
      <c r="K762" s="3" t="n">
        <v>6</v>
      </c>
      <c r="L762" s="3" t="n">
        <v>0</v>
      </c>
      <c r="M762" s="3" t="n">
        <v>2</v>
      </c>
      <c r="N762" s="3" t="s">
        <v>19</v>
      </c>
    </row>
    <row r="763" customFormat="false" ht="15" hidden="false" customHeight="false" outlineLevel="0" collapsed="false">
      <c r="A763" s="3" t="s">
        <v>793</v>
      </c>
      <c r="B763" s="3" t="n">
        <v>29</v>
      </c>
      <c r="C763" s="3" t="s">
        <v>16</v>
      </c>
      <c r="D763" s="3" t="s">
        <v>23</v>
      </c>
      <c r="E763" s="3" t="s">
        <v>18</v>
      </c>
      <c r="F763" s="3" t="n">
        <v>0.5</v>
      </c>
      <c r="G763" s="3" t="n">
        <v>4530.48</v>
      </c>
      <c r="H763" s="3" t="s">
        <v>20</v>
      </c>
      <c r="I763" s="3" t="n">
        <v>3</v>
      </c>
      <c r="J763" s="3" t="n">
        <v>4</v>
      </c>
      <c r="K763" s="3" t="n">
        <v>7</v>
      </c>
      <c r="L763" s="3" t="n">
        <v>0</v>
      </c>
      <c r="M763" s="3" t="n">
        <v>2</v>
      </c>
      <c r="N763" s="3" t="s">
        <v>19</v>
      </c>
    </row>
    <row r="764" customFormat="false" ht="15" hidden="false" customHeight="false" outlineLevel="0" collapsed="false">
      <c r="A764" s="3" t="s">
        <v>794</v>
      </c>
      <c r="B764" s="3" t="n">
        <v>30</v>
      </c>
      <c r="C764" s="3" t="s">
        <v>16</v>
      </c>
      <c r="D764" s="3" t="s">
        <v>27</v>
      </c>
      <c r="E764" s="3" t="s">
        <v>28</v>
      </c>
      <c r="F764" s="3" t="n">
        <v>9</v>
      </c>
      <c r="G764" s="3" t="n">
        <v>6845.95</v>
      </c>
      <c r="H764" s="3" t="s">
        <v>19</v>
      </c>
      <c r="I764" s="3" t="n">
        <v>3</v>
      </c>
      <c r="J764" s="3" t="n">
        <v>2</v>
      </c>
      <c r="K764" s="3" t="n">
        <v>32</v>
      </c>
      <c r="L764" s="3" t="n">
        <v>2</v>
      </c>
      <c r="M764" s="3" t="n">
        <v>1</v>
      </c>
      <c r="N764" s="3" t="s">
        <v>19</v>
      </c>
    </row>
    <row r="765" customFormat="false" ht="15" hidden="false" customHeight="false" outlineLevel="0" collapsed="false">
      <c r="A765" s="3" t="s">
        <v>795</v>
      </c>
      <c r="B765" s="3" t="n">
        <v>39</v>
      </c>
      <c r="C765" s="3" t="s">
        <v>16</v>
      </c>
      <c r="D765" s="3" t="s">
        <v>23</v>
      </c>
      <c r="E765" s="3" t="s">
        <v>24</v>
      </c>
      <c r="F765" s="3" t="n">
        <v>4.1</v>
      </c>
      <c r="G765" s="3" t="n">
        <v>5085.26</v>
      </c>
      <c r="H765" s="3" t="s">
        <v>19</v>
      </c>
      <c r="I765" s="3" t="n">
        <v>3</v>
      </c>
      <c r="J765" s="3" t="n">
        <v>2</v>
      </c>
      <c r="K765" s="3" t="n">
        <v>2</v>
      </c>
      <c r="L765" s="3" t="n">
        <v>2</v>
      </c>
      <c r="M765" s="3" t="n">
        <v>1</v>
      </c>
      <c r="N765" s="3" t="s">
        <v>19</v>
      </c>
    </row>
    <row r="766" customFormat="false" ht="15" hidden="false" customHeight="false" outlineLevel="0" collapsed="false">
      <c r="A766" s="3" t="s">
        <v>796</v>
      </c>
      <c r="B766" s="3" t="n">
        <v>21</v>
      </c>
      <c r="C766" s="3" t="s">
        <v>22</v>
      </c>
      <c r="D766" s="3" t="s">
        <v>17</v>
      </c>
      <c r="E766" s="3" t="s">
        <v>18</v>
      </c>
      <c r="F766" s="3" t="n">
        <v>0</v>
      </c>
      <c r="G766" s="3" t="n">
        <v>3700.19</v>
      </c>
      <c r="H766" s="3" t="s">
        <v>19</v>
      </c>
      <c r="I766" s="3" t="n">
        <v>1</v>
      </c>
      <c r="J766" s="3" t="n">
        <v>1</v>
      </c>
      <c r="K766" s="3" t="n">
        <v>6</v>
      </c>
      <c r="L766" s="3" t="n">
        <v>0</v>
      </c>
      <c r="M766" s="3" t="n">
        <v>2</v>
      </c>
      <c r="N766" s="3" t="s">
        <v>19</v>
      </c>
    </row>
    <row r="767" customFormat="false" ht="15" hidden="false" customHeight="false" outlineLevel="0" collapsed="false">
      <c r="A767" s="3" t="s">
        <v>797</v>
      </c>
      <c r="B767" s="3" t="n">
        <v>33</v>
      </c>
      <c r="C767" s="3" t="s">
        <v>16</v>
      </c>
      <c r="D767" s="3" t="s">
        <v>17</v>
      </c>
      <c r="E767" s="3" t="s">
        <v>28</v>
      </c>
      <c r="F767" s="3" t="n">
        <v>5.8</v>
      </c>
      <c r="G767" s="3" t="n">
        <v>3256.19</v>
      </c>
      <c r="H767" s="3" t="s">
        <v>19</v>
      </c>
      <c r="I767" s="3" t="n">
        <v>3</v>
      </c>
      <c r="J767" s="3" t="n">
        <v>3</v>
      </c>
      <c r="K767" s="3" t="n">
        <v>12</v>
      </c>
      <c r="L767" s="3" t="n">
        <v>1</v>
      </c>
      <c r="M767" s="3" t="n">
        <v>1</v>
      </c>
      <c r="N767" s="3" t="s">
        <v>19</v>
      </c>
    </row>
    <row r="768" customFormat="false" ht="15" hidden="false" customHeight="false" outlineLevel="0" collapsed="false">
      <c r="A768" s="3" t="s">
        <v>798</v>
      </c>
      <c r="B768" s="3" t="n">
        <v>34</v>
      </c>
      <c r="C768" s="3" t="s">
        <v>22</v>
      </c>
      <c r="D768" s="3" t="s">
        <v>17</v>
      </c>
      <c r="E768" s="3" t="s">
        <v>28</v>
      </c>
      <c r="F768" s="3" t="n">
        <v>1.3</v>
      </c>
      <c r="G768" s="3" t="n">
        <v>3213.18</v>
      </c>
      <c r="H768" s="3" t="s">
        <v>20</v>
      </c>
      <c r="I768" s="3" t="n">
        <v>3</v>
      </c>
      <c r="J768" s="3" t="n">
        <v>3</v>
      </c>
      <c r="K768" s="3" t="n">
        <v>37</v>
      </c>
      <c r="L768" s="3" t="n">
        <v>1</v>
      </c>
      <c r="M768" s="3" t="n">
        <v>3</v>
      </c>
      <c r="N768" s="3" t="s">
        <v>19</v>
      </c>
    </row>
    <row r="769" customFormat="false" ht="15" hidden="false" customHeight="false" outlineLevel="0" collapsed="false">
      <c r="A769" s="3" t="s">
        <v>799</v>
      </c>
      <c r="B769" s="3" t="n">
        <v>33</v>
      </c>
      <c r="C769" s="3" t="s">
        <v>26</v>
      </c>
      <c r="D769" s="3" t="s">
        <v>23</v>
      </c>
      <c r="E769" s="3" t="s">
        <v>28</v>
      </c>
      <c r="F769" s="3" t="n">
        <v>1.4</v>
      </c>
      <c r="G769" s="3" t="n">
        <v>4912.13</v>
      </c>
      <c r="H769" s="3" t="s">
        <v>19</v>
      </c>
      <c r="I769" s="3" t="n">
        <v>4</v>
      </c>
      <c r="J769" s="3" t="n">
        <v>4</v>
      </c>
      <c r="K769" s="3" t="n">
        <v>9</v>
      </c>
      <c r="L769" s="3" t="n">
        <v>0</v>
      </c>
      <c r="M769" s="3" t="n">
        <v>1</v>
      </c>
      <c r="N769" s="3" t="s">
        <v>19</v>
      </c>
    </row>
    <row r="770" customFormat="false" ht="15" hidden="false" customHeight="false" outlineLevel="0" collapsed="false">
      <c r="A770" s="3" t="s">
        <v>800</v>
      </c>
      <c r="B770" s="3" t="n">
        <v>46</v>
      </c>
      <c r="C770" s="3" t="s">
        <v>22</v>
      </c>
      <c r="D770" s="3" t="s">
        <v>23</v>
      </c>
      <c r="E770" s="3" t="s">
        <v>41</v>
      </c>
      <c r="F770" s="3" t="n">
        <v>0.8</v>
      </c>
      <c r="G770" s="3" t="n">
        <v>4320.46</v>
      </c>
      <c r="H770" s="3" t="s">
        <v>19</v>
      </c>
      <c r="I770" s="3" t="n">
        <v>1</v>
      </c>
      <c r="J770" s="3" t="n">
        <v>3</v>
      </c>
      <c r="K770" s="3" t="n">
        <v>8</v>
      </c>
      <c r="L770" s="3" t="n">
        <v>0</v>
      </c>
      <c r="M770" s="3" t="n">
        <v>1</v>
      </c>
      <c r="N770" s="3" t="s">
        <v>19</v>
      </c>
    </row>
    <row r="771" customFormat="false" ht="15" hidden="false" customHeight="false" outlineLevel="0" collapsed="false">
      <c r="A771" s="3" t="s">
        <v>801</v>
      </c>
      <c r="B771" s="3" t="n">
        <v>26</v>
      </c>
      <c r="C771" s="3" t="s">
        <v>16</v>
      </c>
      <c r="D771" s="3" t="s">
        <v>48</v>
      </c>
      <c r="E771" s="3" t="s">
        <v>28</v>
      </c>
      <c r="F771" s="3" t="n">
        <v>1.3</v>
      </c>
      <c r="G771" s="3" t="n">
        <v>10143.75</v>
      </c>
      <c r="H771" s="3" t="s">
        <v>19</v>
      </c>
      <c r="I771" s="3" t="n">
        <v>2</v>
      </c>
      <c r="J771" s="3" t="n">
        <v>3</v>
      </c>
      <c r="K771" s="3" t="n">
        <v>11</v>
      </c>
      <c r="L771" s="3" t="n">
        <v>0</v>
      </c>
      <c r="M771" s="3" t="n">
        <v>1</v>
      </c>
      <c r="N771" s="3" t="s">
        <v>20</v>
      </c>
    </row>
    <row r="772" customFormat="false" ht="15" hidden="false" customHeight="false" outlineLevel="0" collapsed="false">
      <c r="A772" s="3" t="s">
        <v>802</v>
      </c>
      <c r="B772" s="3" t="n">
        <v>37</v>
      </c>
      <c r="C772" s="3" t="s">
        <v>16</v>
      </c>
      <c r="D772" s="3" t="s">
        <v>23</v>
      </c>
      <c r="E772" s="3" t="s">
        <v>28</v>
      </c>
      <c r="F772" s="3" t="n">
        <v>0.3</v>
      </c>
      <c r="G772" s="3" t="n">
        <v>5273.1</v>
      </c>
      <c r="H772" s="3" t="s">
        <v>19</v>
      </c>
      <c r="I772" s="3" t="n">
        <v>3</v>
      </c>
      <c r="J772" s="3" t="n">
        <v>3</v>
      </c>
      <c r="K772" s="3" t="n">
        <v>1</v>
      </c>
      <c r="L772" s="3" t="n">
        <v>0</v>
      </c>
      <c r="M772" s="3" t="n">
        <v>4</v>
      </c>
      <c r="N772" s="3" t="s">
        <v>19</v>
      </c>
    </row>
    <row r="773" customFormat="false" ht="15" hidden="false" customHeight="false" outlineLevel="0" collapsed="false">
      <c r="A773" s="3" t="s">
        <v>803</v>
      </c>
      <c r="B773" s="3" t="n">
        <v>36</v>
      </c>
      <c r="C773" s="3" t="s">
        <v>22</v>
      </c>
      <c r="D773" s="3" t="s">
        <v>23</v>
      </c>
      <c r="E773" s="3" t="s">
        <v>28</v>
      </c>
      <c r="F773" s="3" t="n">
        <v>1.8</v>
      </c>
      <c r="G773" s="3" t="n">
        <v>4757.97</v>
      </c>
      <c r="H773" s="3" t="s">
        <v>20</v>
      </c>
      <c r="I773" s="3" t="n">
        <v>3</v>
      </c>
      <c r="J773" s="3" t="n">
        <v>2</v>
      </c>
      <c r="K773" s="3" t="n">
        <v>4</v>
      </c>
      <c r="L773" s="3" t="n">
        <v>0</v>
      </c>
      <c r="M773" s="3" t="n">
        <v>1</v>
      </c>
      <c r="N773" s="3" t="s">
        <v>19</v>
      </c>
    </row>
    <row r="774" customFormat="false" ht="15" hidden="false" customHeight="false" outlineLevel="0" collapsed="false">
      <c r="A774" s="3" t="s">
        <v>804</v>
      </c>
      <c r="B774" s="3" t="n">
        <v>37</v>
      </c>
      <c r="C774" s="3" t="s">
        <v>24</v>
      </c>
      <c r="D774" s="3" t="s">
        <v>48</v>
      </c>
      <c r="E774" s="3" t="s">
        <v>41</v>
      </c>
      <c r="F774" s="3" t="n">
        <v>0.8</v>
      </c>
      <c r="G774" s="3" t="n">
        <v>9872.16</v>
      </c>
      <c r="H774" s="3" t="s">
        <v>19</v>
      </c>
      <c r="I774" s="3" t="n">
        <v>3</v>
      </c>
      <c r="J774" s="3" t="n">
        <v>3</v>
      </c>
      <c r="K774" s="3" t="n">
        <v>5</v>
      </c>
      <c r="L774" s="3" t="n">
        <v>0</v>
      </c>
      <c r="M774" s="3" t="n">
        <v>5</v>
      </c>
      <c r="N774" s="3" t="s">
        <v>19</v>
      </c>
    </row>
    <row r="775" customFormat="false" ht="15" hidden="false" customHeight="false" outlineLevel="0" collapsed="false">
      <c r="A775" s="3" t="s">
        <v>805</v>
      </c>
      <c r="B775" s="3" t="n">
        <v>32</v>
      </c>
      <c r="C775" s="3" t="s">
        <v>26</v>
      </c>
      <c r="D775" s="3" t="s">
        <v>23</v>
      </c>
      <c r="E775" s="3" t="s">
        <v>28</v>
      </c>
      <c r="F775" s="3" t="n">
        <v>7.9</v>
      </c>
      <c r="G775" s="3" t="n">
        <v>5642.4</v>
      </c>
      <c r="H775" s="3" t="s">
        <v>20</v>
      </c>
      <c r="I775" s="3" t="n">
        <v>2</v>
      </c>
      <c r="J775" s="3" t="n">
        <v>4</v>
      </c>
      <c r="K775" s="3" t="n">
        <v>4</v>
      </c>
      <c r="L775" s="3" t="n">
        <v>0</v>
      </c>
      <c r="M775" s="3" t="n">
        <v>2</v>
      </c>
      <c r="N775" s="3" t="s">
        <v>20</v>
      </c>
    </row>
    <row r="776" customFormat="false" ht="15" hidden="false" customHeight="false" outlineLevel="0" collapsed="false">
      <c r="A776" s="3" t="s">
        <v>806</v>
      </c>
      <c r="B776" s="3" t="n">
        <v>33</v>
      </c>
      <c r="C776" s="3" t="s">
        <v>16</v>
      </c>
      <c r="D776" s="3" t="s">
        <v>23</v>
      </c>
      <c r="E776" s="3" t="s">
        <v>28</v>
      </c>
      <c r="F776" s="3" t="n">
        <v>0.1</v>
      </c>
      <c r="G776" s="3" t="n">
        <v>4825.98</v>
      </c>
      <c r="H776" s="3" t="s">
        <v>19</v>
      </c>
      <c r="I776" s="3" t="n">
        <v>3</v>
      </c>
      <c r="J776" s="3" t="n">
        <v>2</v>
      </c>
      <c r="K776" s="3" t="n">
        <v>7</v>
      </c>
      <c r="L776" s="3" t="n">
        <v>0</v>
      </c>
      <c r="M776" s="3" t="n">
        <v>1</v>
      </c>
      <c r="N776" s="3" t="s">
        <v>19</v>
      </c>
    </row>
    <row r="777" customFormat="false" ht="15" hidden="false" customHeight="false" outlineLevel="0" collapsed="false">
      <c r="A777" s="3" t="s">
        <v>807</v>
      </c>
      <c r="B777" s="3" t="n">
        <v>40</v>
      </c>
      <c r="C777" s="3" t="s">
        <v>24</v>
      </c>
      <c r="D777" s="3" t="s">
        <v>17</v>
      </c>
      <c r="E777" s="3" t="s">
        <v>18</v>
      </c>
      <c r="F777" s="3" t="n">
        <v>2.8</v>
      </c>
      <c r="G777" s="3" t="n">
        <v>3050.26</v>
      </c>
      <c r="H777" s="3" t="s">
        <v>19</v>
      </c>
      <c r="I777" s="3" t="n">
        <v>4</v>
      </c>
      <c r="J777" s="3" t="n">
        <v>4</v>
      </c>
      <c r="K777" s="3" t="n">
        <v>6</v>
      </c>
      <c r="L777" s="3" t="n">
        <v>0</v>
      </c>
      <c r="M777" s="3" t="n">
        <v>1</v>
      </c>
      <c r="N777" s="3" t="s">
        <v>19</v>
      </c>
    </row>
    <row r="778" customFormat="false" ht="15" hidden="false" customHeight="false" outlineLevel="0" collapsed="false">
      <c r="A778" s="3" t="s">
        <v>808</v>
      </c>
      <c r="B778" s="3" t="n">
        <v>41</v>
      </c>
      <c r="C778" s="3" t="s">
        <v>26</v>
      </c>
      <c r="D778" s="3" t="s">
        <v>17</v>
      </c>
      <c r="E778" s="3" t="s">
        <v>41</v>
      </c>
      <c r="F778" s="3" t="n">
        <v>1.1</v>
      </c>
      <c r="G778" s="3" t="n">
        <v>3630</v>
      </c>
      <c r="H778" s="3" t="s">
        <v>19</v>
      </c>
      <c r="I778" s="3" t="n">
        <v>3</v>
      </c>
      <c r="J778" s="3" t="n">
        <v>3</v>
      </c>
      <c r="K778" s="3" t="n">
        <v>4</v>
      </c>
      <c r="L778" s="3" t="n">
        <v>1</v>
      </c>
      <c r="M778" s="3" t="n">
        <v>1</v>
      </c>
      <c r="N778" s="3" t="s">
        <v>19</v>
      </c>
    </row>
    <row r="779" customFormat="false" ht="15" hidden="false" customHeight="false" outlineLevel="0" collapsed="false">
      <c r="A779" s="3" t="s">
        <v>809</v>
      </c>
      <c r="B779" s="3" t="n">
        <v>41</v>
      </c>
      <c r="C779" s="3" t="s">
        <v>22</v>
      </c>
      <c r="D779" s="3" t="s">
        <v>27</v>
      </c>
      <c r="E779" s="3" t="s">
        <v>28</v>
      </c>
      <c r="F779" s="3" t="n">
        <v>6.1</v>
      </c>
      <c r="G779" s="3" t="n">
        <v>7546.95</v>
      </c>
      <c r="H779" s="3" t="s">
        <v>20</v>
      </c>
      <c r="I779" s="3" t="n">
        <v>1</v>
      </c>
      <c r="J779" s="3" t="n">
        <v>4</v>
      </c>
      <c r="K779" s="3" t="n">
        <v>5</v>
      </c>
      <c r="L779" s="3" t="n">
        <v>1</v>
      </c>
      <c r="M779" s="3" t="n">
        <v>2</v>
      </c>
      <c r="N779" s="3" t="s">
        <v>19</v>
      </c>
    </row>
    <row r="780" customFormat="false" ht="15" hidden="false" customHeight="false" outlineLevel="0" collapsed="false">
      <c r="A780" s="3" t="s">
        <v>810</v>
      </c>
      <c r="B780" s="3" t="n">
        <v>34</v>
      </c>
      <c r="C780" s="3" t="s">
        <v>16</v>
      </c>
      <c r="D780" s="3" t="s">
        <v>23</v>
      </c>
      <c r="E780" s="3" t="s">
        <v>18</v>
      </c>
      <c r="F780" s="3" t="n">
        <v>2.7</v>
      </c>
      <c r="G780" s="3" t="n">
        <v>5218.68</v>
      </c>
      <c r="H780" s="3" t="s">
        <v>19</v>
      </c>
      <c r="I780" s="3" t="n">
        <v>2</v>
      </c>
      <c r="J780" s="3" t="n">
        <v>3</v>
      </c>
      <c r="K780" s="3" t="n">
        <v>3</v>
      </c>
      <c r="L780" s="3" t="n">
        <v>2</v>
      </c>
      <c r="M780" s="3" t="n">
        <v>2</v>
      </c>
      <c r="N780" s="3" t="s">
        <v>20</v>
      </c>
    </row>
    <row r="781" customFormat="false" ht="15" hidden="false" customHeight="false" outlineLevel="0" collapsed="false">
      <c r="A781" s="3" t="s">
        <v>811</v>
      </c>
      <c r="B781" s="3" t="n">
        <v>46</v>
      </c>
      <c r="C781" s="3" t="s">
        <v>45</v>
      </c>
      <c r="D781" s="3" t="s">
        <v>27</v>
      </c>
      <c r="E781" s="3" t="s">
        <v>28</v>
      </c>
      <c r="F781" s="3" t="n">
        <v>11.1</v>
      </c>
      <c r="G781" s="3" t="n">
        <v>6692.85</v>
      </c>
      <c r="H781" s="3" t="s">
        <v>20</v>
      </c>
      <c r="I781" s="3" t="n">
        <v>3</v>
      </c>
      <c r="J781" s="3" t="n">
        <v>2</v>
      </c>
      <c r="K781" s="3" t="n">
        <v>19</v>
      </c>
      <c r="L781" s="3" t="n">
        <v>4</v>
      </c>
      <c r="M781" s="3" t="n">
        <v>2</v>
      </c>
      <c r="N781" s="3" t="s">
        <v>20</v>
      </c>
    </row>
    <row r="782" customFormat="false" ht="15" hidden="false" customHeight="false" outlineLevel="0" collapsed="false">
      <c r="A782" s="3" t="s">
        <v>812</v>
      </c>
      <c r="B782" s="3" t="n">
        <v>28</v>
      </c>
      <c r="C782" s="3" t="s">
        <v>16</v>
      </c>
      <c r="D782" s="3" t="s">
        <v>23</v>
      </c>
      <c r="E782" s="3" t="s">
        <v>18</v>
      </c>
      <c r="F782" s="3" t="n">
        <v>0.4</v>
      </c>
      <c r="G782" s="3" t="n">
        <v>5103.68</v>
      </c>
      <c r="H782" s="3" t="s">
        <v>19</v>
      </c>
      <c r="I782" s="3" t="n">
        <v>3</v>
      </c>
      <c r="J782" s="3" t="n">
        <v>3</v>
      </c>
      <c r="K782" s="3" t="n">
        <v>1</v>
      </c>
      <c r="L782" s="3" t="n">
        <v>0</v>
      </c>
      <c r="M782" s="3" t="n">
        <v>0</v>
      </c>
      <c r="N782" s="3" t="s">
        <v>19</v>
      </c>
    </row>
    <row r="783" customFormat="false" ht="15" hidden="false" customHeight="false" outlineLevel="0" collapsed="false">
      <c r="A783" s="3" t="s">
        <v>813</v>
      </c>
      <c r="B783" s="3" t="n">
        <v>38</v>
      </c>
      <c r="C783" s="3" t="s">
        <v>22</v>
      </c>
      <c r="D783" s="3" t="s">
        <v>27</v>
      </c>
      <c r="E783" s="3" t="s">
        <v>24</v>
      </c>
      <c r="F783" s="3" t="n">
        <v>0.5</v>
      </c>
      <c r="G783" s="3" t="n">
        <v>8340.82</v>
      </c>
      <c r="H783" s="3" t="s">
        <v>20</v>
      </c>
      <c r="I783" s="3" t="n">
        <v>4</v>
      </c>
      <c r="J783" s="3" t="n">
        <v>1</v>
      </c>
      <c r="K783" s="3" t="n">
        <v>21</v>
      </c>
      <c r="L783" s="3" t="n">
        <v>0</v>
      </c>
      <c r="M783" s="3" t="n">
        <v>3</v>
      </c>
      <c r="N783" s="3" t="s">
        <v>20</v>
      </c>
    </row>
    <row r="784" customFormat="false" ht="15" hidden="false" customHeight="false" outlineLevel="0" collapsed="false">
      <c r="A784" s="3" t="s">
        <v>814</v>
      </c>
      <c r="B784" s="3" t="n">
        <v>22</v>
      </c>
      <c r="C784" s="3" t="s">
        <v>22</v>
      </c>
      <c r="D784" s="3" t="s">
        <v>27</v>
      </c>
      <c r="E784" s="3" t="s">
        <v>18</v>
      </c>
      <c r="F784" s="3" t="n">
        <v>1</v>
      </c>
      <c r="G784" s="3" t="n">
        <v>7560.08</v>
      </c>
      <c r="H784" s="3" t="s">
        <v>19</v>
      </c>
      <c r="I784" s="3" t="n">
        <v>3</v>
      </c>
      <c r="J784" s="3" t="n">
        <v>3</v>
      </c>
      <c r="K784" s="3" t="n">
        <v>1</v>
      </c>
      <c r="L784" s="3" t="n">
        <v>1</v>
      </c>
      <c r="M784" s="3" t="n">
        <v>4</v>
      </c>
      <c r="N784" s="3" t="s">
        <v>20</v>
      </c>
    </row>
    <row r="785" customFormat="false" ht="15" hidden="false" customHeight="false" outlineLevel="0" collapsed="false">
      <c r="A785" s="3" t="s">
        <v>815</v>
      </c>
      <c r="B785" s="3" t="n">
        <v>25</v>
      </c>
      <c r="C785" s="3" t="s">
        <v>22</v>
      </c>
      <c r="D785" s="3" t="s">
        <v>17</v>
      </c>
      <c r="E785" s="3" t="s">
        <v>41</v>
      </c>
      <c r="F785" s="3" t="n">
        <v>3.7</v>
      </c>
      <c r="G785" s="3" t="n">
        <v>3612.45</v>
      </c>
      <c r="H785" s="3" t="s">
        <v>19</v>
      </c>
      <c r="I785" s="3" t="n">
        <v>4</v>
      </c>
      <c r="J785" s="3" t="n">
        <v>3</v>
      </c>
      <c r="K785" s="3" t="n">
        <v>24</v>
      </c>
      <c r="L785" s="3" t="n">
        <v>0</v>
      </c>
      <c r="M785" s="3" t="n">
        <v>5</v>
      </c>
      <c r="N785" s="3" t="s">
        <v>19</v>
      </c>
    </row>
    <row r="786" customFormat="false" ht="15" hidden="false" customHeight="false" outlineLevel="0" collapsed="false">
      <c r="A786" s="3" t="s">
        <v>816</v>
      </c>
      <c r="B786" s="3" t="n">
        <v>26</v>
      </c>
      <c r="C786" s="3" t="s">
        <v>16</v>
      </c>
      <c r="D786" s="3" t="s">
        <v>23</v>
      </c>
      <c r="E786" s="3" t="s">
        <v>41</v>
      </c>
      <c r="F786" s="3" t="n">
        <v>0.2</v>
      </c>
      <c r="G786" s="3" t="n">
        <v>4120.8</v>
      </c>
      <c r="H786" s="3" t="s">
        <v>19</v>
      </c>
      <c r="I786" s="3" t="n">
        <v>4</v>
      </c>
      <c r="J786" s="3" t="n">
        <v>4</v>
      </c>
      <c r="K786" s="3" t="n">
        <v>1</v>
      </c>
      <c r="L786" s="3" t="n">
        <v>0</v>
      </c>
      <c r="M786" s="3" t="n">
        <v>1</v>
      </c>
      <c r="N786" s="3" t="s">
        <v>19</v>
      </c>
    </row>
    <row r="787" customFormat="false" ht="15" hidden="false" customHeight="false" outlineLevel="0" collapsed="false">
      <c r="A787" s="3" t="s">
        <v>817</v>
      </c>
      <c r="B787" s="3" t="n">
        <v>37</v>
      </c>
      <c r="C787" s="3" t="s">
        <v>32</v>
      </c>
      <c r="D787" s="3" t="s">
        <v>27</v>
      </c>
      <c r="E787" s="3" t="s">
        <v>28</v>
      </c>
      <c r="F787" s="3" t="n">
        <v>0.3</v>
      </c>
      <c r="G787" s="3" t="n">
        <v>6804.17</v>
      </c>
      <c r="H787" s="3" t="s">
        <v>20</v>
      </c>
      <c r="I787" s="3" t="n">
        <v>3</v>
      </c>
      <c r="J787" s="3" t="n">
        <v>2</v>
      </c>
      <c r="K787" s="3" t="n">
        <v>5</v>
      </c>
      <c r="L787" s="3" t="n">
        <v>0</v>
      </c>
      <c r="M787" s="3" t="n">
        <v>2</v>
      </c>
      <c r="N787" s="3" t="s">
        <v>19</v>
      </c>
    </row>
    <row r="788" customFormat="false" ht="15" hidden="false" customHeight="false" outlineLevel="0" collapsed="false">
      <c r="A788" s="3" t="s">
        <v>818</v>
      </c>
      <c r="B788" s="3" t="n">
        <v>37</v>
      </c>
      <c r="C788" s="3" t="s">
        <v>24</v>
      </c>
      <c r="D788" s="3" t="s">
        <v>17</v>
      </c>
      <c r="E788" s="3" t="s">
        <v>24</v>
      </c>
      <c r="F788" s="3" t="n">
        <v>1.2</v>
      </c>
      <c r="G788" s="3" t="n">
        <v>3379.79</v>
      </c>
      <c r="H788" s="3" t="s">
        <v>19</v>
      </c>
      <c r="I788" s="3" t="n">
        <v>4</v>
      </c>
      <c r="J788" s="3" t="n">
        <v>2</v>
      </c>
      <c r="K788" s="3" t="n">
        <v>3</v>
      </c>
      <c r="L788" s="3" t="n">
        <v>1</v>
      </c>
      <c r="M788" s="3" t="n">
        <v>1</v>
      </c>
      <c r="N788" s="3" t="s">
        <v>20</v>
      </c>
    </row>
    <row r="789" customFormat="false" ht="15" hidden="false" customHeight="false" outlineLevel="0" collapsed="false">
      <c r="A789" s="3" t="s">
        <v>819</v>
      </c>
      <c r="B789" s="3" t="n">
        <v>33</v>
      </c>
      <c r="C789" s="3" t="s">
        <v>45</v>
      </c>
      <c r="D789" s="3" t="s">
        <v>23</v>
      </c>
      <c r="E789" s="3" t="s">
        <v>24</v>
      </c>
      <c r="F789" s="3" t="n">
        <v>2.2</v>
      </c>
      <c r="G789" s="3" t="n">
        <v>5210.88</v>
      </c>
      <c r="H789" s="3" t="s">
        <v>19</v>
      </c>
      <c r="I789" s="3" t="n">
        <v>4</v>
      </c>
      <c r="J789" s="3" t="n">
        <v>2</v>
      </c>
      <c r="K789" s="3" t="n">
        <v>9</v>
      </c>
      <c r="L789" s="3" t="n">
        <v>1</v>
      </c>
      <c r="M789" s="3" t="n">
        <v>1</v>
      </c>
      <c r="N789" s="3" t="s">
        <v>19</v>
      </c>
    </row>
    <row r="790" customFormat="false" ht="15" hidden="false" customHeight="false" outlineLevel="0" collapsed="false">
      <c r="A790" s="3" t="s">
        <v>820</v>
      </c>
      <c r="B790" s="3" t="n">
        <v>25</v>
      </c>
      <c r="C790" s="3" t="s">
        <v>24</v>
      </c>
      <c r="D790" s="3" t="s">
        <v>17</v>
      </c>
      <c r="E790" s="3" t="s">
        <v>41</v>
      </c>
      <c r="F790" s="3" t="n">
        <v>0.4</v>
      </c>
      <c r="G790" s="3" t="n">
        <v>3435.92</v>
      </c>
      <c r="H790" s="3" t="s">
        <v>19</v>
      </c>
      <c r="I790" s="3" t="n">
        <v>1</v>
      </c>
      <c r="J790" s="3" t="n">
        <v>2</v>
      </c>
      <c r="K790" s="3" t="n">
        <v>1</v>
      </c>
      <c r="L790" s="3" t="n">
        <v>0</v>
      </c>
      <c r="M790" s="3" t="n">
        <v>0</v>
      </c>
      <c r="N790" s="3" t="s">
        <v>20</v>
      </c>
    </row>
    <row r="791" customFormat="false" ht="15" hidden="false" customHeight="false" outlineLevel="0" collapsed="false">
      <c r="A791" s="3" t="s">
        <v>821</v>
      </c>
      <c r="B791" s="3" t="n">
        <v>41</v>
      </c>
      <c r="C791" s="3" t="s">
        <v>22</v>
      </c>
      <c r="D791" s="3" t="s">
        <v>27</v>
      </c>
      <c r="E791" s="3" t="s">
        <v>24</v>
      </c>
      <c r="F791" s="3" t="n">
        <v>0.6</v>
      </c>
      <c r="G791" s="3" t="n">
        <v>6157.04</v>
      </c>
      <c r="H791" s="3" t="s">
        <v>20</v>
      </c>
      <c r="I791" s="3" t="n">
        <v>3</v>
      </c>
      <c r="J791" s="3" t="n">
        <v>3</v>
      </c>
      <c r="K791" s="3" t="n">
        <v>1</v>
      </c>
      <c r="L791" s="3" t="n">
        <v>0</v>
      </c>
      <c r="M791" s="3" t="n">
        <v>3</v>
      </c>
      <c r="N791" s="3" t="s">
        <v>19</v>
      </c>
    </row>
    <row r="792" customFormat="false" ht="15" hidden="false" customHeight="false" outlineLevel="0" collapsed="false">
      <c r="A792" s="3" t="s">
        <v>822</v>
      </c>
      <c r="B792" s="3" t="n">
        <v>51</v>
      </c>
      <c r="C792" s="3" t="s">
        <v>24</v>
      </c>
      <c r="D792" s="3" t="s">
        <v>17</v>
      </c>
      <c r="E792" s="3" t="s">
        <v>24</v>
      </c>
      <c r="F792" s="3" t="n">
        <v>5</v>
      </c>
      <c r="G792" s="3" t="n">
        <v>2818.17</v>
      </c>
      <c r="H792" s="3" t="s">
        <v>19</v>
      </c>
      <c r="I792" s="3" t="n">
        <v>1</v>
      </c>
      <c r="J792" s="3" t="n">
        <v>4</v>
      </c>
      <c r="K792" s="3" t="n">
        <v>14</v>
      </c>
      <c r="L792" s="3" t="n">
        <v>0</v>
      </c>
      <c r="M792" s="3" t="n">
        <v>4</v>
      </c>
      <c r="N792" s="3" t="s">
        <v>19</v>
      </c>
    </row>
    <row r="793" customFormat="false" ht="15" hidden="false" customHeight="false" outlineLevel="0" collapsed="false">
      <c r="A793" s="3" t="s">
        <v>823</v>
      </c>
      <c r="B793" s="3" t="n">
        <v>43</v>
      </c>
      <c r="C793" s="3" t="s">
        <v>22</v>
      </c>
      <c r="D793" s="3" t="s">
        <v>27</v>
      </c>
      <c r="E793" s="3" t="s">
        <v>28</v>
      </c>
      <c r="F793" s="3" t="n">
        <v>2.3</v>
      </c>
      <c r="G793" s="3" t="n">
        <v>8061.3</v>
      </c>
      <c r="H793" s="3" t="s">
        <v>19</v>
      </c>
      <c r="I793" s="3" t="n">
        <v>2</v>
      </c>
      <c r="J793" s="3" t="n">
        <v>3</v>
      </c>
      <c r="K793" s="3" t="n">
        <v>9</v>
      </c>
      <c r="L793" s="3" t="n">
        <v>0</v>
      </c>
      <c r="M793" s="3" t="n">
        <v>1</v>
      </c>
      <c r="N793" s="3" t="s">
        <v>19</v>
      </c>
    </row>
    <row r="794" customFormat="false" ht="15" hidden="false" customHeight="false" outlineLevel="0" collapsed="false">
      <c r="A794" s="3" t="s">
        <v>824</v>
      </c>
      <c r="B794" s="3" t="n">
        <v>33</v>
      </c>
      <c r="C794" s="3" t="s">
        <v>45</v>
      </c>
      <c r="D794" s="3" t="s">
        <v>17</v>
      </c>
      <c r="E794" s="3" t="s">
        <v>18</v>
      </c>
      <c r="F794" s="3" t="n">
        <v>3.3</v>
      </c>
      <c r="G794" s="3" t="n">
        <v>3461.18</v>
      </c>
      <c r="H794" s="3" t="s">
        <v>19</v>
      </c>
      <c r="I794" s="3" t="n">
        <v>3</v>
      </c>
      <c r="J794" s="3" t="n">
        <v>3</v>
      </c>
      <c r="K794" s="3" t="n">
        <v>8</v>
      </c>
      <c r="L794" s="3" t="n">
        <v>1</v>
      </c>
      <c r="M794" s="3" t="n">
        <v>3</v>
      </c>
      <c r="N794" s="3" t="s">
        <v>19</v>
      </c>
    </row>
    <row r="795" customFormat="false" ht="15" hidden="false" customHeight="false" outlineLevel="0" collapsed="false">
      <c r="A795" s="3" t="s">
        <v>825</v>
      </c>
      <c r="B795" s="3" t="n">
        <v>31</v>
      </c>
      <c r="C795" s="3" t="s">
        <v>26</v>
      </c>
      <c r="D795" s="3" t="s">
        <v>23</v>
      </c>
      <c r="E795" s="3" t="s">
        <v>24</v>
      </c>
      <c r="F795" s="3" t="n">
        <v>1.8</v>
      </c>
      <c r="G795" s="3" t="n">
        <v>4379.11</v>
      </c>
      <c r="H795" s="3" t="s">
        <v>19</v>
      </c>
      <c r="I795" s="3" t="n">
        <v>1</v>
      </c>
      <c r="J795" s="3" t="n">
        <v>2</v>
      </c>
      <c r="K795" s="3" t="n">
        <v>7</v>
      </c>
      <c r="L795" s="3" t="n">
        <v>0</v>
      </c>
      <c r="M795" s="3" t="n">
        <v>0</v>
      </c>
      <c r="N795" s="3" t="s">
        <v>19</v>
      </c>
    </row>
    <row r="796" customFormat="false" ht="15" hidden="false" customHeight="false" outlineLevel="0" collapsed="false">
      <c r="A796" s="3" t="s">
        <v>826</v>
      </c>
      <c r="B796" s="3" t="n">
        <v>30</v>
      </c>
      <c r="C796" s="3" t="s">
        <v>22</v>
      </c>
      <c r="D796" s="3" t="s">
        <v>27</v>
      </c>
      <c r="E796" s="3" t="s">
        <v>24</v>
      </c>
      <c r="F796" s="3" t="n">
        <v>8.4</v>
      </c>
      <c r="G796" s="3" t="n">
        <v>6709.36</v>
      </c>
      <c r="H796" s="3" t="s">
        <v>20</v>
      </c>
      <c r="I796" s="3" t="n">
        <v>4</v>
      </c>
      <c r="J796" s="3" t="n">
        <v>3</v>
      </c>
      <c r="K796" s="3" t="n">
        <v>17</v>
      </c>
      <c r="L796" s="3" t="n">
        <v>1</v>
      </c>
      <c r="M796" s="3" t="n">
        <v>0</v>
      </c>
      <c r="N796" s="3" t="s">
        <v>20</v>
      </c>
    </row>
    <row r="797" customFormat="false" ht="15" hidden="false" customHeight="false" outlineLevel="0" collapsed="false">
      <c r="A797" s="3" t="s">
        <v>827</v>
      </c>
      <c r="B797" s="3" t="n">
        <v>38</v>
      </c>
      <c r="C797" s="3" t="s">
        <v>26</v>
      </c>
      <c r="D797" s="3" t="s">
        <v>48</v>
      </c>
      <c r="E797" s="3" t="s">
        <v>28</v>
      </c>
      <c r="F797" s="3" t="n">
        <v>0.1</v>
      </c>
      <c r="G797" s="3" t="n">
        <v>10321.65</v>
      </c>
      <c r="H797" s="3" t="s">
        <v>20</v>
      </c>
      <c r="I797" s="3" t="n">
        <v>4</v>
      </c>
      <c r="J797" s="3" t="n">
        <v>3</v>
      </c>
      <c r="K797" s="3" t="n">
        <v>3</v>
      </c>
      <c r="L797" s="3" t="n">
        <v>0</v>
      </c>
      <c r="M797" s="3" t="n">
        <v>3</v>
      </c>
      <c r="N797" s="3" t="s">
        <v>20</v>
      </c>
    </row>
    <row r="798" customFormat="false" ht="15" hidden="false" customHeight="false" outlineLevel="0" collapsed="false">
      <c r="A798" s="3" t="s">
        <v>828</v>
      </c>
      <c r="B798" s="3" t="n">
        <v>45</v>
      </c>
      <c r="C798" s="3" t="s">
        <v>26</v>
      </c>
      <c r="D798" s="3" t="s">
        <v>27</v>
      </c>
      <c r="E798" s="3" t="s">
        <v>24</v>
      </c>
      <c r="F798" s="3" t="n">
        <v>1.7</v>
      </c>
      <c r="G798" s="3" t="n">
        <v>7480.77</v>
      </c>
      <c r="H798" s="3" t="s">
        <v>20</v>
      </c>
      <c r="I798" s="3" t="n">
        <v>3</v>
      </c>
      <c r="J798" s="3" t="n">
        <v>4</v>
      </c>
      <c r="K798" s="3" t="n">
        <v>19</v>
      </c>
      <c r="L798" s="3" t="n">
        <v>0</v>
      </c>
      <c r="M798" s="3" t="n">
        <v>5</v>
      </c>
      <c r="N798" s="3" t="s">
        <v>19</v>
      </c>
    </row>
    <row r="799" customFormat="false" ht="15" hidden="false" customHeight="false" outlineLevel="0" collapsed="false">
      <c r="A799" s="3" t="s">
        <v>829</v>
      </c>
      <c r="B799" s="3" t="n">
        <v>40</v>
      </c>
      <c r="C799" s="3" t="s">
        <v>24</v>
      </c>
      <c r="D799" s="3" t="s">
        <v>23</v>
      </c>
      <c r="E799" s="3" t="s">
        <v>24</v>
      </c>
      <c r="F799" s="3" t="n">
        <v>7.7</v>
      </c>
      <c r="G799" s="3" t="n">
        <v>4928.17</v>
      </c>
      <c r="H799" s="3" t="s">
        <v>20</v>
      </c>
      <c r="I799" s="3" t="n">
        <v>3</v>
      </c>
      <c r="J799" s="3" t="n">
        <v>3</v>
      </c>
      <c r="K799" s="3" t="n">
        <v>1</v>
      </c>
      <c r="L799" s="3" t="n">
        <v>0</v>
      </c>
      <c r="M799" s="3" t="n">
        <v>0</v>
      </c>
      <c r="N799" s="3" t="s">
        <v>20</v>
      </c>
    </row>
    <row r="800" customFormat="false" ht="15" hidden="false" customHeight="false" outlineLevel="0" collapsed="false">
      <c r="A800" s="3" t="s">
        <v>830</v>
      </c>
      <c r="B800" s="3" t="n">
        <v>36</v>
      </c>
      <c r="C800" s="3" t="s">
        <v>24</v>
      </c>
      <c r="D800" s="3" t="s">
        <v>17</v>
      </c>
      <c r="E800" s="3" t="s">
        <v>24</v>
      </c>
      <c r="F800" s="3" t="n">
        <v>1.7</v>
      </c>
      <c r="G800" s="3" t="n">
        <v>2877.8</v>
      </c>
      <c r="H800" s="3" t="s">
        <v>19</v>
      </c>
      <c r="I800" s="3" t="n">
        <v>3</v>
      </c>
      <c r="J800" s="3" t="n">
        <v>4</v>
      </c>
      <c r="K800" s="3" t="n">
        <v>1</v>
      </c>
      <c r="L800" s="3" t="n">
        <v>1</v>
      </c>
      <c r="M800" s="3" t="n">
        <v>4</v>
      </c>
      <c r="N800" s="3" t="s">
        <v>19</v>
      </c>
    </row>
    <row r="801" customFormat="false" ht="15" hidden="false" customHeight="false" outlineLevel="0" collapsed="false">
      <c r="A801" s="3" t="s">
        <v>831</v>
      </c>
      <c r="B801" s="3" t="n">
        <v>29</v>
      </c>
      <c r="C801" s="3" t="s">
        <v>24</v>
      </c>
      <c r="D801" s="3" t="s">
        <v>27</v>
      </c>
      <c r="E801" s="3" t="s">
        <v>18</v>
      </c>
      <c r="F801" s="3" t="n">
        <v>3.8</v>
      </c>
      <c r="G801" s="3" t="n">
        <v>7674.69</v>
      </c>
      <c r="H801" s="3" t="s">
        <v>19</v>
      </c>
      <c r="I801" s="3" t="n">
        <v>3</v>
      </c>
      <c r="J801" s="3" t="n">
        <v>3</v>
      </c>
      <c r="K801" s="3" t="n">
        <v>20</v>
      </c>
      <c r="L801" s="3" t="n">
        <v>0</v>
      </c>
      <c r="M801" s="3" t="n">
        <v>0</v>
      </c>
      <c r="N801" s="3" t="s">
        <v>19</v>
      </c>
    </row>
    <row r="802" customFormat="false" ht="15" hidden="false" customHeight="false" outlineLevel="0" collapsed="false">
      <c r="A802" s="3" t="s">
        <v>832</v>
      </c>
      <c r="B802" s="3" t="n">
        <v>27</v>
      </c>
      <c r="C802" s="3" t="s">
        <v>24</v>
      </c>
      <c r="D802" s="3" t="s">
        <v>23</v>
      </c>
      <c r="E802" s="3" t="s">
        <v>18</v>
      </c>
      <c r="F802" s="3" t="n">
        <v>3</v>
      </c>
      <c r="G802" s="3" t="n">
        <v>5211.19</v>
      </c>
      <c r="H802" s="3" t="s">
        <v>20</v>
      </c>
      <c r="I802" s="3" t="n">
        <v>4</v>
      </c>
      <c r="J802" s="3" t="n">
        <v>1</v>
      </c>
      <c r="K802" s="3" t="n">
        <v>18</v>
      </c>
      <c r="L802" s="3" t="n">
        <v>0</v>
      </c>
      <c r="M802" s="3" t="n">
        <v>1</v>
      </c>
      <c r="N802" s="3" t="s">
        <v>19</v>
      </c>
    </row>
    <row r="803" customFormat="false" ht="15" hidden="false" customHeight="false" outlineLevel="0" collapsed="false">
      <c r="A803" s="3" t="s">
        <v>833</v>
      </c>
      <c r="B803" s="3" t="n">
        <v>43</v>
      </c>
      <c r="C803" s="3" t="s">
        <v>32</v>
      </c>
      <c r="D803" s="3" t="s">
        <v>17</v>
      </c>
      <c r="E803" s="3" t="s">
        <v>24</v>
      </c>
      <c r="F803" s="3" t="n">
        <v>2.6</v>
      </c>
      <c r="G803" s="3" t="n">
        <v>3716.72</v>
      </c>
      <c r="H803" s="3" t="s">
        <v>19</v>
      </c>
      <c r="I803" s="3" t="n">
        <v>1</v>
      </c>
      <c r="J803" s="3" t="n">
        <v>4</v>
      </c>
      <c r="K803" s="3" t="n">
        <v>27</v>
      </c>
      <c r="L803" s="3" t="n">
        <v>2</v>
      </c>
      <c r="M803" s="3" t="n">
        <v>1</v>
      </c>
      <c r="N803" s="3" t="s">
        <v>20</v>
      </c>
    </row>
    <row r="804" customFormat="false" ht="15" hidden="false" customHeight="false" outlineLevel="0" collapsed="false">
      <c r="A804" s="3" t="s">
        <v>834</v>
      </c>
      <c r="B804" s="3" t="n">
        <v>32</v>
      </c>
      <c r="C804" s="3" t="s">
        <v>45</v>
      </c>
      <c r="D804" s="3" t="s">
        <v>17</v>
      </c>
      <c r="E804" s="3" t="s">
        <v>41</v>
      </c>
      <c r="F804" s="3" t="n">
        <v>1.2</v>
      </c>
      <c r="G804" s="3" t="n">
        <v>3431.94</v>
      </c>
      <c r="H804" s="3" t="s">
        <v>20</v>
      </c>
      <c r="I804" s="3" t="n">
        <v>4</v>
      </c>
      <c r="J804" s="3" t="n">
        <v>1</v>
      </c>
      <c r="K804" s="3" t="n">
        <v>1</v>
      </c>
      <c r="L804" s="3" t="n">
        <v>0</v>
      </c>
      <c r="M804" s="3" t="n">
        <v>0</v>
      </c>
      <c r="N804" s="3" t="s">
        <v>19</v>
      </c>
    </row>
    <row r="805" customFormat="false" ht="15" hidden="false" customHeight="false" outlineLevel="0" collapsed="false">
      <c r="A805" s="3" t="s">
        <v>835</v>
      </c>
      <c r="B805" s="3" t="n">
        <v>37</v>
      </c>
      <c r="C805" s="3" t="s">
        <v>24</v>
      </c>
      <c r="D805" s="3" t="s">
        <v>23</v>
      </c>
      <c r="E805" s="3" t="s">
        <v>28</v>
      </c>
      <c r="F805" s="3" t="n">
        <v>2.7</v>
      </c>
      <c r="G805" s="3" t="n">
        <v>4334.55</v>
      </c>
      <c r="H805" s="3" t="s">
        <v>20</v>
      </c>
      <c r="I805" s="3" t="n">
        <v>3</v>
      </c>
      <c r="J805" s="3" t="n">
        <v>3</v>
      </c>
      <c r="K805" s="3" t="n">
        <v>4</v>
      </c>
      <c r="L805" s="3" t="n">
        <v>2</v>
      </c>
      <c r="M805" s="3" t="n">
        <v>3</v>
      </c>
      <c r="N805" s="3" t="s">
        <v>19</v>
      </c>
    </row>
    <row r="806" customFormat="false" ht="15" hidden="false" customHeight="false" outlineLevel="0" collapsed="false">
      <c r="A806" s="3" t="s">
        <v>836</v>
      </c>
      <c r="B806" s="3" t="n">
        <v>39</v>
      </c>
      <c r="C806" s="3" t="s">
        <v>16</v>
      </c>
      <c r="D806" s="3" t="s">
        <v>17</v>
      </c>
      <c r="E806" s="3" t="s">
        <v>41</v>
      </c>
      <c r="F806" s="3" t="n">
        <v>1.7</v>
      </c>
      <c r="G806" s="3" t="n">
        <v>3124.71</v>
      </c>
      <c r="H806" s="3" t="s">
        <v>19</v>
      </c>
      <c r="I806" s="3" t="n">
        <v>3</v>
      </c>
      <c r="J806" s="3" t="n">
        <v>3</v>
      </c>
      <c r="K806" s="3" t="n">
        <v>2</v>
      </c>
      <c r="L806" s="3" t="n">
        <v>1</v>
      </c>
      <c r="M806" s="3" t="n">
        <v>2</v>
      </c>
      <c r="N806" s="3" t="s">
        <v>19</v>
      </c>
    </row>
    <row r="807" customFormat="false" ht="15" hidden="false" customHeight="false" outlineLevel="0" collapsed="false">
      <c r="A807" s="3" t="s">
        <v>837</v>
      </c>
      <c r="B807" s="3" t="n">
        <v>29</v>
      </c>
      <c r="C807" s="3" t="s">
        <v>16</v>
      </c>
      <c r="D807" s="3" t="s">
        <v>17</v>
      </c>
      <c r="E807" s="3" t="s">
        <v>41</v>
      </c>
      <c r="F807" s="3" t="n">
        <v>3.7</v>
      </c>
      <c r="G807" s="3" t="n">
        <v>2899.25</v>
      </c>
      <c r="H807" s="3" t="s">
        <v>19</v>
      </c>
      <c r="I807" s="3" t="n">
        <v>3</v>
      </c>
      <c r="J807" s="3" t="n">
        <v>4</v>
      </c>
      <c r="K807" s="3" t="n">
        <v>2</v>
      </c>
      <c r="L807" s="3" t="n">
        <v>1</v>
      </c>
      <c r="M807" s="3" t="n">
        <v>1</v>
      </c>
      <c r="N807" s="3" t="s">
        <v>19</v>
      </c>
    </row>
    <row r="808" customFormat="false" ht="15" hidden="false" customHeight="false" outlineLevel="0" collapsed="false">
      <c r="A808" s="3" t="s">
        <v>838</v>
      </c>
      <c r="B808" s="3" t="n">
        <v>42</v>
      </c>
      <c r="C808" s="3" t="s">
        <v>26</v>
      </c>
      <c r="D808" s="3" t="s">
        <v>23</v>
      </c>
      <c r="E808" s="3" t="s">
        <v>28</v>
      </c>
      <c r="F808" s="3" t="n">
        <v>2.5</v>
      </c>
      <c r="G808" s="3" t="n">
        <v>4585.63</v>
      </c>
      <c r="H808" s="3" t="s">
        <v>20</v>
      </c>
      <c r="I808" s="3" t="n">
        <v>3</v>
      </c>
      <c r="J808" s="3" t="n">
        <v>1</v>
      </c>
      <c r="K808" s="3" t="n">
        <v>7</v>
      </c>
      <c r="L808" s="3" t="n">
        <v>0</v>
      </c>
      <c r="M808" s="3" t="n">
        <v>5</v>
      </c>
      <c r="N808" s="3" t="s">
        <v>19</v>
      </c>
    </row>
    <row r="809" customFormat="false" ht="15" hidden="false" customHeight="false" outlineLevel="0" collapsed="false">
      <c r="A809" s="3" t="s">
        <v>839</v>
      </c>
      <c r="B809" s="3" t="n">
        <v>40</v>
      </c>
      <c r="C809" s="3" t="s">
        <v>16</v>
      </c>
      <c r="D809" s="3" t="s">
        <v>23</v>
      </c>
      <c r="E809" s="3" t="s">
        <v>28</v>
      </c>
      <c r="F809" s="3" t="n">
        <v>15.5</v>
      </c>
      <c r="G809" s="3" t="n">
        <v>4432.05</v>
      </c>
      <c r="H809" s="3" t="s">
        <v>19</v>
      </c>
      <c r="I809" s="3" t="n">
        <v>4</v>
      </c>
      <c r="J809" s="3" t="n">
        <v>4</v>
      </c>
      <c r="K809" s="3" t="n">
        <v>9</v>
      </c>
      <c r="L809" s="3" t="n">
        <v>2</v>
      </c>
      <c r="M809" s="3" t="n">
        <v>2</v>
      </c>
      <c r="N809" s="3" t="s">
        <v>19</v>
      </c>
    </row>
    <row r="810" customFormat="false" ht="15" hidden="false" customHeight="false" outlineLevel="0" collapsed="false">
      <c r="A810" s="3" t="s">
        <v>840</v>
      </c>
      <c r="B810" s="3" t="n">
        <v>39</v>
      </c>
      <c r="C810" s="3" t="s">
        <v>26</v>
      </c>
      <c r="D810" s="3" t="s">
        <v>17</v>
      </c>
      <c r="E810" s="3" t="s">
        <v>24</v>
      </c>
      <c r="F810" s="3" t="n">
        <v>0.7</v>
      </c>
      <c r="G810" s="3" t="n">
        <v>3568.61</v>
      </c>
      <c r="H810" s="3" t="s">
        <v>20</v>
      </c>
      <c r="I810" s="3" t="n">
        <v>2</v>
      </c>
      <c r="J810" s="3" t="n">
        <v>4</v>
      </c>
      <c r="K810" s="3" t="n">
        <v>16</v>
      </c>
      <c r="L810" s="3" t="n">
        <v>0</v>
      </c>
      <c r="M810" s="3" t="n">
        <v>0</v>
      </c>
      <c r="N810" s="3" t="s">
        <v>19</v>
      </c>
    </row>
    <row r="811" customFormat="false" ht="15" hidden="false" customHeight="false" outlineLevel="0" collapsed="false">
      <c r="A811" s="3" t="s">
        <v>841</v>
      </c>
      <c r="B811" s="3" t="n">
        <v>37</v>
      </c>
      <c r="C811" s="3" t="s">
        <v>22</v>
      </c>
      <c r="D811" s="3" t="s">
        <v>17</v>
      </c>
      <c r="E811" s="3" t="s">
        <v>28</v>
      </c>
      <c r="F811" s="3" t="n">
        <v>9.2</v>
      </c>
      <c r="G811" s="3" t="n">
        <v>3243.14</v>
      </c>
      <c r="H811" s="3" t="s">
        <v>20</v>
      </c>
      <c r="I811" s="3" t="n">
        <v>3</v>
      </c>
      <c r="J811" s="3" t="n">
        <v>1</v>
      </c>
      <c r="K811" s="3" t="n">
        <v>1</v>
      </c>
      <c r="L811" s="3" t="n">
        <v>4</v>
      </c>
      <c r="M811" s="3" t="n">
        <v>2</v>
      </c>
      <c r="N811" s="3" t="s">
        <v>19</v>
      </c>
    </row>
    <row r="812" customFormat="false" ht="15" hidden="false" customHeight="false" outlineLevel="0" collapsed="false">
      <c r="A812" s="3" t="s">
        <v>842</v>
      </c>
      <c r="B812" s="3" t="n">
        <v>29</v>
      </c>
      <c r="C812" s="3" t="s">
        <v>26</v>
      </c>
      <c r="D812" s="3" t="s">
        <v>17</v>
      </c>
      <c r="E812" s="3" t="s">
        <v>18</v>
      </c>
      <c r="F812" s="3" t="n">
        <v>0.3</v>
      </c>
      <c r="G812" s="3" t="n">
        <v>3118.79</v>
      </c>
      <c r="H812" s="3" t="s">
        <v>19</v>
      </c>
      <c r="I812" s="3" t="n">
        <v>2</v>
      </c>
      <c r="J812" s="3" t="n">
        <v>2</v>
      </c>
      <c r="K812" s="3" t="n">
        <v>2</v>
      </c>
      <c r="L812" s="3" t="n">
        <v>0</v>
      </c>
      <c r="M812" s="3" t="n">
        <v>1</v>
      </c>
      <c r="N812" s="3" t="s">
        <v>19</v>
      </c>
    </row>
    <row r="813" customFormat="false" ht="15" hidden="false" customHeight="false" outlineLevel="0" collapsed="false">
      <c r="A813" s="3" t="s">
        <v>843</v>
      </c>
      <c r="B813" s="3" t="n">
        <v>31</v>
      </c>
      <c r="C813" s="3" t="s">
        <v>22</v>
      </c>
      <c r="D813" s="3" t="s">
        <v>17</v>
      </c>
      <c r="E813" s="3" t="s">
        <v>18</v>
      </c>
      <c r="F813" s="3" t="n">
        <v>5.9</v>
      </c>
      <c r="G813" s="3" t="n">
        <v>3447.31</v>
      </c>
      <c r="H813" s="3" t="s">
        <v>19</v>
      </c>
      <c r="I813" s="3" t="n">
        <v>3</v>
      </c>
      <c r="J813" s="3" t="n">
        <v>3</v>
      </c>
      <c r="K813" s="3" t="n">
        <v>1</v>
      </c>
      <c r="L813" s="3" t="n">
        <v>4</v>
      </c>
      <c r="M813" s="3" t="n">
        <v>1</v>
      </c>
      <c r="N813" s="3" t="s">
        <v>19</v>
      </c>
    </row>
    <row r="814" customFormat="false" ht="15" hidden="false" customHeight="false" outlineLevel="0" collapsed="false">
      <c r="A814" s="3" t="s">
        <v>844</v>
      </c>
      <c r="B814" s="3" t="n">
        <v>35</v>
      </c>
      <c r="C814" s="3" t="s">
        <v>22</v>
      </c>
      <c r="D814" s="3" t="s">
        <v>17</v>
      </c>
      <c r="E814" s="3" t="s">
        <v>28</v>
      </c>
      <c r="F814" s="3" t="n">
        <v>0.5</v>
      </c>
      <c r="G814" s="3" t="n">
        <v>3698.15</v>
      </c>
      <c r="H814" s="3" t="s">
        <v>20</v>
      </c>
      <c r="I814" s="3" t="n">
        <v>4</v>
      </c>
      <c r="J814" s="3" t="n">
        <v>3</v>
      </c>
      <c r="K814" s="3" t="n">
        <v>12</v>
      </c>
      <c r="L814" s="3" t="n">
        <v>0</v>
      </c>
      <c r="M814" s="3" t="n">
        <v>6</v>
      </c>
      <c r="N814" s="3" t="s">
        <v>19</v>
      </c>
    </row>
    <row r="815" customFormat="false" ht="15" hidden="false" customHeight="false" outlineLevel="0" collapsed="false">
      <c r="A815" s="3" t="s">
        <v>845</v>
      </c>
      <c r="B815" s="3" t="n">
        <v>45</v>
      </c>
      <c r="C815" s="3" t="s">
        <v>45</v>
      </c>
      <c r="D815" s="3" t="s">
        <v>23</v>
      </c>
      <c r="E815" s="3" t="s">
        <v>41</v>
      </c>
      <c r="F815" s="3" t="n">
        <v>2.8</v>
      </c>
      <c r="G815" s="3" t="n">
        <v>5743.78</v>
      </c>
      <c r="H815" s="3" t="s">
        <v>19</v>
      </c>
      <c r="I815" s="3" t="n">
        <v>3</v>
      </c>
      <c r="J815" s="3" t="n">
        <v>4</v>
      </c>
      <c r="K815" s="3" t="n">
        <v>24</v>
      </c>
      <c r="L815" s="3" t="n">
        <v>2</v>
      </c>
      <c r="M815" s="3" t="n">
        <v>1</v>
      </c>
      <c r="N815" s="3" t="s">
        <v>19</v>
      </c>
    </row>
    <row r="816" customFormat="false" ht="15" hidden="false" customHeight="false" outlineLevel="0" collapsed="false">
      <c r="A816" s="3" t="s">
        <v>846</v>
      </c>
      <c r="B816" s="3" t="n">
        <v>53</v>
      </c>
      <c r="C816" s="3" t="s">
        <v>22</v>
      </c>
      <c r="D816" s="3" t="s">
        <v>17</v>
      </c>
      <c r="E816" s="3" t="s">
        <v>41</v>
      </c>
      <c r="F816" s="3" t="n">
        <v>1.3</v>
      </c>
      <c r="G816" s="3" t="n">
        <v>3046.92</v>
      </c>
      <c r="H816" s="3" t="s">
        <v>19</v>
      </c>
      <c r="I816" s="3" t="n">
        <v>1</v>
      </c>
      <c r="J816" s="3" t="n">
        <v>3</v>
      </c>
      <c r="K816" s="3" t="n">
        <v>4</v>
      </c>
      <c r="L816" s="3" t="n">
        <v>0</v>
      </c>
      <c r="M816" s="3" t="n">
        <v>0</v>
      </c>
      <c r="N816" s="3" t="s">
        <v>20</v>
      </c>
    </row>
    <row r="817" customFormat="false" ht="15" hidden="false" customHeight="false" outlineLevel="0" collapsed="false">
      <c r="A817" s="3" t="s">
        <v>847</v>
      </c>
      <c r="B817" s="3" t="n">
        <v>28</v>
      </c>
      <c r="C817" s="3" t="s">
        <v>22</v>
      </c>
      <c r="D817" s="3" t="s">
        <v>23</v>
      </c>
      <c r="E817" s="3" t="s">
        <v>24</v>
      </c>
      <c r="F817" s="3" t="n">
        <v>0.3</v>
      </c>
      <c r="G817" s="3" t="n">
        <v>4530.68</v>
      </c>
      <c r="H817" s="3" t="s">
        <v>19</v>
      </c>
      <c r="I817" s="3" t="n">
        <v>4</v>
      </c>
      <c r="J817" s="3" t="n">
        <v>3</v>
      </c>
      <c r="K817" s="3" t="n">
        <v>5</v>
      </c>
      <c r="L817" s="3" t="n">
        <v>0</v>
      </c>
      <c r="M817" s="3" t="n">
        <v>2</v>
      </c>
      <c r="N817" s="3" t="s">
        <v>19</v>
      </c>
    </row>
    <row r="818" customFormat="false" ht="15" hidden="false" customHeight="false" outlineLevel="0" collapsed="false">
      <c r="A818" s="3" t="s">
        <v>848</v>
      </c>
      <c r="B818" s="3" t="n">
        <v>36</v>
      </c>
      <c r="C818" s="3" t="s">
        <v>22</v>
      </c>
      <c r="D818" s="3" t="s">
        <v>27</v>
      </c>
      <c r="E818" s="3" t="s">
        <v>28</v>
      </c>
      <c r="F818" s="3" t="n">
        <v>3.6</v>
      </c>
      <c r="G818" s="3" t="n">
        <v>7523.91</v>
      </c>
      <c r="H818" s="3" t="s">
        <v>20</v>
      </c>
      <c r="I818" s="3" t="n">
        <v>4</v>
      </c>
      <c r="J818" s="3" t="n">
        <v>2</v>
      </c>
      <c r="K818" s="3" t="n">
        <v>6</v>
      </c>
      <c r="L818" s="3" t="n">
        <v>0</v>
      </c>
      <c r="M818" s="3" t="n">
        <v>1</v>
      </c>
      <c r="N818" s="3" t="s">
        <v>19</v>
      </c>
    </row>
    <row r="819" customFormat="false" ht="15" hidden="false" customHeight="false" outlineLevel="0" collapsed="false">
      <c r="A819" s="3" t="s">
        <v>849</v>
      </c>
      <c r="B819" s="3" t="n">
        <v>33</v>
      </c>
      <c r="C819" s="3" t="s">
        <v>16</v>
      </c>
      <c r="D819" s="3" t="s">
        <v>27</v>
      </c>
      <c r="E819" s="3" t="s">
        <v>41</v>
      </c>
      <c r="F819" s="3" t="n">
        <v>3.1</v>
      </c>
      <c r="G819" s="4"/>
      <c r="H819" s="3" t="s">
        <v>20</v>
      </c>
      <c r="I819" s="3" t="n">
        <v>4</v>
      </c>
      <c r="J819" s="3" t="n">
        <v>3</v>
      </c>
      <c r="K819" s="3" t="n">
        <v>12</v>
      </c>
      <c r="L819" s="3" t="n">
        <v>2</v>
      </c>
      <c r="M819" s="3" t="n">
        <v>1</v>
      </c>
      <c r="N819" s="3" t="s">
        <v>19</v>
      </c>
    </row>
    <row r="820" customFormat="false" ht="15" hidden="false" customHeight="false" outlineLevel="0" collapsed="false">
      <c r="A820" s="3" t="s">
        <v>850</v>
      </c>
      <c r="B820" s="3" t="n">
        <v>45</v>
      </c>
      <c r="C820" s="3" t="s">
        <v>32</v>
      </c>
      <c r="D820" s="3" t="s">
        <v>17</v>
      </c>
      <c r="E820" s="3" t="s">
        <v>28</v>
      </c>
      <c r="F820" s="3" t="n">
        <v>1.3</v>
      </c>
      <c r="G820" s="3" t="n">
        <v>3623.44</v>
      </c>
      <c r="H820" s="3" t="s">
        <v>19</v>
      </c>
      <c r="I820" s="3" t="n">
        <v>1</v>
      </c>
      <c r="J820" s="3" t="n">
        <v>2</v>
      </c>
      <c r="K820" s="3" t="n">
        <v>8</v>
      </c>
      <c r="L820" s="3" t="n">
        <v>1</v>
      </c>
      <c r="M820" s="3" t="n">
        <v>2</v>
      </c>
      <c r="N820" s="3" t="s">
        <v>20</v>
      </c>
    </row>
    <row r="821" customFormat="false" ht="15" hidden="false" customHeight="false" outlineLevel="0" collapsed="false">
      <c r="A821" s="3" t="s">
        <v>851</v>
      </c>
      <c r="B821" s="3" t="n">
        <v>31</v>
      </c>
      <c r="C821" s="3" t="s">
        <v>26</v>
      </c>
      <c r="D821" s="3" t="s">
        <v>23</v>
      </c>
      <c r="E821" s="3" t="s">
        <v>41</v>
      </c>
      <c r="F821" s="3" t="n">
        <v>0.6</v>
      </c>
      <c r="G821" s="3" t="n">
        <v>5506.23</v>
      </c>
      <c r="H821" s="3" t="s">
        <v>19</v>
      </c>
      <c r="I821" s="3" t="n">
        <v>3</v>
      </c>
      <c r="J821" s="3" t="n">
        <v>4</v>
      </c>
      <c r="K821" s="3" t="n">
        <v>28</v>
      </c>
      <c r="L821" s="3" t="n">
        <v>0</v>
      </c>
      <c r="M821" s="3" t="n">
        <v>3</v>
      </c>
      <c r="N821" s="3" t="s">
        <v>19</v>
      </c>
    </row>
    <row r="822" customFormat="false" ht="15" hidden="false" customHeight="false" outlineLevel="0" collapsed="false">
      <c r="A822" s="3" t="s">
        <v>852</v>
      </c>
      <c r="B822" s="3" t="n">
        <v>26</v>
      </c>
      <c r="C822" s="3" t="s">
        <v>32</v>
      </c>
      <c r="D822" s="3" t="s">
        <v>17</v>
      </c>
      <c r="E822" s="3" t="s">
        <v>24</v>
      </c>
      <c r="F822" s="3" t="n">
        <v>5</v>
      </c>
      <c r="G822" s="3" t="n">
        <v>3447.14</v>
      </c>
      <c r="H822" s="3" t="s">
        <v>20</v>
      </c>
      <c r="I822" s="3" t="n">
        <v>2</v>
      </c>
      <c r="J822" s="3" t="n">
        <v>3</v>
      </c>
      <c r="K822" s="3" t="n">
        <v>3</v>
      </c>
      <c r="L822" s="3" t="n">
        <v>0</v>
      </c>
      <c r="M822" s="3" t="n">
        <v>0</v>
      </c>
      <c r="N822" s="3" t="s">
        <v>19</v>
      </c>
    </row>
    <row r="823" customFormat="false" ht="15" hidden="false" customHeight="false" outlineLevel="0" collapsed="false">
      <c r="A823" s="3" t="s">
        <v>853</v>
      </c>
      <c r="B823" s="3" t="n">
        <v>41</v>
      </c>
      <c r="C823" s="3" t="s">
        <v>22</v>
      </c>
      <c r="D823" s="3" t="s">
        <v>23</v>
      </c>
      <c r="E823" s="3" t="s">
        <v>18</v>
      </c>
      <c r="F823" s="3" t="n">
        <v>5.2</v>
      </c>
      <c r="G823" s="3" t="n">
        <v>5710.63</v>
      </c>
      <c r="H823" s="3" t="s">
        <v>20</v>
      </c>
      <c r="I823" s="3" t="n">
        <v>2</v>
      </c>
      <c r="J823" s="3" t="n">
        <v>2</v>
      </c>
      <c r="K823" s="3" t="n">
        <v>6</v>
      </c>
      <c r="L823" s="3" t="n">
        <v>0</v>
      </c>
      <c r="M823" s="3" t="n">
        <v>1</v>
      </c>
      <c r="N823" s="3" t="s">
        <v>19</v>
      </c>
    </row>
    <row r="824" customFormat="false" ht="15" hidden="false" customHeight="false" outlineLevel="0" collapsed="false">
      <c r="A824" s="3" t="s">
        <v>854</v>
      </c>
      <c r="B824" s="3" t="n">
        <v>34</v>
      </c>
      <c r="C824" s="3" t="s">
        <v>22</v>
      </c>
      <c r="D824" s="3" t="s">
        <v>17</v>
      </c>
      <c r="E824" s="3" t="s">
        <v>28</v>
      </c>
      <c r="F824" s="3" t="n">
        <v>2.2</v>
      </c>
      <c r="G824" s="3" t="n">
        <v>3235.27</v>
      </c>
      <c r="H824" s="3" t="s">
        <v>19</v>
      </c>
      <c r="I824" s="3" t="n">
        <v>3</v>
      </c>
      <c r="J824" s="3" t="n">
        <v>4</v>
      </c>
      <c r="K824" s="3" t="n">
        <v>10</v>
      </c>
      <c r="L824" s="3" t="n">
        <v>2</v>
      </c>
      <c r="M824" s="3" t="n">
        <v>2</v>
      </c>
      <c r="N824" s="3" t="s">
        <v>19</v>
      </c>
    </row>
    <row r="825" customFormat="false" ht="15" hidden="false" customHeight="false" outlineLevel="0" collapsed="false">
      <c r="A825" s="3" t="s">
        <v>855</v>
      </c>
      <c r="B825" s="3" t="n">
        <v>35</v>
      </c>
      <c r="C825" s="3" t="s">
        <v>22</v>
      </c>
      <c r="D825" s="3" t="s">
        <v>17</v>
      </c>
      <c r="E825" s="3" t="s">
        <v>18</v>
      </c>
      <c r="F825" s="3" t="n">
        <v>0.6</v>
      </c>
      <c r="G825" s="3" t="n">
        <v>3495.75</v>
      </c>
      <c r="H825" s="3" t="s">
        <v>19</v>
      </c>
      <c r="I825" s="3" t="n">
        <v>4</v>
      </c>
      <c r="J825" s="3" t="n">
        <v>2</v>
      </c>
      <c r="K825" s="3" t="n">
        <v>18</v>
      </c>
      <c r="L825" s="3" t="n">
        <v>0</v>
      </c>
      <c r="M825" s="3" t="n">
        <v>2</v>
      </c>
      <c r="N825" s="3" t="s">
        <v>20</v>
      </c>
    </row>
    <row r="826" customFormat="false" ht="15" hidden="false" customHeight="false" outlineLevel="0" collapsed="false">
      <c r="A826" s="3" t="s">
        <v>856</v>
      </c>
      <c r="B826" s="3" t="n">
        <v>35</v>
      </c>
      <c r="C826" s="3" t="s">
        <v>22</v>
      </c>
      <c r="D826" s="3" t="s">
        <v>23</v>
      </c>
      <c r="E826" s="3" t="s">
        <v>24</v>
      </c>
      <c r="F826" s="3" t="n">
        <v>0.2</v>
      </c>
      <c r="G826" s="3" t="n">
        <v>4768.26</v>
      </c>
      <c r="H826" s="3" t="s">
        <v>19</v>
      </c>
      <c r="I826" s="3" t="n">
        <v>2</v>
      </c>
      <c r="J826" s="3" t="n">
        <v>1</v>
      </c>
      <c r="K826" s="3" t="n">
        <v>1</v>
      </c>
      <c r="L826" s="3" t="n">
        <v>0</v>
      </c>
      <c r="M826" s="3" t="n">
        <v>0</v>
      </c>
      <c r="N826" s="3" t="s">
        <v>19</v>
      </c>
    </row>
    <row r="827" customFormat="false" ht="15" hidden="false" customHeight="false" outlineLevel="0" collapsed="false">
      <c r="A827" s="3" t="s">
        <v>857</v>
      </c>
      <c r="B827" s="3" t="n">
        <v>32</v>
      </c>
      <c r="C827" s="3" t="s">
        <v>16</v>
      </c>
      <c r="D827" s="3" t="s">
        <v>23</v>
      </c>
      <c r="E827" s="3" t="s">
        <v>18</v>
      </c>
      <c r="F827" s="3" t="n">
        <v>4.8</v>
      </c>
      <c r="G827" s="3" t="n">
        <v>4365.77</v>
      </c>
      <c r="H827" s="3" t="s">
        <v>20</v>
      </c>
      <c r="I827" s="3" t="n">
        <v>3</v>
      </c>
      <c r="J827" s="3" t="n">
        <v>2</v>
      </c>
      <c r="K827" s="3" t="n">
        <v>7</v>
      </c>
      <c r="L827" s="3" t="n">
        <v>0</v>
      </c>
      <c r="M827" s="3" t="n">
        <v>2</v>
      </c>
      <c r="N827" s="3" t="s">
        <v>20</v>
      </c>
    </row>
    <row r="828" customFormat="false" ht="15" hidden="false" customHeight="false" outlineLevel="0" collapsed="false">
      <c r="A828" s="3" t="s">
        <v>858</v>
      </c>
      <c r="B828" s="3" t="n">
        <v>21</v>
      </c>
      <c r="C828" s="3" t="s">
        <v>22</v>
      </c>
      <c r="D828" s="3" t="s">
        <v>48</v>
      </c>
      <c r="E828" s="3" t="s">
        <v>41</v>
      </c>
      <c r="F828" s="3" t="n">
        <v>0</v>
      </c>
      <c r="G828" s="3" t="n">
        <v>11097.3</v>
      </c>
      <c r="H828" s="3" t="s">
        <v>19</v>
      </c>
      <c r="I828" s="3" t="n">
        <v>2</v>
      </c>
      <c r="J828" s="3" t="n">
        <v>2</v>
      </c>
      <c r="K828" s="3" t="n">
        <v>15</v>
      </c>
      <c r="L828" s="3" t="n">
        <v>0</v>
      </c>
      <c r="M828" s="3" t="n">
        <v>3</v>
      </c>
      <c r="N828" s="3" t="s">
        <v>20</v>
      </c>
    </row>
    <row r="829" customFormat="false" ht="15" hidden="false" customHeight="false" outlineLevel="0" collapsed="false">
      <c r="A829" s="3" t="s">
        <v>859</v>
      </c>
      <c r="B829" s="3" t="n">
        <v>36</v>
      </c>
      <c r="C829" s="3" t="s">
        <v>22</v>
      </c>
      <c r="D829" s="3" t="s">
        <v>27</v>
      </c>
      <c r="E829" s="3" t="s">
        <v>24</v>
      </c>
      <c r="F829" s="3" t="n">
        <v>0.5</v>
      </c>
      <c r="G829" s="3" t="n">
        <v>7756.81</v>
      </c>
      <c r="H829" s="3" t="s">
        <v>19</v>
      </c>
      <c r="I829" s="3" t="n">
        <v>1</v>
      </c>
      <c r="J829" s="3" t="n">
        <v>2</v>
      </c>
      <c r="K829" s="3" t="n">
        <v>1</v>
      </c>
      <c r="L829" s="3" t="n">
        <v>0</v>
      </c>
      <c r="M829" s="3" t="n">
        <v>0</v>
      </c>
      <c r="N829" s="3" t="s">
        <v>20</v>
      </c>
    </row>
    <row r="830" customFormat="false" ht="15" hidden="false" customHeight="false" outlineLevel="0" collapsed="false">
      <c r="A830" s="3" t="s">
        <v>860</v>
      </c>
      <c r="B830" s="3" t="n">
        <v>39</v>
      </c>
      <c r="C830" s="3" t="s">
        <v>22</v>
      </c>
      <c r="D830" s="3" t="s">
        <v>23</v>
      </c>
      <c r="E830" s="3" t="s">
        <v>41</v>
      </c>
      <c r="F830" s="3" t="n">
        <v>1.2</v>
      </c>
      <c r="G830" s="3" t="n">
        <v>4228.38</v>
      </c>
      <c r="H830" s="3" t="s">
        <v>20</v>
      </c>
      <c r="I830" s="3" t="n">
        <v>3</v>
      </c>
      <c r="J830" s="3" t="n">
        <v>1</v>
      </c>
      <c r="K830" s="3" t="n">
        <v>17</v>
      </c>
      <c r="L830" s="3" t="n">
        <v>1</v>
      </c>
      <c r="M830" s="3" t="n">
        <v>1</v>
      </c>
      <c r="N830" s="3" t="s">
        <v>19</v>
      </c>
    </row>
    <row r="831" customFormat="false" ht="15" hidden="false" customHeight="false" outlineLevel="0" collapsed="false">
      <c r="A831" s="3" t="s">
        <v>861</v>
      </c>
      <c r="B831" s="3" t="n">
        <v>27</v>
      </c>
      <c r="C831" s="3" t="s">
        <v>26</v>
      </c>
      <c r="D831" s="3" t="s">
        <v>27</v>
      </c>
      <c r="E831" s="3" t="s">
        <v>24</v>
      </c>
      <c r="F831" s="3" t="n">
        <v>2.4</v>
      </c>
      <c r="G831" s="3" t="n">
        <v>6251.68</v>
      </c>
      <c r="H831" s="3" t="s">
        <v>19</v>
      </c>
      <c r="I831" s="3" t="n">
        <v>3</v>
      </c>
      <c r="J831" s="3" t="n">
        <v>3</v>
      </c>
      <c r="K831" s="3" t="n">
        <v>1</v>
      </c>
      <c r="L831" s="3" t="n">
        <v>2</v>
      </c>
      <c r="M831" s="3" t="n">
        <v>2</v>
      </c>
      <c r="N831" s="3" t="s">
        <v>20</v>
      </c>
    </row>
    <row r="832" customFormat="false" ht="15" hidden="false" customHeight="false" outlineLevel="0" collapsed="false">
      <c r="A832" s="3" t="s">
        <v>862</v>
      </c>
      <c r="B832" s="3" t="n">
        <v>41</v>
      </c>
      <c r="C832" s="3" t="s">
        <v>22</v>
      </c>
      <c r="D832" s="3" t="s">
        <v>27</v>
      </c>
      <c r="E832" s="3" t="s">
        <v>24</v>
      </c>
      <c r="F832" s="3" t="n">
        <v>1.7</v>
      </c>
      <c r="G832" s="3" t="n">
        <v>8252.95</v>
      </c>
      <c r="H832" s="3" t="s">
        <v>19</v>
      </c>
      <c r="I832" s="3" t="n">
        <v>3</v>
      </c>
      <c r="J832" s="3" t="n">
        <v>3</v>
      </c>
      <c r="K832" s="3" t="n">
        <v>4</v>
      </c>
      <c r="L832" s="3" t="n">
        <v>1</v>
      </c>
      <c r="M832" s="3" t="n">
        <v>0</v>
      </c>
      <c r="N832" s="3" t="s">
        <v>19</v>
      </c>
    </row>
    <row r="833" customFormat="false" ht="15" hidden="false" customHeight="false" outlineLevel="0" collapsed="false">
      <c r="A833" s="3" t="s">
        <v>863</v>
      </c>
      <c r="B833" s="3" t="n">
        <v>38</v>
      </c>
      <c r="C833" s="3" t="s">
        <v>26</v>
      </c>
      <c r="D833" s="3" t="s">
        <v>48</v>
      </c>
      <c r="E833" s="3" t="s">
        <v>24</v>
      </c>
      <c r="F833" s="3" t="n">
        <v>2.5</v>
      </c>
      <c r="G833" s="3" t="n">
        <v>8474.52</v>
      </c>
      <c r="H833" s="3" t="s">
        <v>20</v>
      </c>
      <c r="I833" s="3" t="n">
        <v>4</v>
      </c>
      <c r="J833" s="3" t="n">
        <v>3</v>
      </c>
      <c r="K833" s="3" t="n">
        <v>13</v>
      </c>
      <c r="L833" s="3" t="n">
        <v>2</v>
      </c>
      <c r="M833" s="3" t="n">
        <v>2</v>
      </c>
      <c r="N833" s="3" t="s">
        <v>19</v>
      </c>
    </row>
    <row r="834" customFormat="false" ht="15" hidden="false" customHeight="false" outlineLevel="0" collapsed="false">
      <c r="A834" s="3" t="s">
        <v>864</v>
      </c>
      <c r="B834" s="3" t="n">
        <v>38</v>
      </c>
      <c r="C834" s="3" t="s">
        <v>26</v>
      </c>
      <c r="D834" s="3" t="s">
        <v>17</v>
      </c>
      <c r="E834" s="3" t="s">
        <v>18</v>
      </c>
      <c r="F834" s="3" t="n">
        <v>1</v>
      </c>
      <c r="G834" s="3" t="n">
        <v>2777.84</v>
      </c>
      <c r="H834" s="3" t="s">
        <v>20</v>
      </c>
      <c r="I834" s="3" t="n">
        <v>3</v>
      </c>
      <c r="J834" s="3" t="n">
        <v>3</v>
      </c>
      <c r="K834" s="3" t="n">
        <v>1</v>
      </c>
      <c r="L834" s="3" t="n">
        <v>1</v>
      </c>
      <c r="M834" s="3" t="n">
        <v>2</v>
      </c>
      <c r="N834" s="3" t="s">
        <v>19</v>
      </c>
    </row>
    <row r="835" customFormat="false" ht="15" hidden="false" customHeight="false" outlineLevel="0" collapsed="false">
      <c r="A835" s="3" t="s">
        <v>865</v>
      </c>
      <c r="B835" s="3" t="n">
        <v>28</v>
      </c>
      <c r="C835" s="3" t="s">
        <v>22</v>
      </c>
      <c r="D835" s="3" t="s">
        <v>23</v>
      </c>
      <c r="E835" s="3" t="s">
        <v>28</v>
      </c>
      <c r="F835" s="3" t="n">
        <v>0.9</v>
      </c>
      <c r="G835" s="3" t="n">
        <v>4293.93</v>
      </c>
      <c r="H835" s="3" t="s">
        <v>19</v>
      </c>
      <c r="I835" s="3" t="n">
        <v>1</v>
      </c>
      <c r="J835" s="3" t="n">
        <v>4</v>
      </c>
      <c r="K835" s="3" t="n">
        <v>2</v>
      </c>
      <c r="L835" s="3" t="n">
        <v>0</v>
      </c>
      <c r="M835" s="3" t="n">
        <v>1</v>
      </c>
      <c r="N835" s="3" t="s">
        <v>19</v>
      </c>
    </row>
    <row r="836" customFormat="false" ht="15" hidden="false" customHeight="false" outlineLevel="0" collapsed="false">
      <c r="A836" s="3" t="s">
        <v>866</v>
      </c>
      <c r="B836" s="3" t="n">
        <v>36</v>
      </c>
      <c r="C836" s="3" t="s">
        <v>16</v>
      </c>
      <c r="D836" s="3" t="s">
        <v>17</v>
      </c>
      <c r="E836" s="3" t="s">
        <v>28</v>
      </c>
      <c r="F836" s="3" t="n">
        <v>0.3</v>
      </c>
      <c r="G836" s="3" t="n">
        <v>2774.05</v>
      </c>
      <c r="H836" s="3" t="s">
        <v>19</v>
      </c>
      <c r="I836" s="3" t="n">
        <v>3</v>
      </c>
      <c r="J836" s="3" t="n">
        <v>3</v>
      </c>
      <c r="K836" s="3" t="n">
        <v>12</v>
      </c>
      <c r="L836" s="3" t="n">
        <v>0</v>
      </c>
      <c r="M836" s="3" t="n">
        <v>3</v>
      </c>
      <c r="N836" s="3" t="s">
        <v>19</v>
      </c>
    </row>
    <row r="837" customFormat="false" ht="15" hidden="false" customHeight="false" outlineLevel="0" collapsed="false">
      <c r="A837" s="3" t="s">
        <v>867</v>
      </c>
      <c r="B837" s="3" t="n">
        <v>36</v>
      </c>
      <c r="C837" s="3" t="s">
        <v>22</v>
      </c>
      <c r="D837" s="3" t="s">
        <v>27</v>
      </c>
      <c r="E837" s="3" t="s">
        <v>24</v>
      </c>
      <c r="F837" s="3" t="n">
        <v>2.2</v>
      </c>
      <c r="G837" s="3" t="n">
        <v>7158.89</v>
      </c>
      <c r="H837" s="3" t="s">
        <v>20</v>
      </c>
      <c r="I837" s="3" t="n">
        <v>2</v>
      </c>
      <c r="J837" s="3" t="n">
        <v>3</v>
      </c>
      <c r="K837" s="3" t="n">
        <v>19</v>
      </c>
      <c r="L837" s="3" t="n">
        <v>0</v>
      </c>
      <c r="M837" s="3" t="n">
        <v>1</v>
      </c>
      <c r="N837" s="3" t="s">
        <v>19</v>
      </c>
    </row>
    <row r="838" customFormat="false" ht="15" hidden="false" customHeight="false" outlineLevel="0" collapsed="false">
      <c r="A838" s="3" t="s">
        <v>868</v>
      </c>
      <c r="B838" s="3" t="n">
        <v>31</v>
      </c>
      <c r="C838" s="3" t="s">
        <v>45</v>
      </c>
      <c r="D838" s="3" t="s">
        <v>17</v>
      </c>
      <c r="E838" s="3" t="s">
        <v>28</v>
      </c>
      <c r="F838" s="3" t="n">
        <v>8.3</v>
      </c>
      <c r="G838" s="3" t="n">
        <v>2975.38</v>
      </c>
      <c r="H838" s="3" t="s">
        <v>19</v>
      </c>
      <c r="I838" s="3" t="n">
        <v>2</v>
      </c>
      <c r="J838" s="3" t="n">
        <v>1</v>
      </c>
      <c r="K838" s="3" t="n">
        <v>2</v>
      </c>
      <c r="L838" s="3" t="n">
        <v>2</v>
      </c>
      <c r="M838" s="3" t="n">
        <v>1</v>
      </c>
      <c r="N838" s="3" t="s">
        <v>19</v>
      </c>
    </row>
    <row r="839" customFormat="false" ht="15" hidden="false" customHeight="false" outlineLevel="0" collapsed="false">
      <c r="A839" s="3" t="s">
        <v>869</v>
      </c>
      <c r="B839" s="3" t="n">
        <v>31</v>
      </c>
      <c r="C839" s="3" t="s">
        <v>26</v>
      </c>
      <c r="D839" s="3" t="s">
        <v>23</v>
      </c>
      <c r="E839" s="3" t="s">
        <v>28</v>
      </c>
      <c r="F839" s="3" t="n">
        <v>0.6</v>
      </c>
      <c r="G839" s="3" t="n">
        <v>4524.54</v>
      </c>
      <c r="H839" s="3" t="s">
        <v>20</v>
      </c>
      <c r="I839" s="3" t="n">
        <v>3</v>
      </c>
      <c r="J839" s="3" t="n">
        <v>4</v>
      </c>
      <c r="K839" s="3" t="n">
        <v>22</v>
      </c>
      <c r="L839" s="3" t="n">
        <v>0</v>
      </c>
      <c r="M839" s="3" t="n">
        <v>2</v>
      </c>
      <c r="N839" s="3" t="s">
        <v>19</v>
      </c>
    </row>
    <row r="840" customFormat="false" ht="15" hidden="false" customHeight="false" outlineLevel="0" collapsed="false">
      <c r="A840" s="3" t="s">
        <v>870</v>
      </c>
      <c r="B840" s="3" t="n">
        <v>34</v>
      </c>
      <c r="C840" s="3" t="s">
        <v>16</v>
      </c>
      <c r="D840" s="3" t="s">
        <v>23</v>
      </c>
      <c r="E840" s="3" t="s">
        <v>24</v>
      </c>
      <c r="F840" s="3" t="n">
        <v>3.5</v>
      </c>
      <c r="G840" s="4"/>
      <c r="H840" s="3" t="s">
        <v>20</v>
      </c>
      <c r="I840" s="3" t="n">
        <v>1</v>
      </c>
      <c r="J840" s="3" t="n">
        <v>4</v>
      </c>
      <c r="K840" s="3" t="n">
        <v>5</v>
      </c>
      <c r="L840" s="3" t="n">
        <v>0</v>
      </c>
      <c r="M840" s="3" t="n">
        <v>2</v>
      </c>
      <c r="N840" s="3" t="s">
        <v>19</v>
      </c>
    </row>
    <row r="841" customFormat="false" ht="15" hidden="false" customHeight="false" outlineLevel="0" collapsed="false">
      <c r="A841" s="3" t="s">
        <v>871</v>
      </c>
      <c r="B841" s="3" t="n">
        <v>33</v>
      </c>
      <c r="C841" s="3" t="s">
        <v>32</v>
      </c>
      <c r="D841" s="3" t="s">
        <v>17</v>
      </c>
      <c r="E841" s="3" t="s">
        <v>18</v>
      </c>
      <c r="F841" s="3" t="n">
        <v>3</v>
      </c>
      <c r="G841" s="3" t="n">
        <v>3232</v>
      </c>
      <c r="H841" s="3" t="s">
        <v>20</v>
      </c>
      <c r="I841" s="3" t="n">
        <v>4</v>
      </c>
      <c r="J841" s="3" t="n">
        <v>1</v>
      </c>
      <c r="K841" s="3" t="n">
        <v>15</v>
      </c>
      <c r="L841" s="3" t="n">
        <v>1</v>
      </c>
      <c r="M841" s="3" t="n">
        <v>2</v>
      </c>
      <c r="N841" s="3" t="s">
        <v>20</v>
      </c>
    </row>
    <row r="842" customFormat="false" ht="15" hidden="false" customHeight="false" outlineLevel="0" collapsed="false">
      <c r="A842" s="3" t="s">
        <v>872</v>
      </c>
      <c r="B842" s="3" t="n">
        <v>29</v>
      </c>
      <c r="C842" s="3" t="s">
        <v>22</v>
      </c>
      <c r="D842" s="3" t="s">
        <v>23</v>
      </c>
      <c r="E842" s="3" t="s">
        <v>41</v>
      </c>
      <c r="F842" s="3" t="n">
        <v>1.3</v>
      </c>
      <c r="G842" s="3" t="n">
        <v>4425.06</v>
      </c>
      <c r="H842" s="3" t="s">
        <v>19</v>
      </c>
      <c r="I842" s="3" t="n">
        <v>2</v>
      </c>
      <c r="J842" s="3" t="n">
        <v>1</v>
      </c>
      <c r="K842" s="3" t="n">
        <v>3</v>
      </c>
      <c r="L842" s="3" t="n">
        <v>1</v>
      </c>
      <c r="M842" s="3" t="n">
        <v>3</v>
      </c>
      <c r="N842" s="3" t="s">
        <v>19</v>
      </c>
    </row>
    <row r="843" customFormat="false" ht="15" hidden="false" customHeight="false" outlineLevel="0" collapsed="false">
      <c r="A843" s="3" t="s">
        <v>873</v>
      </c>
      <c r="B843" s="3" t="n">
        <v>24</v>
      </c>
      <c r="C843" s="3" t="s">
        <v>24</v>
      </c>
      <c r="D843" s="3" t="s">
        <v>48</v>
      </c>
      <c r="E843" s="3" t="s">
        <v>41</v>
      </c>
      <c r="F843" s="3" t="n">
        <v>3</v>
      </c>
      <c r="G843" s="3" t="n">
        <v>8809.39</v>
      </c>
      <c r="H843" s="3" t="s">
        <v>19</v>
      </c>
      <c r="I843" s="3" t="n">
        <v>2</v>
      </c>
      <c r="J843" s="3" t="n">
        <v>4</v>
      </c>
      <c r="K843" s="3" t="n">
        <v>6</v>
      </c>
      <c r="L843" s="3" t="n">
        <v>0</v>
      </c>
      <c r="M843" s="3" t="n">
        <v>1</v>
      </c>
      <c r="N843" s="3" t="s">
        <v>19</v>
      </c>
    </row>
    <row r="844" customFormat="false" ht="15" hidden="false" customHeight="false" outlineLevel="0" collapsed="false">
      <c r="A844" s="3" t="s">
        <v>874</v>
      </c>
      <c r="B844" s="3" t="n">
        <v>33</v>
      </c>
      <c r="C844" s="3" t="s">
        <v>16</v>
      </c>
      <c r="D844" s="3" t="s">
        <v>27</v>
      </c>
      <c r="E844" s="3" t="s">
        <v>24</v>
      </c>
      <c r="F844" s="3" t="n">
        <v>4.1</v>
      </c>
      <c r="G844" s="3" t="n">
        <v>7903.67</v>
      </c>
      <c r="H844" s="3" t="s">
        <v>19</v>
      </c>
      <c r="I844" s="3" t="n">
        <v>4</v>
      </c>
      <c r="J844" s="3" t="n">
        <v>2</v>
      </c>
      <c r="K844" s="3" t="n">
        <v>1</v>
      </c>
      <c r="L844" s="3" t="n">
        <v>1</v>
      </c>
      <c r="M844" s="3" t="n">
        <v>0</v>
      </c>
      <c r="N844" s="3" t="s">
        <v>19</v>
      </c>
    </row>
    <row r="845" customFormat="false" ht="15" hidden="false" customHeight="false" outlineLevel="0" collapsed="false">
      <c r="A845" s="3" t="s">
        <v>875</v>
      </c>
      <c r="B845" s="3" t="n">
        <v>22</v>
      </c>
      <c r="C845" s="3" t="s">
        <v>26</v>
      </c>
      <c r="D845" s="3" t="s">
        <v>23</v>
      </c>
      <c r="E845" s="3" t="s">
        <v>28</v>
      </c>
      <c r="F845" s="3" t="n">
        <v>1</v>
      </c>
      <c r="G845" s="3" t="n">
        <v>4835.85</v>
      </c>
      <c r="H845" s="3" t="s">
        <v>19</v>
      </c>
      <c r="I845" s="3" t="n">
        <v>4</v>
      </c>
      <c r="J845" s="3" t="n">
        <v>3</v>
      </c>
      <c r="K845" s="3" t="n">
        <v>16</v>
      </c>
      <c r="L845" s="3" t="n">
        <v>1</v>
      </c>
      <c r="M845" s="3" t="n">
        <v>2</v>
      </c>
      <c r="N845" s="3" t="s">
        <v>20</v>
      </c>
    </row>
    <row r="846" customFormat="false" ht="15" hidden="false" customHeight="false" outlineLevel="0" collapsed="false">
      <c r="A846" s="3" t="s">
        <v>876</v>
      </c>
      <c r="B846" s="3" t="n">
        <v>37</v>
      </c>
      <c r="C846" s="3" t="s">
        <v>45</v>
      </c>
      <c r="D846" s="3" t="s">
        <v>17</v>
      </c>
      <c r="E846" s="3" t="s">
        <v>41</v>
      </c>
      <c r="F846" s="3" t="n">
        <v>0.1</v>
      </c>
      <c r="G846" s="3" t="n">
        <v>2795.31</v>
      </c>
      <c r="H846" s="3" t="s">
        <v>19</v>
      </c>
      <c r="I846" s="3" t="n">
        <v>4</v>
      </c>
      <c r="J846" s="3" t="n">
        <v>4</v>
      </c>
      <c r="K846" s="3" t="n">
        <v>34</v>
      </c>
      <c r="L846" s="3" t="n">
        <v>0</v>
      </c>
      <c r="M846" s="3" t="n">
        <v>3</v>
      </c>
      <c r="N846" s="3" t="s">
        <v>19</v>
      </c>
    </row>
    <row r="847" customFormat="false" ht="15" hidden="false" customHeight="false" outlineLevel="0" collapsed="false">
      <c r="A847" s="3" t="s">
        <v>877</v>
      </c>
      <c r="B847" s="3" t="n">
        <v>41</v>
      </c>
      <c r="C847" s="3" t="s">
        <v>26</v>
      </c>
      <c r="D847" s="3" t="s">
        <v>23</v>
      </c>
      <c r="E847" s="3" t="s">
        <v>18</v>
      </c>
      <c r="F847" s="3" t="n">
        <v>2.8</v>
      </c>
      <c r="G847" s="3" t="n">
        <v>5634.89</v>
      </c>
      <c r="H847" s="3" t="s">
        <v>19</v>
      </c>
      <c r="I847" s="3" t="n">
        <v>4</v>
      </c>
      <c r="J847" s="3" t="n">
        <v>2</v>
      </c>
      <c r="K847" s="3" t="n">
        <v>1</v>
      </c>
      <c r="L847" s="3" t="n">
        <v>0</v>
      </c>
      <c r="M847" s="3" t="n">
        <v>2</v>
      </c>
      <c r="N847" s="3" t="s">
        <v>19</v>
      </c>
    </row>
    <row r="848" customFormat="false" ht="15" hidden="false" customHeight="false" outlineLevel="0" collapsed="false">
      <c r="A848" s="3" t="s">
        <v>878</v>
      </c>
      <c r="B848" s="3" t="n">
        <v>25</v>
      </c>
      <c r="C848" s="3" t="s">
        <v>32</v>
      </c>
      <c r="D848" s="3" t="s">
        <v>23</v>
      </c>
      <c r="E848" s="3" t="s">
        <v>28</v>
      </c>
      <c r="F848" s="3" t="n">
        <v>0.7</v>
      </c>
      <c r="G848" s="3" t="n">
        <v>5554.95</v>
      </c>
      <c r="H848" s="3" t="s">
        <v>19</v>
      </c>
      <c r="I848" s="3" t="n">
        <v>3</v>
      </c>
      <c r="J848" s="3" t="n">
        <v>4</v>
      </c>
      <c r="K848" s="3" t="n">
        <v>4</v>
      </c>
      <c r="L848" s="3" t="n">
        <v>0</v>
      </c>
      <c r="M848" s="3" t="n">
        <v>5</v>
      </c>
      <c r="N848" s="3" t="s">
        <v>19</v>
      </c>
    </row>
    <row r="849" customFormat="false" ht="15" hidden="false" customHeight="false" outlineLevel="0" collapsed="false">
      <c r="A849" s="3" t="s">
        <v>879</v>
      </c>
      <c r="B849" s="3" t="n">
        <v>39</v>
      </c>
      <c r="C849" s="3" t="s">
        <v>45</v>
      </c>
      <c r="D849" s="3" t="s">
        <v>17</v>
      </c>
      <c r="E849" s="3" t="s">
        <v>41</v>
      </c>
      <c r="F849" s="3" t="n">
        <v>7.2</v>
      </c>
      <c r="G849" s="3" t="n">
        <v>3701.53</v>
      </c>
      <c r="H849" s="3" t="s">
        <v>19</v>
      </c>
      <c r="I849" s="3" t="n">
        <v>3</v>
      </c>
      <c r="J849" s="3" t="n">
        <v>2</v>
      </c>
      <c r="K849" s="3" t="n">
        <v>6</v>
      </c>
      <c r="L849" s="3" t="n">
        <v>1</v>
      </c>
      <c r="M849" s="3" t="n">
        <v>1</v>
      </c>
      <c r="N849" s="3" t="s">
        <v>19</v>
      </c>
    </row>
    <row r="850" customFormat="false" ht="15" hidden="false" customHeight="false" outlineLevel="0" collapsed="false">
      <c r="A850" s="3" t="s">
        <v>880</v>
      </c>
      <c r="B850" s="3" t="n">
        <v>21</v>
      </c>
      <c r="C850" s="3" t="s">
        <v>22</v>
      </c>
      <c r="D850" s="3" t="s">
        <v>17</v>
      </c>
      <c r="E850" s="3" t="s">
        <v>18</v>
      </c>
      <c r="F850" s="3" t="n">
        <v>0</v>
      </c>
      <c r="G850" s="3" t="n">
        <v>3734.15</v>
      </c>
      <c r="H850" s="3" t="s">
        <v>19</v>
      </c>
      <c r="I850" s="3" t="n">
        <v>2</v>
      </c>
      <c r="J850" s="3" t="n">
        <v>4</v>
      </c>
      <c r="K850" s="3" t="n">
        <v>3</v>
      </c>
      <c r="L850" s="3" t="n">
        <v>0</v>
      </c>
      <c r="M850" s="3" t="n">
        <v>3</v>
      </c>
      <c r="N850" s="3" t="s">
        <v>20</v>
      </c>
    </row>
    <row r="851" customFormat="false" ht="15" hidden="false" customHeight="false" outlineLevel="0" collapsed="false">
      <c r="A851" s="3" t="s">
        <v>881</v>
      </c>
      <c r="B851" s="3" t="n">
        <v>32</v>
      </c>
      <c r="C851" s="3" t="s">
        <v>26</v>
      </c>
      <c r="D851" s="3" t="s">
        <v>23</v>
      </c>
      <c r="E851" s="3" t="s">
        <v>24</v>
      </c>
      <c r="F851" s="3" t="n">
        <v>0.1</v>
      </c>
      <c r="G851" s="3" t="n">
        <v>4739.42</v>
      </c>
      <c r="H851" s="3" t="s">
        <v>20</v>
      </c>
      <c r="I851" s="3" t="n">
        <v>3</v>
      </c>
      <c r="J851" s="3" t="n">
        <v>3</v>
      </c>
      <c r="K851" s="3" t="n">
        <v>1</v>
      </c>
      <c r="L851" s="3" t="n">
        <v>0</v>
      </c>
      <c r="M851" s="3" t="n">
        <v>2</v>
      </c>
      <c r="N851" s="3" t="s">
        <v>20</v>
      </c>
    </row>
    <row r="852" customFormat="false" ht="15" hidden="false" customHeight="false" outlineLevel="0" collapsed="false">
      <c r="A852" s="3" t="s">
        <v>882</v>
      </c>
      <c r="B852" s="3" t="n">
        <v>42</v>
      </c>
      <c r="C852" s="3" t="s">
        <v>22</v>
      </c>
      <c r="D852" s="3" t="s">
        <v>17</v>
      </c>
      <c r="E852" s="3" t="s">
        <v>28</v>
      </c>
      <c r="F852" s="3" t="n">
        <v>5.3</v>
      </c>
      <c r="G852" s="3" t="n">
        <v>2997.44</v>
      </c>
      <c r="H852" s="3" t="s">
        <v>20</v>
      </c>
      <c r="I852" s="3" t="n">
        <v>1</v>
      </c>
      <c r="J852" s="3" t="n">
        <v>4</v>
      </c>
      <c r="K852" s="3" t="n">
        <v>9</v>
      </c>
      <c r="L852" s="3" t="n">
        <v>2</v>
      </c>
      <c r="M852" s="3" t="n">
        <v>1</v>
      </c>
      <c r="N852" s="3" t="s">
        <v>19</v>
      </c>
    </row>
    <row r="853" customFormat="false" ht="15" hidden="false" customHeight="false" outlineLevel="0" collapsed="false">
      <c r="A853" s="3" t="s">
        <v>883</v>
      </c>
      <c r="B853" s="3" t="n">
        <v>43</v>
      </c>
      <c r="C853" s="3" t="s">
        <v>24</v>
      </c>
      <c r="D853" s="3" t="s">
        <v>17</v>
      </c>
      <c r="E853" s="3" t="s">
        <v>24</v>
      </c>
      <c r="F853" s="3" t="n">
        <v>2.4</v>
      </c>
      <c r="G853" s="3" t="n">
        <v>3830.27</v>
      </c>
      <c r="H853" s="3" t="s">
        <v>19</v>
      </c>
      <c r="I853" s="3" t="n">
        <v>4</v>
      </c>
      <c r="J853" s="3" t="n">
        <v>3</v>
      </c>
      <c r="K853" s="3" t="n">
        <v>5</v>
      </c>
      <c r="L853" s="3" t="n">
        <v>1</v>
      </c>
      <c r="M853" s="3" t="n">
        <v>1</v>
      </c>
      <c r="N853" s="3" t="s">
        <v>19</v>
      </c>
    </row>
    <row r="854" customFormat="false" ht="15" hidden="false" customHeight="false" outlineLevel="0" collapsed="false">
      <c r="A854" s="3" t="s">
        <v>884</v>
      </c>
      <c r="B854" s="3" t="n">
        <v>30</v>
      </c>
      <c r="C854" s="3" t="s">
        <v>22</v>
      </c>
      <c r="D854" s="3" t="s">
        <v>27</v>
      </c>
      <c r="E854" s="3" t="s">
        <v>24</v>
      </c>
      <c r="F854" s="3" t="n">
        <v>4.6</v>
      </c>
      <c r="G854" s="3" t="n">
        <v>6621.25</v>
      </c>
      <c r="H854" s="3" t="s">
        <v>20</v>
      </c>
      <c r="I854" s="3" t="n">
        <v>4</v>
      </c>
      <c r="J854" s="3" t="n">
        <v>3</v>
      </c>
      <c r="K854" s="3" t="n">
        <v>14</v>
      </c>
      <c r="L854" s="3" t="n">
        <v>0</v>
      </c>
      <c r="M854" s="3" t="n">
        <v>3</v>
      </c>
      <c r="N854" s="3" t="s">
        <v>19</v>
      </c>
    </row>
    <row r="855" customFormat="false" ht="15" hidden="false" customHeight="false" outlineLevel="0" collapsed="false">
      <c r="A855" s="3" t="s">
        <v>885</v>
      </c>
      <c r="B855" s="3" t="n">
        <v>31</v>
      </c>
      <c r="C855" s="3" t="s">
        <v>26</v>
      </c>
      <c r="D855" s="3" t="s">
        <v>23</v>
      </c>
      <c r="E855" s="3" t="s">
        <v>24</v>
      </c>
      <c r="F855" s="3" t="n">
        <v>3.7</v>
      </c>
      <c r="G855" s="3" t="n">
        <v>5221.2</v>
      </c>
      <c r="H855" s="3" t="s">
        <v>20</v>
      </c>
      <c r="I855" s="3" t="n">
        <v>4</v>
      </c>
      <c r="J855" s="3" t="n">
        <v>4</v>
      </c>
      <c r="K855" s="3" t="n">
        <v>4</v>
      </c>
      <c r="L855" s="3" t="n">
        <v>0</v>
      </c>
      <c r="M855" s="3" t="n">
        <v>3</v>
      </c>
      <c r="N855" s="3" t="s">
        <v>20</v>
      </c>
    </row>
    <row r="856" customFormat="false" ht="15" hidden="false" customHeight="false" outlineLevel="0" collapsed="false">
      <c r="A856" s="3" t="s">
        <v>886</v>
      </c>
      <c r="B856" s="3" t="n">
        <v>42</v>
      </c>
      <c r="C856" s="3" t="s">
        <v>26</v>
      </c>
      <c r="D856" s="3" t="s">
        <v>23</v>
      </c>
      <c r="E856" s="3" t="s">
        <v>28</v>
      </c>
      <c r="F856" s="3" t="n">
        <v>5</v>
      </c>
      <c r="G856" s="3" t="n">
        <v>4799.84</v>
      </c>
      <c r="H856" s="3" t="s">
        <v>19</v>
      </c>
      <c r="I856" s="3" t="n">
        <v>3</v>
      </c>
      <c r="J856" s="3" t="n">
        <v>3</v>
      </c>
      <c r="K856" s="3" t="n">
        <v>1</v>
      </c>
      <c r="L856" s="3" t="n">
        <v>3</v>
      </c>
      <c r="M856" s="3" t="n">
        <v>4</v>
      </c>
      <c r="N856" s="3" t="s">
        <v>19</v>
      </c>
    </row>
    <row r="857" customFormat="false" ht="15" hidden="false" customHeight="false" outlineLevel="0" collapsed="false">
      <c r="A857" s="3" t="s">
        <v>887</v>
      </c>
      <c r="B857" s="3" t="n">
        <v>27</v>
      </c>
      <c r="C857" s="3" t="s">
        <v>24</v>
      </c>
      <c r="D857" s="3" t="s">
        <v>48</v>
      </c>
      <c r="E857" s="3" t="s">
        <v>18</v>
      </c>
      <c r="F857" s="3" t="n">
        <v>6</v>
      </c>
      <c r="G857" s="3" t="n">
        <v>8525.74</v>
      </c>
      <c r="H857" s="3" t="s">
        <v>19</v>
      </c>
      <c r="I857" s="3" t="n">
        <v>2</v>
      </c>
      <c r="J857" s="3" t="n">
        <v>1</v>
      </c>
      <c r="K857" s="3" t="n">
        <v>3</v>
      </c>
      <c r="L857" s="3" t="n">
        <v>1</v>
      </c>
      <c r="M857" s="3" t="n">
        <v>2</v>
      </c>
      <c r="N857" s="3" t="s">
        <v>19</v>
      </c>
    </row>
    <row r="858" customFormat="false" ht="15" hidden="false" customHeight="false" outlineLevel="0" collapsed="false">
      <c r="A858" s="3" t="s">
        <v>888</v>
      </c>
      <c r="B858" s="3" t="n">
        <v>37</v>
      </c>
      <c r="C858" s="3" t="s">
        <v>32</v>
      </c>
      <c r="D858" s="3" t="s">
        <v>17</v>
      </c>
      <c r="E858" s="3" t="s">
        <v>24</v>
      </c>
      <c r="F858" s="3" t="n">
        <v>9.5</v>
      </c>
      <c r="G858" s="3" t="n">
        <v>3728.22</v>
      </c>
      <c r="H858" s="3" t="s">
        <v>20</v>
      </c>
      <c r="I858" s="3" t="n">
        <v>3</v>
      </c>
      <c r="J858" s="3" t="n">
        <v>4</v>
      </c>
      <c r="K858" s="3" t="n">
        <v>2</v>
      </c>
      <c r="L858" s="3" t="n">
        <v>2</v>
      </c>
      <c r="M858" s="3" t="n">
        <v>3</v>
      </c>
      <c r="N858" s="3" t="s">
        <v>20</v>
      </c>
    </row>
    <row r="859" customFormat="false" ht="15" hidden="false" customHeight="false" outlineLevel="0" collapsed="false">
      <c r="A859" s="3" t="s">
        <v>889</v>
      </c>
      <c r="B859" s="3" t="n">
        <v>34</v>
      </c>
      <c r="C859" s="3" t="s">
        <v>26</v>
      </c>
      <c r="D859" s="3" t="s">
        <v>17</v>
      </c>
      <c r="E859" s="3" t="s">
        <v>41</v>
      </c>
      <c r="F859" s="3" t="n">
        <v>0.8</v>
      </c>
      <c r="G859" s="3" t="n">
        <v>3639.16</v>
      </c>
      <c r="H859" s="3" t="s">
        <v>20</v>
      </c>
      <c r="I859" s="3" t="n">
        <v>1</v>
      </c>
      <c r="J859" s="3" t="n">
        <v>3</v>
      </c>
      <c r="K859" s="3" t="n">
        <v>8</v>
      </c>
      <c r="L859" s="3" t="n">
        <v>0</v>
      </c>
      <c r="M859" s="3" t="n">
        <v>4</v>
      </c>
      <c r="N859" s="3" t="s">
        <v>20</v>
      </c>
    </row>
    <row r="860" customFormat="false" ht="15" hidden="false" customHeight="false" outlineLevel="0" collapsed="false">
      <c r="A860" s="3" t="s">
        <v>890</v>
      </c>
      <c r="B860" s="3" t="n">
        <v>28</v>
      </c>
      <c r="C860" s="3" t="s">
        <v>24</v>
      </c>
      <c r="D860" s="3" t="s">
        <v>23</v>
      </c>
      <c r="E860" s="3" t="s">
        <v>28</v>
      </c>
      <c r="F860" s="3" t="n">
        <v>3.2</v>
      </c>
      <c r="G860" s="3" t="n">
        <v>4724.95</v>
      </c>
      <c r="H860" s="3" t="s">
        <v>19</v>
      </c>
      <c r="I860" s="3" t="n">
        <v>4</v>
      </c>
      <c r="J860" s="3" t="n">
        <v>3</v>
      </c>
      <c r="K860" s="3" t="n">
        <v>33</v>
      </c>
      <c r="L860" s="3" t="n">
        <v>1</v>
      </c>
      <c r="M860" s="3" t="n">
        <v>6</v>
      </c>
      <c r="N860" s="3" t="s">
        <v>19</v>
      </c>
    </row>
    <row r="861" customFormat="false" ht="15" hidden="false" customHeight="false" outlineLevel="0" collapsed="false">
      <c r="A861" s="3" t="s">
        <v>891</v>
      </c>
      <c r="B861" s="3" t="n">
        <v>32</v>
      </c>
      <c r="C861" s="3" t="s">
        <v>16</v>
      </c>
      <c r="D861" s="3" t="s">
        <v>17</v>
      </c>
      <c r="E861" s="3" t="s">
        <v>18</v>
      </c>
      <c r="F861" s="3" t="n">
        <v>1.6</v>
      </c>
      <c r="G861" s="3" t="n">
        <v>3227.45</v>
      </c>
      <c r="H861" s="3" t="s">
        <v>19</v>
      </c>
      <c r="I861" s="3" t="n">
        <v>4</v>
      </c>
      <c r="J861" s="3" t="n">
        <v>3</v>
      </c>
      <c r="K861" s="3" t="n">
        <v>8</v>
      </c>
      <c r="L861" s="3" t="n">
        <v>0</v>
      </c>
      <c r="M861" s="3" t="n">
        <v>1</v>
      </c>
      <c r="N861" s="3" t="s">
        <v>19</v>
      </c>
    </row>
    <row r="862" customFormat="false" ht="15" hidden="false" customHeight="false" outlineLevel="0" collapsed="false">
      <c r="A862" s="3" t="s">
        <v>892</v>
      </c>
      <c r="B862" s="3" t="n">
        <v>33</v>
      </c>
      <c r="C862" s="3" t="s">
        <v>32</v>
      </c>
      <c r="D862" s="3" t="s">
        <v>17</v>
      </c>
      <c r="E862" s="3" t="s">
        <v>41</v>
      </c>
      <c r="F862" s="3" t="n">
        <v>8.5</v>
      </c>
      <c r="G862" s="3" t="n">
        <v>3566.75</v>
      </c>
      <c r="H862" s="3" t="s">
        <v>19</v>
      </c>
      <c r="I862" s="3" t="n">
        <v>4</v>
      </c>
      <c r="J862" s="3" t="n">
        <v>2</v>
      </c>
      <c r="K862" s="3" t="n">
        <v>7</v>
      </c>
      <c r="L862" s="3" t="n">
        <v>0</v>
      </c>
      <c r="M862" s="3" t="n">
        <v>3</v>
      </c>
      <c r="N862" s="3" t="s">
        <v>19</v>
      </c>
    </row>
    <row r="863" customFormat="false" ht="15" hidden="false" customHeight="false" outlineLevel="0" collapsed="false">
      <c r="A863" s="3" t="s">
        <v>893</v>
      </c>
      <c r="B863" s="3" t="n">
        <v>34</v>
      </c>
      <c r="C863" s="3" t="s">
        <v>45</v>
      </c>
      <c r="D863" s="3" t="s">
        <v>17</v>
      </c>
      <c r="E863" s="3" t="s">
        <v>24</v>
      </c>
      <c r="F863" s="3" t="n">
        <v>8.2</v>
      </c>
      <c r="G863" s="3" t="n">
        <v>3682.62</v>
      </c>
      <c r="H863" s="3" t="s">
        <v>19</v>
      </c>
      <c r="I863" s="3" t="n">
        <v>1</v>
      </c>
      <c r="J863" s="3" t="n">
        <v>4</v>
      </c>
      <c r="K863" s="3" t="n">
        <v>3</v>
      </c>
      <c r="L863" s="3" t="n">
        <v>0</v>
      </c>
      <c r="M863" s="3" t="n">
        <v>1</v>
      </c>
      <c r="N863" s="3" t="s">
        <v>19</v>
      </c>
    </row>
    <row r="864" customFormat="false" ht="15" hidden="false" customHeight="false" outlineLevel="0" collapsed="false">
      <c r="A864" s="3" t="s">
        <v>894</v>
      </c>
      <c r="B864" s="3" t="n">
        <v>32</v>
      </c>
      <c r="C864" s="3" t="s">
        <v>26</v>
      </c>
      <c r="D864" s="3" t="s">
        <v>48</v>
      </c>
      <c r="E864" s="3" t="s">
        <v>24</v>
      </c>
      <c r="F864" s="3" t="n">
        <v>0.5</v>
      </c>
      <c r="G864" s="3" t="n">
        <v>8632.12</v>
      </c>
      <c r="H864" s="3" t="s">
        <v>19</v>
      </c>
      <c r="I864" s="3" t="n">
        <v>4</v>
      </c>
      <c r="J864" s="3" t="n">
        <v>3</v>
      </c>
      <c r="K864" s="3" t="n">
        <v>18</v>
      </c>
      <c r="L864" s="3" t="n">
        <v>0</v>
      </c>
      <c r="M864" s="3" t="n">
        <v>2</v>
      </c>
      <c r="N864" s="3" t="s">
        <v>19</v>
      </c>
    </row>
    <row r="865" customFormat="false" ht="15" hidden="false" customHeight="false" outlineLevel="0" collapsed="false">
      <c r="A865" s="3" t="s">
        <v>895</v>
      </c>
      <c r="B865" s="3" t="n">
        <v>34</v>
      </c>
      <c r="C865" s="3" t="s">
        <v>26</v>
      </c>
      <c r="D865" s="3" t="s">
        <v>23</v>
      </c>
      <c r="E865" s="3" t="s">
        <v>41</v>
      </c>
      <c r="F865" s="3" t="n">
        <v>1.2</v>
      </c>
      <c r="G865" s="3" t="n">
        <v>4592.73</v>
      </c>
      <c r="H865" s="3" t="s">
        <v>19</v>
      </c>
      <c r="I865" s="3" t="n">
        <v>2</v>
      </c>
      <c r="J865" s="3" t="n">
        <v>2</v>
      </c>
      <c r="K865" s="3" t="n">
        <v>1</v>
      </c>
      <c r="L865" s="3" t="n">
        <v>1</v>
      </c>
      <c r="M865" s="3" t="n">
        <v>5</v>
      </c>
      <c r="N865" s="3" t="s">
        <v>19</v>
      </c>
    </row>
    <row r="866" customFormat="false" ht="15" hidden="false" customHeight="false" outlineLevel="0" collapsed="false">
      <c r="A866" s="3" t="s">
        <v>896</v>
      </c>
      <c r="B866" s="3" t="n">
        <v>30</v>
      </c>
      <c r="C866" s="3" t="s">
        <v>16</v>
      </c>
      <c r="D866" s="3" t="s">
        <v>17</v>
      </c>
      <c r="E866" s="3" t="s">
        <v>28</v>
      </c>
      <c r="F866" s="3" t="n">
        <v>5.1</v>
      </c>
      <c r="G866" s="3" t="n">
        <v>3546.85</v>
      </c>
      <c r="H866" s="3" t="s">
        <v>20</v>
      </c>
      <c r="I866" s="3" t="n">
        <v>2</v>
      </c>
      <c r="J866" s="3" t="n">
        <v>4</v>
      </c>
      <c r="K866" s="3" t="n">
        <v>22</v>
      </c>
      <c r="L866" s="3" t="n">
        <v>4</v>
      </c>
      <c r="M866" s="3" t="n">
        <v>3</v>
      </c>
      <c r="N866" s="3" t="s">
        <v>19</v>
      </c>
    </row>
    <row r="867" customFormat="false" ht="15" hidden="false" customHeight="false" outlineLevel="0" collapsed="false">
      <c r="A867" s="3" t="s">
        <v>897</v>
      </c>
      <c r="B867" s="3" t="n">
        <v>29</v>
      </c>
      <c r="C867" s="3" t="s">
        <v>26</v>
      </c>
      <c r="D867" s="3" t="s">
        <v>17</v>
      </c>
      <c r="E867" s="3" t="s">
        <v>24</v>
      </c>
      <c r="F867" s="3" t="n">
        <v>1.1</v>
      </c>
      <c r="G867" s="3" t="n">
        <v>3462.63</v>
      </c>
      <c r="H867" s="3" t="s">
        <v>20</v>
      </c>
      <c r="I867" s="3" t="n">
        <v>2</v>
      </c>
      <c r="J867" s="3" t="n">
        <v>2</v>
      </c>
      <c r="K867" s="3" t="n">
        <v>1</v>
      </c>
      <c r="L867" s="3" t="n">
        <v>1</v>
      </c>
      <c r="M867" s="3" t="n">
        <v>5</v>
      </c>
      <c r="N867" s="3" t="s">
        <v>20</v>
      </c>
    </row>
    <row r="868" customFormat="false" ht="15" hidden="false" customHeight="false" outlineLevel="0" collapsed="false">
      <c r="A868" s="3" t="s">
        <v>898</v>
      </c>
      <c r="B868" s="3" t="n">
        <v>49</v>
      </c>
      <c r="C868" s="3" t="s">
        <v>26</v>
      </c>
      <c r="D868" s="3" t="s">
        <v>17</v>
      </c>
      <c r="E868" s="3" t="s">
        <v>24</v>
      </c>
      <c r="F868" s="3" t="n">
        <v>1</v>
      </c>
      <c r="G868" s="3" t="n">
        <v>2734.41</v>
      </c>
      <c r="H868" s="3" t="s">
        <v>20</v>
      </c>
      <c r="I868" s="3" t="n">
        <v>4</v>
      </c>
      <c r="J868" s="3" t="n">
        <v>2</v>
      </c>
      <c r="K868" s="3" t="n">
        <v>17</v>
      </c>
      <c r="L868" s="3" t="n">
        <v>0</v>
      </c>
      <c r="M868" s="3" t="n">
        <v>2</v>
      </c>
      <c r="N868" s="3" t="s">
        <v>19</v>
      </c>
    </row>
    <row r="869" customFormat="false" ht="15" hidden="false" customHeight="false" outlineLevel="0" collapsed="false">
      <c r="A869" s="3" t="s">
        <v>899</v>
      </c>
      <c r="B869" s="3" t="n">
        <v>36</v>
      </c>
      <c r="C869" s="3" t="s">
        <v>45</v>
      </c>
      <c r="D869" s="3" t="s">
        <v>17</v>
      </c>
      <c r="E869" s="3" t="s">
        <v>41</v>
      </c>
      <c r="F869" s="3" t="n">
        <v>1.5</v>
      </c>
      <c r="G869" s="3" t="n">
        <v>3807.62</v>
      </c>
      <c r="H869" s="3" t="s">
        <v>19</v>
      </c>
      <c r="I869" s="3" t="n">
        <v>4</v>
      </c>
      <c r="J869" s="3" t="n">
        <v>1</v>
      </c>
      <c r="K869" s="3" t="n">
        <v>3</v>
      </c>
      <c r="L869" s="3" t="n">
        <v>1</v>
      </c>
      <c r="M869" s="3" t="n">
        <v>0</v>
      </c>
      <c r="N869" s="3" t="s">
        <v>19</v>
      </c>
    </row>
    <row r="870" customFormat="false" ht="15" hidden="false" customHeight="false" outlineLevel="0" collapsed="false">
      <c r="A870" s="3" t="s">
        <v>900</v>
      </c>
      <c r="B870" s="3" t="n">
        <v>26</v>
      </c>
      <c r="C870" s="3" t="s">
        <v>22</v>
      </c>
      <c r="D870" s="3" t="s">
        <v>23</v>
      </c>
      <c r="E870" s="3" t="s">
        <v>18</v>
      </c>
      <c r="F870" s="3" t="n">
        <v>1.1</v>
      </c>
      <c r="G870" s="3" t="n">
        <v>4195.62</v>
      </c>
      <c r="H870" s="3" t="s">
        <v>20</v>
      </c>
      <c r="I870" s="3" t="n">
        <v>2</v>
      </c>
      <c r="J870" s="3" t="n">
        <v>3</v>
      </c>
      <c r="K870" s="3" t="n">
        <v>2</v>
      </c>
      <c r="L870" s="3" t="n">
        <v>1</v>
      </c>
      <c r="M870" s="3" t="n">
        <v>0</v>
      </c>
      <c r="N870" s="3" t="s">
        <v>19</v>
      </c>
    </row>
    <row r="871" customFormat="false" ht="15" hidden="false" customHeight="false" outlineLevel="0" collapsed="false">
      <c r="A871" s="3" t="s">
        <v>901</v>
      </c>
      <c r="B871" s="3" t="n">
        <v>43</v>
      </c>
      <c r="C871" s="3" t="s">
        <v>45</v>
      </c>
      <c r="D871" s="3" t="s">
        <v>27</v>
      </c>
      <c r="E871" s="3" t="s">
        <v>18</v>
      </c>
      <c r="F871" s="3" t="n">
        <v>0</v>
      </c>
      <c r="G871" s="3" t="n">
        <v>7903.11</v>
      </c>
      <c r="H871" s="3" t="s">
        <v>20</v>
      </c>
      <c r="I871" s="3" t="n">
        <v>2</v>
      </c>
      <c r="J871" s="3" t="n">
        <v>2</v>
      </c>
      <c r="K871" s="3" t="n">
        <v>2</v>
      </c>
      <c r="L871" s="3" t="n">
        <v>0</v>
      </c>
      <c r="M871" s="3" t="n">
        <v>3</v>
      </c>
      <c r="N871" s="3" t="s">
        <v>20</v>
      </c>
    </row>
    <row r="872" customFormat="false" ht="15" hidden="false" customHeight="false" outlineLevel="0" collapsed="false">
      <c r="A872" s="3" t="s">
        <v>902</v>
      </c>
      <c r="B872" s="3" t="n">
        <v>27</v>
      </c>
      <c r="C872" s="3" t="s">
        <v>32</v>
      </c>
      <c r="D872" s="3" t="s">
        <v>23</v>
      </c>
      <c r="E872" s="3" t="s">
        <v>41</v>
      </c>
      <c r="F872" s="3" t="n">
        <v>0.4</v>
      </c>
      <c r="G872" s="3" t="n">
        <v>4390.08</v>
      </c>
      <c r="H872" s="3" t="s">
        <v>19</v>
      </c>
      <c r="I872" s="3" t="n">
        <v>1</v>
      </c>
      <c r="J872" s="3" t="n">
        <v>4</v>
      </c>
      <c r="K872" s="3" t="n">
        <v>7</v>
      </c>
      <c r="L872" s="3" t="n">
        <v>0</v>
      </c>
      <c r="M872" s="3" t="n">
        <v>0</v>
      </c>
      <c r="N872" s="3" t="s">
        <v>19</v>
      </c>
    </row>
    <row r="873" customFormat="false" ht="15" hidden="false" customHeight="false" outlineLevel="0" collapsed="false">
      <c r="A873" s="3" t="s">
        <v>903</v>
      </c>
      <c r="B873" s="3" t="n">
        <v>32</v>
      </c>
      <c r="C873" s="3" t="s">
        <v>22</v>
      </c>
      <c r="D873" s="3" t="s">
        <v>23</v>
      </c>
      <c r="E873" s="3" t="s">
        <v>18</v>
      </c>
      <c r="F873" s="3" t="n">
        <v>5.3</v>
      </c>
      <c r="G873" s="3" t="n">
        <v>5126.43</v>
      </c>
      <c r="H873" s="3" t="s">
        <v>19</v>
      </c>
      <c r="I873" s="3" t="n">
        <v>2</v>
      </c>
      <c r="J873" s="3" t="n">
        <v>2</v>
      </c>
      <c r="K873" s="3" t="n">
        <v>1</v>
      </c>
      <c r="L873" s="3" t="n">
        <v>2</v>
      </c>
      <c r="M873" s="3" t="n">
        <v>0</v>
      </c>
      <c r="N873" s="3" t="s">
        <v>19</v>
      </c>
    </row>
    <row r="874" customFormat="false" ht="15" hidden="false" customHeight="false" outlineLevel="0" collapsed="false">
      <c r="A874" s="3" t="s">
        <v>904</v>
      </c>
      <c r="B874" s="3" t="n">
        <v>36</v>
      </c>
      <c r="C874" s="3" t="s">
        <v>26</v>
      </c>
      <c r="D874" s="3" t="s">
        <v>48</v>
      </c>
      <c r="E874" s="3" t="s">
        <v>18</v>
      </c>
      <c r="F874" s="3" t="n">
        <v>1.5</v>
      </c>
      <c r="G874" s="3" t="n">
        <v>10266.47</v>
      </c>
      <c r="H874" s="3" t="s">
        <v>20</v>
      </c>
      <c r="I874" s="3" t="n">
        <v>2</v>
      </c>
      <c r="J874" s="3" t="n">
        <v>1</v>
      </c>
      <c r="K874" s="3" t="n">
        <v>2</v>
      </c>
      <c r="L874" s="3" t="n">
        <v>1</v>
      </c>
      <c r="M874" s="3" t="n">
        <v>3</v>
      </c>
      <c r="N874" s="3" t="s">
        <v>19</v>
      </c>
    </row>
    <row r="875" customFormat="false" ht="15" hidden="false" customHeight="false" outlineLevel="0" collapsed="false">
      <c r="A875" s="3" t="s">
        <v>905</v>
      </c>
      <c r="B875" s="3" t="n">
        <v>25</v>
      </c>
      <c r="C875" s="3" t="s">
        <v>16</v>
      </c>
      <c r="D875" s="3" t="s">
        <v>23</v>
      </c>
      <c r="E875" s="3" t="s">
        <v>28</v>
      </c>
      <c r="F875" s="3" t="n">
        <v>2</v>
      </c>
      <c r="G875" s="3" t="n">
        <v>5119.8</v>
      </c>
      <c r="H875" s="3" t="s">
        <v>20</v>
      </c>
      <c r="I875" s="3" t="n">
        <v>3</v>
      </c>
      <c r="J875" s="3" t="n">
        <v>1</v>
      </c>
      <c r="K875" s="3" t="n">
        <v>1</v>
      </c>
      <c r="L875" s="3" t="n">
        <v>2</v>
      </c>
      <c r="M875" s="3" t="n">
        <v>2</v>
      </c>
      <c r="N875" s="3" t="s">
        <v>19</v>
      </c>
    </row>
    <row r="876" customFormat="false" ht="15" hidden="false" customHeight="false" outlineLevel="0" collapsed="false">
      <c r="A876" s="3" t="s">
        <v>906</v>
      </c>
      <c r="B876" s="3" t="n">
        <v>38</v>
      </c>
      <c r="C876" s="3" t="s">
        <v>24</v>
      </c>
      <c r="D876" s="3" t="s">
        <v>17</v>
      </c>
      <c r="E876" s="3" t="s">
        <v>41</v>
      </c>
      <c r="F876" s="3" t="n">
        <v>3.9</v>
      </c>
      <c r="G876" s="3" t="n">
        <v>2812.25</v>
      </c>
      <c r="H876" s="3" t="s">
        <v>19</v>
      </c>
      <c r="I876" s="3" t="n">
        <v>2</v>
      </c>
      <c r="J876" s="3" t="n">
        <v>3</v>
      </c>
      <c r="K876" s="3" t="n">
        <v>1</v>
      </c>
      <c r="L876" s="3" t="n">
        <v>2</v>
      </c>
      <c r="M876" s="3" t="n">
        <v>2</v>
      </c>
      <c r="N876" s="3" t="s">
        <v>19</v>
      </c>
    </row>
    <row r="877" customFormat="false" ht="15" hidden="false" customHeight="false" outlineLevel="0" collapsed="false">
      <c r="A877" s="3" t="s">
        <v>907</v>
      </c>
      <c r="B877" s="3" t="n">
        <v>29</v>
      </c>
      <c r="C877" s="3" t="s">
        <v>32</v>
      </c>
      <c r="D877" s="3" t="s">
        <v>17</v>
      </c>
      <c r="E877" s="3" t="s">
        <v>18</v>
      </c>
      <c r="F877" s="3" t="n">
        <v>0.2</v>
      </c>
      <c r="G877" s="3" t="n">
        <v>2733.78</v>
      </c>
      <c r="H877" s="3" t="s">
        <v>19</v>
      </c>
      <c r="I877" s="3" t="n">
        <v>3</v>
      </c>
      <c r="J877" s="3" t="n">
        <v>3</v>
      </c>
      <c r="K877" s="3" t="n">
        <v>4</v>
      </c>
      <c r="L877" s="3" t="n">
        <v>0</v>
      </c>
      <c r="M877" s="3" t="n">
        <v>3</v>
      </c>
      <c r="N877" s="3" t="s">
        <v>19</v>
      </c>
    </row>
    <row r="878" customFormat="false" ht="15" hidden="false" customHeight="false" outlineLevel="0" collapsed="false">
      <c r="A878" s="3" t="s">
        <v>908</v>
      </c>
      <c r="B878" s="3" t="n">
        <v>48</v>
      </c>
      <c r="C878" s="3" t="s">
        <v>16</v>
      </c>
      <c r="D878" s="3" t="s">
        <v>17</v>
      </c>
      <c r="E878" s="3" t="s">
        <v>18</v>
      </c>
      <c r="F878" s="3" t="n">
        <v>2.1</v>
      </c>
      <c r="G878" s="3" t="n">
        <v>3195.98</v>
      </c>
      <c r="H878" s="3" t="s">
        <v>19</v>
      </c>
      <c r="I878" s="3" t="n">
        <v>4</v>
      </c>
      <c r="J878" s="3" t="n">
        <v>2</v>
      </c>
      <c r="K878" s="3" t="n">
        <v>1</v>
      </c>
      <c r="L878" s="3" t="n">
        <v>2</v>
      </c>
      <c r="M878" s="3" t="n">
        <v>0</v>
      </c>
      <c r="N878" s="3" t="s">
        <v>20</v>
      </c>
    </row>
    <row r="879" customFormat="false" ht="15" hidden="false" customHeight="false" outlineLevel="0" collapsed="false">
      <c r="A879" s="3" t="s">
        <v>909</v>
      </c>
      <c r="B879" s="3" t="n">
        <v>40</v>
      </c>
      <c r="C879" s="3" t="s">
        <v>22</v>
      </c>
      <c r="D879" s="3" t="s">
        <v>23</v>
      </c>
      <c r="E879" s="3" t="s">
        <v>28</v>
      </c>
      <c r="F879" s="3" t="n">
        <v>2.7</v>
      </c>
      <c r="G879" s="3" t="n">
        <v>5211.21</v>
      </c>
      <c r="H879" s="3" t="s">
        <v>19</v>
      </c>
      <c r="I879" s="3" t="n">
        <v>3</v>
      </c>
      <c r="J879" s="3" t="n">
        <v>2</v>
      </c>
      <c r="K879" s="3" t="n">
        <v>2</v>
      </c>
      <c r="L879" s="3" t="n">
        <v>1</v>
      </c>
      <c r="M879" s="3" t="n">
        <v>1</v>
      </c>
      <c r="N879" s="3" t="s">
        <v>19</v>
      </c>
    </row>
    <row r="880" customFormat="false" ht="15" hidden="false" customHeight="false" outlineLevel="0" collapsed="false">
      <c r="A880" s="3" t="s">
        <v>910</v>
      </c>
      <c r="B880" s="3" t="n">
        <v>25</v>
      </c>
      <c r="C880" s="3" t="s">
        <v>16</v>
      </c>
      <c r="D880" s="3" t="s">
        <v>17</v>
      </c>
      <c r="E880" s="3" t="s">
        <v>28</v>
      </c>
      <c r="F880" s="3" t="n">
        <v>3.5</v>
      </c>
      <c r="G880" s="3" t="n">
        <v>2932.59</v>
      </c>
      <c r="H880" s="3" t="s">
        <v>19</v>
      </c>
      <c r="I880" s="3" t="n">
        <v>3</v>
      </c>
      <c r="J880" s="3" t="n">
        <v>2</v>
      </c>
      <c r="K880" s="3" t="n">
        <v>2</v>
      </c>
      <c r="L880" s="3" t="n">
        <v>2</v>
      </c>
      <c r="M880" s="3" t="n">
        <v>1</v>
      </c>
      <c r="N880" s="3" t="s">
        <v>19</v>
      </c>
    </row>
    <row r="881" customFormat="false" ht="15" hidden="false" customHeight="false" outlineLevel="0" collapsed="false">
      <c r="A881" s="3" t="s">
        <v>911</v>
      </c>
      <c r="B881" s="3" t="n">
        <v>27</v>
      </c>
      <c r="C881" s="3" t="s">
        <v>16</v>
      </c>
      <c r="D881" s="3" t="s">
        <v>27</v>
      </c>
      <c r="E881" s="3" t="s">
        <v>28</v>
      </c>
      <c r="F881" s="3" t="n">
        <v>1.2</v>
      </c>
      <c r="G881" s="3" t="n">
        <v>7582.25</v>
      </c>
      <c r="H881" s="3" t="s">
        <v>20</v>
      </c>
      <c r="I881" s="3" t="n">
        <v>3</v>
      </c>
      <c r="J881" s="3" t="n">
        <v>3</v>
      </c>
      <c r="K881" s="3" t="n">
        <v>13</v>
      </c>
      <c r="L881" s="3" t="n">
        <v>1</v>
      </c>
      <c r="M881" s="3" t="n">
        <v>2</v>
      </c>
      <c r="N881" s="3" t="s">
        <v>19</v>
      </c>
    </row>
    <row r="882" customFormat="false" ht="15" hidden="false" customHeight="false" outlineLevel="0" collapsed="false">
      <c r="A882" s="3" t="s">
        <v>912</v>
      </c>
      <c r="B882" s="3" t="n">
        <v>37</v>
      </c>
      <c r="C882" s="3" t="s">
        <v>26</v>
      </c>
      <c r="D882" s="3" t="s">
        <v>27</v>
      </c>
      <c r="E882" s="3" t="s">
        <v>24</v>
      </c>
      <c r="F882" s="3" t="n">
        <v>8.8</v>
      </c>
      <c r="G882" s="3" t="n">
        <v>8450.66</v>
      </c>
      <c r="H882" s="3" t="s">
        <v>20</v>
      </c>
      <c r="I882" s="3" t="n">
        <v>3</v>
      </c>
      <c r="J882" s="3" t="n">
        <v>3</v>
      </c>
      <c r="K882" s="3" t="n">
        <v>11</v>
      </c>
      <c r="L882" s="3" t="n">
        <v>0</v>
      </c>
      <c r="M882" s="3" t="n">
        <v>0</v>
      </c>
      <c r="N882" s="3" t="s">
        <v>19</v>
      </c>
    </row>
    <row r="883" customFormat="false" ht="15" hidden="false" customHeight="false" outlineLevel="0" collapsed="false">
      <c r="A883" s="3" t="s">
        <v>913</v>
      </c>
      <c r="B883" s="3" t="n">
        <v>24</v>
      </c>
      <c r="C883" s="3" t="s">
        <v>22</v>
      </c>
      <c r="D883" s="3" t="s">
        <v>27</v>
      </c>
      <c r="E883" s="3" t="s">
        <v>24</v>
      </c>
      <c r="F883" s="3" t="n">
        <v>0.3</v>
      </c>
      <c r="G883" s="3" t="n">
        <v>8448.01</v>
      </c>
      <c r="H883" s="3" t="s">
        <v>20</v>
      </c>
      <c r="I883" s="3" t="n">
        <v>3</v>
      </c>
      <c r="J883" s="3" t="n">
        <v>4</v>
      </c>
      <c r="K883" s="3" t="n">
        <v>5</v>
      </c>
      <c r="L883" s="3" t="n">
        <v>0</v>
      </c>
      <c r="M883" s="3" t="n">
        <v>2</v>
      </c>
      <c r="N883" s="3" t="s">
        <v>19</v>
      </c>
    </row>
    <row r="884" customFormat="false" ht="15" hidden="false" customHeight="false" outlineLevel="0" collapsed="false">
      <c r="A884" s="3" t="s">
        <v>914</v>
      </c>
      <c r="B884" s="3" t="n">
        <v>29</v>
      </c>
      <c r="C884" s="3" t="s">
        <v>32</v>
      </c>
      <c r="D884" s="3" t="s">
        <v>27</v>
      </c>
      <c r="E884" s="3" t="s">
        <v>18</v>
      </c>
      <c r="F884" s="3" t="n">
        <v>0.5</v>
      </c>
      <c r="G884" s="3" t="n">
        <v>6839.37</v>
      </c>
      <c r="H884" s="3" t="s">
        <v>19</v>
      </c>
      <c r="I884" s="3" t="n">
        <v>4</v>
      </c>
      <c r="J884" s="3" t="n">
        <v>1</v>
      </c>
      <c r="K884" s="3" t="n">
        <v>6</v>
      </c>
      <c r="L884" s="3" t="n">
        <v>0</v>
      </c>
      <c r="M884" s="3" t="n">
        <v>2</v>
      </c>
      <c r="N884" s="3" t="s">
        <v>19</v>
      </c>
    </row>
    <row r="885" customFormat="false" ht="15" hidden="false" customHeight="false" outlineLevel="0" collapsed="false">
      <c r="A885" s="3" t="s">
        <v>915</v>
      </c>
      <c r="B885" s="3" t="n">
        <v>37</v>
      </c>
      <c r="C885" s="3" t="s">
        <v>32</v>
      </c>
      <c r="D885" s="3" t="s">
        <v>17</v>
      </c>
      <c r="E885" s="3" t="s">
        <v>24</v>
      </c>
      <c r="F885" s="3" t="n">
        <v>2.9</v>
      </c>
      <c r="G885" s="3" t="n">
        <v>2967.92</v>
      </c>
      <c r="H885" s="3" t="s">
        <v>19</v>
      </c>
      <c r="I885" s="3" t="n">
        <v>4</v>
      </c>
      <c r="J885" s="3" t="n">
        <v>2</v>
      </c>
      <c r="K885" s="3" t="n">
        <v>17</v>
      </c>
      <c r="L885" s="3" t="n">
        <v>1</v>
      </c>
      <c r="M885" s="3" t="n">
        <v>1</v>
      </c>
      <c r="N885" s="3" t="s">
        <v>20</v>
      </c>
    </row>
    <row r="886" customFormat="false" ht="15" hidden="false" customHeight="false" outlineLevel="0" collapsed="false">
      <c r="A886" s="3" t="s">
        <v>916</v>
      </c>
      <c r="B886" s="3" t="n">
        <v>33</v>
      </c>
      <c r="C886" s="3" t="s">
        <v>26</v>
      </c>
      <c r="D886" s="3" t="s">
        <v>23</v>
      </c>
      <c r="E886" s="3" t="s">
        <v>24</v>
      </c>
      <c r="F886" s="3" t="n">
        <v>7.4</v>
      </c>
      <c r="G886" s="3" t="n">
        <v>4621.32</v>
      </c>
      <c r="H886" s="3" t="s">
        <v>19</v>
      </c>
      <c r="I886" s="3" t="n">
        <v>4</v>
      </c>
      <c r="J886" s="3" t="n">
        <v>2</v>
      </c>
      <c r="K886" s="3" t="n">
        <v>11</v>
      </c>
      <c r="L886" s="3" t="n">
        <v>3</v>
      </c>
      <c r="M886" s="3" t="n">
        <v>4</v>
      </c>
      <c r="N886" s="3" t="s">
        <v>19</v>
      </c>
    </row>
    <row r="887" customFormat="false" ht="15" hidden="false" customHeight="false" outlineLevel="0" collapsed="false">
      <c r="A887" s="3" t="s">
        <v>917</v>
      </c>
      <c r="B887" s="3" t="n">
        <v>30</v>
      </c>
      <c r="C887" s="3" t="s">
        <v>45</v>
      </c>
      <c r="D887" s="3" t="s">
        <v>17</v>
      </c>
      <c r="E887" s="3" t="s">
        <v>24</v>
      </c>
      <c r="F887" s="3" t="n">
        <v>7.7</v>
      </c>
      <c r="G887" s="3" t="n">
        <v>2741.02</v>
      </c>
      <c r="H887" s="3" t="s">
        <v>20</v>
      </c>
      <c r="I887" s="3" t="n">
        <v>4</v>
      </c>
      <c r="J887" s="3" t="n">
        <v>2</v>
      </c>
      <c r="K887" s="3" t="n">
        <v>8</v>
      </c>
      <c r="L887" s="3" t="n">
        <v>1</v>
      </c>
      <c r="M887" s="3" t="n">
        <v>2</v>
      </c>
      <c r="N887" s="3" t="s">
        <v>20</v>
      </c>
    </row>
    <row r="888" customFormat="false" ht="15" hidden="false" customHeight="false" outlineLevel="0" collapsed="false">
      <c r="A888" s="3" t="s">
        <v>918</v>
      </c>
      <c r="B888" s="3" t="n">
        <v>29</v>
      </c>
      <c r="C888" s="3" t="s">
        <v>22</v>
      </c>
      <c r="D888" s="3" t="s">
        <v>23</v>
      </c>
      <c r="E888" s="3" t="s">
        <v>18</v>
      </c>
      <c r="F888" s="3" t="n">
        <v>1.7</v>
      </c>
      <c r="G888" s="3" t="n">
        <v>4629.03</v>
      </c>
      <c r="H888" s="3" t="s">
        <v>20</v>
      </c>
      <c r="I888" s="3" t="n">
        <v>4</v>
      </c>
      <c r="J888" s="3" t="n">
        <v>3</v>
      </c>
      <c r="K888" s="3" t="n">
        <v>9</v>
      </c>
      <c r="L888" s="3" t="n">
        <v>0</v>
      </c>
      <c r="M888" s="3" t="n">
        <v>1</v>
      </c>
      <c r="N888" s="3" t="s">
        <v>19</v>
      </c>
    </row>
    <row r="889" customFormat="false" ht="15" hidden="false" customHeight="false" outlineLevel="0" collapsed="false">
      <c r="A889" s="3" t="s">
        <v>919</v>
      </c>
      <c r="B889" s="3" t="n">
        <v>28</v>
      </c>
      <c r="C889" s="3" t="s">
        <v>22</v>
      </c>
      <c r="D889" s="3" t="s">
        <v>27</v>
      </c>
      <c r="E889" s="3" t="s">
        <v>28</v>
      </c>
      <c r="F889" s="3" t="n">
        <v>1.5</v>
      </c>
      <c r="G889" s="3" t="n">
        <v>7614.24</v>
      </c>
      <c r="H889" s="3" t="s">
        <v>20</v>
      </c>
      <c r="I889" s="3" t="n">
        <v>4</v>
      </c>
      <c r="J889" s="3" t="n">
        <v>4</v>
      </c>
      <c r="K889" s="3" t="n">
        <v>7</v>
      </c>
      <c r="L889" s="3" t="n">
        <v>1</v>
      </c>
      <c r="M889" s="3" t="n">
        <v>2</v>
      </c>
      <c r="N889" s="3" t="s">
        <v>19</v>
      </c>
    </row>
    <row r="890" customFormat="false" ht="15" hidden="false" customHeight="false" outlineLevel="0" collapsed="false">
      <c r="A890" s="3" t="s">
        <v>920</v>
      </c>
      <c r="B890" s="3" t="n">
        <v>36</v>
      </c>
      <c r="C890" s="3" t="s">
        <v>16</v>
      </c>
      <c r="D890" s="3" t="s">
        <v>17</v>
      </c>
      <c r="E890" s="3" t="s">
        <v>41</v>
      </c>
      <c r="F890" s="3" t="n">
        <v>0.4</v>
      </c>
      <c r="G890" s="3" t="n">
        <v>3806.86</v>
      </c>
      <c r="H890" s="3" t="s">
        <v>19</v>
      </c>
      <c r="I890" s="3" t="n">
        <v>3</v>
      </c>
      <c r="J890" s="3" t="n">
        <v>1</v>
      </c>
      <c r="K890" s="3" t="n">
        <v>3</v>
      </c>
      <c r="L890" s="3" t="n">
        <v>0</v>
      </c>
      <c r="M890" s="3" t="n">
        <v>1</v>
      </c>
      <c r="N890" s="3" t="s">
        <v>20</v>
      </c>
    </row>
    <row r="891" customFormat="false" ht="15" hidden="false" customHeight="false" outlineLevel="0" collapsed="false">
      <c r="A891" s="3" t="s">
        <v>921</v>
      </c>
      <c r="B891" s="3" t="n">
        <v>25</v>
      </c>
      <c r="C891" s="3" t="s">
        <v>22</v>
      </c>
      <c r="D891" s="3" t="s">
        <v>48</v>
      </c>
      <c r="E891" s="3" t="s">
        <v>41</v>
      </c>
      <c r="F891" s="3" t="n">
        <v>0.5</v>
      </c>
      <c r="G891" s="3" t="n">
        <v>8117.8</v>
      </c>
      <c r="H891" s="3" t="s">
        <v>20</v>
      </c>
      <c r="I891" s="3" t="n">
        <v>3</v>
      </c>
      <c r="J891" s="3" t="n">
        <v>1</v>
      </c>
      <c r="K891" s="3" t="n">
        <v>2</v>
      </c>
      <c r="L891" s="3" t="n">
        <v>0</v>
      </c>
      <c r="M891" s="3" t="n">
        <v>0</v>
      </c>
      <c r="N891" s="3" t="s">
        <v>19</v>
      </c>
    </row>
    <row r="892" customFormat="false" ht="15" hidden="false" customHeight="false" outlineLevel="0" collapsed="false">
      <c r="A892" s="3" t="s">
        <v>922</v>
      </c>
      <c r="B892" s="3" t="n">
        <v>24</v>
      </c>
      <c r="C892" s="3" t="s">
        <v>22</v>
      </c>
      <c r="D892" s="3" t="s">
        <v>17</v>
      </c>
      <c r="E892" s="3" t="s">
        <v>18</v>
      </c>
      <c r="F892" s="3" t="n">
        <v>1.4</v>
      </c>
      <c r="G892" s="3" t="n">
        <v>2966.8</v>
      </c>
      <c r="H892" s="3" t="s">
        <v>19</v>
      </c>
      <c r="I892" s="3" t="n">
        <v>2</v>
      </c>
      <c r="J892" s="3" t="n">
        <v>3</v>
      </c>
      <c r="K892" s="3" t="n">
        <v>1</v>
      </c>
      <c r="L892" s="3" t="n">
        <v>1</v>
      </c>
      <c r="M892" s="3" t="n">
        <v>3</v>
      </c>
      <c r="N892" s="3" t="s">
        <v>19</v>
      </c>
    </row>
    <row r="893" customFormat="false" ht="15" hidden="false" customHeight="false" outlineLevel="0" collapsed="false">
      <c r="A893" s="3" t="s">
        <v>923</v>
      </c>
      <c r="B893" s="3" t="n">
        <v>48</v>
      </c>
      <c r="C893" s="3" t="s">
        <v>22</v>
      </c>
      <c r="D893" s="3" t="s">
        <v>17</v>
      </c>
      <c r="E893" s="3" t="s">
        <v>28</v>
      </c>
      <c r="F893" s="3" t="n">
        <v>1.4</v>
      </c>
      <c r="G893" s="3" t="n">
        <v>3449.79</v>
      </c>
      <c r="H893" s="3" t="s">
        <v>20</v>
      </c>
      <c r="I893" s="3" t="n">
        <v>3</v>
      </c>
      <c r="J893" s="3" t="n">
        <v>3</v>
      </c>
      <c r="K893" s="3" t="n">
        <v>5</v>
      </c>
      <c r="L893" s="3" t="n">
        <v>1</v>
      </c>
      <c r="M893" s="3" t="n">
        <v>1</v>
      </c>
      <c r="N893" s="3" t="s">
        <v>20</v>
      </c>
    </row>
    <row r="894" customFormat="false" ht="15" hidden="false" customHeight="false" outlineLevel="0" collapsed="false">
      <c r="A894" s="3" t="s">
        <v>924</v>
      </c>
      <c r="B894" s="3" t="n">
        <v>31</v>
      </c>
      <c r="C894" s="3" t="s">
        <v>26</v>
      </c>
      <c r="D894" s="3" t="s">
        <v>17</v>
      </c>
      <c r="E894" s="3" t="s">
        <v>41</v>
      </c>
      <c r="F894" s="3" t="n">
        <v>0.8</v>
      </c>
      <c r="G894" s="3" t="n">
        <v>3182.36</v>
      </c>
      <c r="H894" s="3" t="s">
        <v>19</v>
      </c>
      <c r="I894" s="3" t="n">
        <v>2</v>
      </c>
      <c r="J894" s="3" t="n">
        <v>4</v>
      </c>
      <c r="K894" s="3" t="n">
        <v>13</v>
      </c>
      <c r="L894" s="3" t="n">
        <v>0</v>
      </c>
      <c r="M894" s="3" t="n">
        <v>1</v>
      </c>
      <c r="N894" s="3" t="s">
        <v>20</v>
      </c>
    </row>
    <row r="895" customFormat="false" ht="15" hidden="false" customHeight="false" outlineLevel="0" collapsed="false">
      <c r="A895" s="3" t="s">
        <v>925</v>
      </c>
      <c r="B895" s="3" t="n">
        <v>39</v>
      </c>
      <c r="C895" s="3" t="s">
        <v>32</v>
      </c>
      <c r="D895" s="3" t="s">
        <v>23</v>
      </c>
      <c r="E895" s="3" t="s">
        <v>24</v>
      </c>
      <c r="F895" s="3" t="n">
        <v>10.9</v>
      </c>
      <c r="G895" s="3" t="n">
        <v>4362.53</v>
      </c>
      <c r="H895" s="3" t="s">
        <v>19</v>
      </c>
      <c r="I895" s="3" t="n">
        <v>3</v>
      </c>
      <c r="J895" s="3" t="n">
        <v>4</v>
      </c>
      <c r="K895" s="3" t="n">
        <v>8</v>
      </c>
      <c r="L895" s="3" t="n">
        <v>0</v>
      </c>
      <c r="M895" s="3" t="n">
        <v>3</v>
      </c>
      <c r="N895" s="3" t="s">
        <v>19</v>
      </c>
    </row>
    <row r="896" customFormat="false" ht="15" hidden="false" customHeight="false" outlineLevel="0" collapsed="false">
      <c r="A896" s="3" t="s">
        <v>926</v>
      </c>
      <c r="B896" s="3" t="n">
        <v>21</v>
      </c>
      <c r="C896" s="3" t="s">
        <v>26</v>
      </c>
      <c r="D896" s="3" t="s">
        <v>23</v>
      </c>
      <c r="E896" s="3" t="s">
        <v>24</v>
      </c>
      <c r="F896" s="3" t="n">
        <v>0</v>
      </c>
      <c r="G896" s="3" t="n">
        <v>5307.17</v>
      </c>
      <c r="H896" s="3" t="s">
        <v>19</v>
      </c>
      <c r="I896" s="3" t="n">
        <v>4</v>
      </c>
      <c r="J896" s="3" t="n">
        <v>3</v>
      </c>
      <c r="K896" s="3" t="n">
        <v>4</v>
      </c>
      <c r="L896" s="3" t="n">
        <v>0</v>
      </c>
      <c r="M896" s="3" t="n">
        <v>3</v>
      </c>
      <c r="N896" s="3" t="s">
        <v>19</v>
      </c>
    </row>
    <row r="897" customFormat="false" ht="15" hidden="false" customHeight="false" outlineLevel="0" collapsed="false">
      <c r="A897" s="3" t="s">
        <v>927</v>
      </c>
      <c r="B897" s="3" t="n">
        <v>43</v>
      </c>
      <c r="C897" s="3" t="s">
        <v>24</v>
      </c>
      <c r="D897" s="3" t="s">
        <v>17</v>
      </c>
      <c r="E897" s="3" t="s">
        <v>24</v>
      </c>
      <c r="F897" s="3" t="n">
        <v>0.4</v>
      </c>
      <c r="G897" s="3" t="n">
        <v>3765.85</v>
      </c>
      <c r="H897" s="3" t="s">
        <v>19</v>
      </c>
      <c r="I897" s="3" t="n">
        <v>1</v>
      </c>
      <c r="J897" s="3" t="n">
        <v>2</v>
      </c>
      <c r="K897" s="3" t="n">
        <v>2</v>
      </c>
      <c r="L897" s="3" t="n">
        <v>0</v>
      </c>
      <c r="M897" s="3" t="n">
        <v>1</v>
      </c>
      <c r="N897" s="3" t="s">
        <v>19</v>
      </c>
    </row>
    <row r="898" customFormat="false" ht="15" hidden="false" customHeight="false" outlineLevel="0" collapsed="false">
      <c r="A898" s="3" t="s">
        <v>928</v>
      </c>
      <c r="B898" s="3" t="n">
        <v>40</v>
      </c>
      <c r="C898" s="3" t="s">
        <v>24</v>
      </c>
      <c r="D898" s="3" t="s">
        <v>23</v>
      </c>
      <c r="E898" s="3" t="s">
        <v>41</v>
      </c>
      <c r="F898" s="3" t="n">
        <v>0.3</v>
      </c>
      <c r="G898" s="3" t="n">
        <v>5724.51</v>
      </c>
      <c r="H898" s="3" t="s">
        <v>19</v>
      </c>
      <c r="I898" s="3" t="n">
        <v>2</v>
      </c>
      <c r="J898" s="3" t="n">
        <v>3</v>
      </c>
      <c r="K898" s="3" t="n">
        <v>16</v>
      </c>
      <c r="L898" s="3" t="n">
        <v>0</v>
      </c>
      <c r="M898" s="3" t="n">
        <v>1</v>
      </c>
      <c r="N898" s="3" t="s">
        <v>19</v>
      </c>
    </row>
    <row r="899" customFormat="false" ht="15" hidden="false" customHeight="false" outlineLevel="0" collapsed="false">
      <c r="A899" s="3" t="s">
        <v>929</v>
      </c>
      <c r="B899" s="3" t="n">
        <v>25</v>
      </c>
      <c r="C899" s="3" t="s">
        <v>24</v>
      </c>
      <c r="D899" s="3" t="s">
        <v>27</v>
      </c>
      <c r="E899" s="3" t="s">
        <v>18</v>
      </c>
      <c r="F899" s="3" t="n">
        <v>2.7</v>
      </c>
      <c r="G899" s="3" t="n">
        <v>8212.19</v>
      </c>
      <c r="H899" s="3" t="s">
        <v>19</v>
      </c>
      <c r="I899" s="3" t="n">
        <v>1</v>
      </c>
      <c r="J899" s="3" t="n">
        <v>4</v>
      </c>
      <c r="K899" s="3" t="n">
        <v>40</v>
      </c>
      <c r="L899" s="3" t="n">
        <v>0</v>
      </c>
      <c r="M899" s="3" t="n">
        <v>2</v>
      </c>
      <c r="N899" s="3" t="s">
        <v>20</v>
      </c>
    </row>
    <row r="900" customFormat="false" ht="15" hidden="false" customHeight="false" outlineLevel="0" collapsed="false">
      <c r="A900" s="3" t="s">
        <v>930</v>
      </c>
      <c r="B900" s="3" t="n">
        <v>34</v>
      </c>
      <c r="C900" s="3" t="s">
        <v>22</v>
      </c>
      <c r="D900" s="3" t="s">
        <v>23</v>
      </c>
      <c r="E900" s="3" t="s">
        <v>41</v>
      </c>
      <c r="F900" s="3" t="n">
        <v>2.1</v>
      </c>
      <c r="G900" s="3" t="n">
        <v>4971.15</v>
      </c>
      <c r="H900" s="3" t="s">
        <v>20</v>
      </c>
      <c r="I900" s="3" t="n">
        <v>1</v>
      </c>
      <c r="J900" s="3" t="n">
        <v>2</v>
      </c>
      <c r="K900" s="3" t="n">
        <v>5</v>
      </c>
      <c r="L900" s="3" t="n">
        <v>1</v>
      </c>
      <c r="M900" s="3" t="n">
        <v>1</v>
      </c>
      <c r="N900" s="3" t="s">
        <v>19</v>
      </c>
    </row>
    <row r="901" customFormat="false" ht="15" hidden="false" customHeight="false" outlineLevel="0" collapsed="false">
      <c r="A901" s="3" t="s">
        <v>931</v>
      </c>
      <c r="B901" s="3" t="n">
        <v>41</v>
      </c>
      <c r="C901" s="3" t="s">
        <v>32</v>
      </c>
      <c r="D901" s="3" t="s">
        <v>48</v>
      </c>
      <c r="E901" s="3" t="s">
        <v>41</v>
      </c>
      <c r="F901" s="3" t="n">
        <v>0.6</v>
      </c>
      <c r="G901" s="3" t="n">
        <v>9271.41</v>
      </c>
      <c r="H901" s="3" t="s">
        <v>20</v>
      </c>
      <c r="I901" s="3" t="n">
        <v>3</v>
      </c>
      <c r="J901" s="3" t="n">
        <v>4</v>
      </c>
      <c r="K901" s="3" t="n">
        <v>7</v>
      </c>
      <c r="L901" s="3" t="n">
        <v>0</v>
      </c>
      <c r="M901" s="3" t="n">
        <v>4</v>
      </c>
      <c r="N901" s="3" t="s">
        <v>20</v>
      </c>
    </row>
    <row r="902" customFormat="false" ht="15" hidden="false" customHeight="false" outlineLevel="0" collapsed="false">
      <c r="A902" s="3" t="s">
        <v>932</v>
      </c>
      <c r="B902" s="3" t="n">
        <v>24</v>
      </c>
      <c r="C902" s="3" t="s">
        <v>16</v>
      </c>
      <c r="D902" s="3" t="s">
        <v>27</v>
      </c>
      <c r="E902" s="3" t="s">
        <v>18</v>
      </c>
      <c r="F902" s="3" t="n">
        <v>3</v>
      </c>
      <c r="G902" s="3" t="n">
        <v>7838.11</v>
      </c>
      <c r="H902" s="3" t="s">
        <v>20</v>
      </c>
      <c r="I902" s="3" t="n">
        <v>4</v>
      </c>
      <c r="J902" s="3" t="n">
        <v>2</v>
      </c>
      <c r="K902" s="3" t="n">
        <v>27</v>
      </c>
      <c r="L902" s="3" t="n">
        <v>0</v>
      </c>
      <c r="M902" s="3" t="n">
        <v>0</v>
      </c>
      <c r="N902" s="3" t="s">
        <v>19</v>
      </c>
    </row>
    <row r="903" customFormat="false" ht="15" hidden="false" customHeight="false" outlineLevel="0" collapsed="false">
      <c r="A903" s="3" t="s">
        <v>933</v>
      </c>
      <c r="B903" s="3" t="n">
        <v>29</v>
      </c>
      <c r="C903" s="3" t="s">
        <v>16</v>
      </c>
      <c r="D903" s="3" t="s">
        <v>23</v>
      </c>
      <c r="E903" s="3" t="s">
        <v>24</v>
      </c>
      <c r="F903" s="3" t="n">
        <v>3.1</v>
      </c>
      <c r="G903" s="3" t="n">
        <v>4364.56</v>
      </c>
      <c r="H903" s="3" t="s">
        <v>19</v>
      </c>
      <c r="I903" s="3" t="n">
        <v>2</v>
      </c>
      <c r="J903" s="3" t="n">
        <v>3</v>
      </c>
      <c r="K903" s="3" t="n">
        <v>34</v>
      </c>
      <c r="L903" s="3" t="n">
        <v>2</v>
      </c>
      <c r="M903" s="3" t="n">
        <v>2</v>
      </c>
      <c r="N903" s="3" t="s">
        <v>19</v>
      </c>
    </row>
    <row r="904" customFormat="false" ht="15" hidden="false" customHeight="false" outlineLevel="0" collapsed="false">
      <c r="A904" s="3" t="s">
        <v>934</v>
      </c>
      <c r="B904" s="3" t="n">
        <v>41</v>
      </c>
      <c r="C904" s="3" t="s">
        <v>24</v>
      </c>
      <c r="D904" s="3" t="s">
        <v>23</v>
      </c>
      <c r="E904" s="3" t="s">
        <v>18</v>
      </c>
      <c r="F904" s="3" t="n">
        <v>3.1</v>
      </c>
      <c r="G904" s="3" t="n">
        <v>4821.75</v>
      </c>
      <c r="H904" s="3" t="s">
        <v>19</v>
      </c>
      <c r="I904" s="3" t="n">
        <v>3</v>
      </c>
      <c r="J904" s="3" t="n">
        <v>1</v>
      </c>
      <c r="K904" s="3" t="n">
        <v>2</v>
      </c>
      <c r="L904" s="3" t="n">
        <v>0</v>
      </c>
      <c r="M904" s="3" t="n">
        <v>5</v>
      </c>
      <c r="N904" s="3" t="s">
        <v>19</v>
      </c>
    </row>
    <row r="905" customFormat="false" ht="15" hidden="false" customHeight="false" outlineLevel="0" collapsed="false">
      <c r="A905" s="3" t="s">
        <v>935</v>
      </c>
      <c r="B905" s="3" t="n">
        <v>30</v>
      </c>
      <c r="C905" s="3" t="s">
        <v>22</v>
      </c>
      <c r="D905" s="3" t="s">
        <v>27</v>
      </c>
      <c r="E905" s="3" t="s">
        <v>41</v>
      </c>
      <c r="F905" s="3" t="n">
        <v>0.4</v>
      </c>
      <c r="G905" s="3" t="n">
        <v>8629.37</v>
      </c>
      <c r="H905" s="3" t="s">
        <v>19</v>
      </c>
      <c r="I905" s="3" t="n">
        <v>3</v>
      </c>
      <c r="J905" s="3" t="n">
        <v>3</v>
      </c>
      <c r="K905" s="3" t="n">
        <v>6</v>
      </c>
      <c r="L905" s="3" t="n">
        <v>0</v>
      </c>
      <c r="M905" s="3" t="n">
        <v>3</v>
      </c>
      <c r="N905" s="3" t="s">
        <v>19</v>
      </c>
    </row>
    <row r="906" customFormat="false" ht="15" hidden="false" customHeight="false" outlineLevel="0" collapsed="false">
      <c r="A906" s="3" t="s">
        <v>936</v>
      </c>
      <c r="B906" s="3" t="n">
        <v>45</v>
      </c>
      <c r="C906" s="3" t="s">
        <v>16</v>
      </c>
      <c r="D906" s="3" t="s">
        <v>23</v>
      </c>
      <c r="E906" s="3" t="s">
        <v>24</v>
      </c>
      <c r="F906" s="3" t="n">
        <v>5.1</v>
      </c>
      <c r="G906" s="3" t="n">
        <v>5150.34</v>
      </c>
      <c r="H906" s="3" t="s">
        <v>19</v>
      </c>
      <c r="I906" s="3" t="n">
        <v>3</v>
      </c>
      <c r="J906" s="3" t="n">
        <v>3</v>
      </c>
      <c r="K906" s="3" t="n">
        <v>3</v>
      </c>
      <c r="L906" s="3" t="n">
        <v>1</v>
      </c>
      <c r="M906" s="3" t="n">
        <v>3</v>
      </c>
      <c r="N906" s="3" t="s">
        <v>19</v>
      </c>
    </row>
    <row r="907" customFormat="false" ht="15" hidden="false" customHeight="false" outlineLevel="0" collapsed="false">
      <c r="A907" s="3" t="s">
        <v>937</v>
      </c>
      <c r="B907" s="3" t="n">
        <v>29</v>
      </c>
      <c r="C907" s="3" t="s">
        <v>16</v>
      </c>
      <c r="D907" s="3" t="s">
        <v>17</v>
      </c>
      <c r="E907" s="3" t="s">
        <v>41</v>
      </c>
      <c r="F907" s="3" t="n">
        <v>0.2</v>
      </c>
      <c r="G907" s="3" t="n">
        <v>3504.9</v>
      </c>
      <c r="H907" s="3" t="s">
        <v>19</v>
      </c>
      <c r="I907" s="3" t="n">
        <v>4</v>
      </c>
      <c r="J907" s="3" t="n">
        <v>3</v>
      </c>
      <c r="K907" s="3" t="n">
        <v>15</v>
      </c>
      <c r="L907" s="3" t="n">
        <v>0</v>
      </c>
      <c r="M907" s="3" t="n">
        <v>0</v>
      </c>
      <c r="N907" s="3" t="s">
        <v>20</v>
      </c>
    </row>
    <row r="908" customFormat="false" ht="15" hidden="false" customHeight="false" outlineLevel="0" collapsed="false">
      <c r="A908" s="3" t="s">
        <v>938</v>
      </c>
      <c r="B908" s="3" t="n">
        <v>36</v>
      </c>
      <c r="C908" s="3" t="s">
        <v>16</v>
      </c>
      <c r="D908" s="3" t="s">
        <v>17</v>
      </c>
      <c r="E908" s="3" t="s">
        <v>41</v>
      </c>
      <c r="F908" s="3" t="n">
        <v>0.8</v>
      </c>
      <c r="G908" s="3" t="n">
        <v>3770</v>
      </c>
      <c r="H908" s="3" t="s">
        <v>19</v>
      </c>
      <c r="I908" s="3" t="n">
        <v>4</v>
      </c>
      <c r="J908" s="3" t="n">
        <v>3</v>
      </c>
      <c r="K908" s="3" t="n">
        <v>9</v>
      </c>
      <c r="L908" s="3" t="n">
        <v>0</v>
      </c>
      <c r="M908" s="3" t="n">
        <v>2</v>
      </c>
      <c r="N908" s="3" t="s">
        <v>19</v>
      </c>
    </row>
    <row r="909" customFormat="false" ht="15" hidden="false" customHeight="false" outlineLevel="0" collapsed="false">
      <c r="A909" s="3" t="s">
        <v>939</v>
      </c>
      <c r="B909" s="3" t="n">
        <v>46</v>
      </c>
      <c r="C909" s="3" t="s">
        <v>24</v>
      </c>
      <c r="D909" s="3" t="s">
        <v>23</v>
      </c>
      <c r="E909" s="3" t="s">
        <v>28</v>
      </c>
      <c r="F909" s="3" t="n">
        <v>3</v>
      </c>
      <c r="G909" s="3" t="n">
        <v>5695.24</v>
      </c>
      <c r="H909" s="4" t="s">
        <v>100</v>
      </c>
      <c r="I909" s="3" t="n">
        <v>3</v>
      </c>
      <c r="J909" s="3" t="n">
        <v>2</v>
      </c>
      <c r="K909" s="3" t="n">
        <v>4</v>
      </c>
      <c r="L909" s="3" t="n">
        <v>0</v>
      </c>
      <c r="M909" s="3" t="n">
        <v>3</v>
      </c>
      <c r="N909" s="3" t="s">
        <v>20</v>
      </c>
    </row>
    <row r="910" customFormat="false" ht="15" hidden="false" customHeight="false" outlineLevel="0" collapsed="false">
      <c r="A910" s="3" t="s">
        <v>940</v>
      </c>
      <c r="B910" s="3" t="n">
        <v>37</v>
      </c>
      <c r="C910" s="3" t="s">
        <v>45</v>
      </c>
      <c r="D910" s="3" t="s">
        <v>17</v>
      </c>
      <c r="E910" s="3" t="s">
        <v>41</v>
      </c>
      <c r="F910" s="3" t="n">
        <v>0.8</v>
      </c>
      <c r="G910" s="3" t="n">
        <v>3656.63</v>
      </c>
      <c r="H910" s="3" t="s">
        <v>19</v>
      </c>
      <c r="I910" s="3" t="n">
        <v>3</v>
      </c>
      <c r="J910" s="3" t="n">
        <v>3</v>
      </c>
      <c r="K910" s="3" t="n">
        <v>2</v>
      </c>
      <c r="L910" s="3" t="n">
        <v>0</v>
      </c>
      <c r="M910" s="3" t="n">
        <v>3</v>
      </c>
      <c r="N910" s="3" t="s">
        <v>19</v>
      </c>
    </row>
    <row r="911" customFormat="false" ht="15" hidden="false" customHeight="false" outlineLevel="0" collapsed="false">
      <c r="A911" s="3" t="s">
        <v>941</v>
      </c>
      <c r="B911" s="3" t="n">
        <v>21</v>
      </c>
      <c r="C911" s="3" t="s">
        <v>16</v>
      </c>
      <c r="D911" s="3" t="s">
        <v>23</v>
      </c>
      <c r="E911" s="3" t="s">
        <v>24</v>
      </c>
      <c r="F911" s="3" t="n">
        <v>0</v>
      </c>
      <c r="G911" s="3" t="n">
        <v>5599.1</v>
      </c>
      <c r="H911" s="3" t="s">
        <v>20</v>
      </c>
      <c r="I911" s="3" t="n">
        <v>4</v>
      </c>
      <c r="J911" s="3" t="n">
        <v>4</v>
      </c>
      <c r="K911" s="3" t="n">
        <v>5</v>
      </c>
      <c r="L911" s="3" t="n">
        <v>0</v>
      </c>
      <c r="M911" s="3" t="n">
        <v>3</v>
      </c>
      <c r="N911" s="3" t="s">
        <v>19</v>
      </c>
    </row>
    <row r="912" customFormat="false" ht="15" hidden="false" customHeight="false" outlineLevel="0" collapsed="false">
      <c r="A912" s="3" t="s">
        <v>942</v>
      </c>
      <c r="B912" s="3" t="n">
        <v>33</v>
      </c>
      <c r="C912" s="3" t="s">
        <v>16</v>
      </c>
      <c r="D912" s="3" t="s">
        <v>23</v>
      </c>
      <c r="E912" s="3" t="s">
        <v>28</v>
      </c>
      <c r="F912" s="3" t="n">
        <v>8.2</v>
      </c>
      <c r="G912" s="3" t="n">
        <v>4614.21</v>
      </c>
      <c r="H912" s="4" t="s">
        <v>100</v>
      </c>
      <c r="I912" s="3" t="n">
        <v>4</v>
      </c>
      <c r="J912" s="3" t="n">
        <v>4</v>
      </c>
      <c r="K912" s="3" t="n">
        <v>40</v>
      </c>
      <c r="L912" s="3" t="n">
        <v>0</v>
      </c>
      <c r="M912" s="3" t="n">
        <v>0</v>
      </c>
      <c r="N912" s="3" t="s">
        <v>19</v>
      </c>
    </row>
    <row r="913" customFormat="false" ht="15" hidden="false" customHeight="false" outlineLevel="0" collapsed="false">
      <c r="A913" s="3" t="s">
        <v>943</v>
      </c>
      <c r="B913" s="3" t="n">
        <v>25</v>
      </c>
      <c r="C913" s="3" t="s">
        <v>24</v>
      </c>
      <c r="D913" s="3" t="s">
        <v>17</v>
      </c>
      <c r="E913" s="3" t="s">
        <v>18</v>
      </c>
      <c r="F913" s="3" t="n">
        <v>3.2</v>
      </c>
      <c r="G913" s="3" t="n">
        <v>2787.94</v>
      </c>
      <c r="H913" s="3" t="s">
        <v>19</v>
      </c>
      <c r="I913" s="3" t="n">
        <v>3</v>
      </c>
      <c r="J913" s="3" t="n">
        <v>2</v>
      </c>
      <c r="K913" s="3" t="n">
        <v>2</v>
      </c>
      <c r="L913" s="3" t="n">
        <v>1</v>
      </c>
      <c r="M913" s="3" t="n">
        <v>1</v>
      </c>
      <c r="N913" s="3" t="s">
        <v>19</v>
      </c>
    </row>
    <row r="914" customFormat="false" ht="15" hidden="false" customHeight="false" outlineLevel="0" collapsed="false">
      <c r="A914" s="3" t="s">
        <v>944</v>
      </c>
      <c r="B914" s="3" t="n">
        <v>33</v>
      </c>
      <c r="C914" s="3" t="s">
        <v>24</v>
      </c>
      <c r="D914" s="3" t="s">
        <v>27</v>
      </c>
      <c r="E914" s="3" t="s">
        <v>18</v>
      </c>
      <c r="F914" s="3" t="n">
        <v>0.5</v>
      </c>
      <c r="G914" s="3" t="n">
        <v>8465.84</v>
      </c>
      <c r="H914" s="3" t="s">
        <v>20</v>
      </c>
      <c r="I914" s="3" t="n">
        <v>4</v>
      </c>
      <c r="J914" s="3" t="n">
        <v>2</v>
      </c>
      <c r="K914" s="3" t="n">
        <v>4</v>
      </c>
      <c r="L914" s="3" t="n">
        <v>0</v>
      </c>
      <c r="M914" s="3" t="n">
        <v>3</v>
      </c>
      <c r="N914" s="3" t="s">
        <v>19</v>
      </c>
    </row>
    <row r="915" customFormat="false" ht="15" hidden="false" customHeight="false" outlineLevel="0" collapsed="false">
      <c r="A915" s="3" t="s">
        <v>945</v>
      </c>
      <c r="B915" s="3" t="n">
        <v>36</v>
      </c>
      <c r="C915" s="3" t="s">
        <v>16</v>
      </c>
      <c r="D915" s="3" t="s">
        <v>17</v>
      </c>
      <c r="E915" s="3" t="s">
        <v>28</v>
      </c>
      <c r="F915" s="3" t="n">
        <v>7.3</v>
      </c>
      <c r="G915" s="3" t="n">
        <v>2839.18</v>
      </c>
      <c r="H915" s="3" t="s">
        <v>20</v>
      </c>
      <c r="I915" s="3" t="n">
        <v>2</v>
      </c>
      <c r="J915" s="3" t="n">
        <v>3</v>
      </c>
      <c r="K915" s="3" t="n">
        <v>1</v>
      </c>
      <c r="L915" s="3" t="n">
        <v>2</v>
      </c>
      <c r="M915" s="3" t="n">
        <v>4</v>
      </c>
      <c r="N915" s="3" t="s">
        <v>20</v>
      </c>
    </row>
    <row r="916" customFormat="false" ht="15" hidden="false" customHeight="false" outlineLevel="0" collapsed="false">
      <c r="A916" s="3" t="s">
        <v>946</v>
      </c>
      <c r="B916" s="3" t="n">
        <v>26</v>
      </c>
      <c r="C916" s="3" t="s">
        <v>24</v>
      </c>
      <c r="D916" s="3" t="s">
        <v>48</v>
      </c>
      <c r="E916" s="3" t="s">
        <v>18</v>
      </c>
      <c r="F916" s="3" t="n">
        <v>1.3</v>
      </c>
      <c r="G916" s="3" t="n">
        <v>9418.61</v>
      </c>
      <c r="H916" s="3" t="s">
        <v>20</v>
      </c>
      <c r="I916" s="3" t="n">
        <v>4</v>
      </c>
      <c r="J916" s="3" t="n">
        <v>4</v>
      </c>
      <c r="K916" s="3" t="n">
        <v>4</v>
      </c>
      <c r="L916" s="3" t="n">
        <v>1</v>
      </c>
      <c r="M916" s="3" t="n">
        <v>1</v>
      </c>
      <c r="N916" s="3" t="s">
        <v>19</v>
      </c>
    </row>
    <row r="917" customFormat="false" ht="15" hidden="false" customHeight="false" outlineLevel="0" collapsed="false">
      <c r="A917" s="3" t="s">
        <v>947</v>
      </c>
      <c r="B917" s="3" t="n">
        <v>28</v>
      </c>
      <c r="C917" s="3" t="s">
        <v>16</v>
      </c>
      <c r="D917" s="3" t="s">
        <v>27</v>
      </c>
      <c r="E917" s="3" t="s">
        <v>24</v>
      </c>
      <c r="F917" s="3" t="n">
        <v>3.6</v>
      </c>
      <c r="G917" s="3" t="n">
        <v>8257.77</v>
      </c>
      <c r="H917" s="3" t="s">
        <v>19</v>
      </c>
      <c r="I917" s="3" t="n">
        <v>1</v>
      </c>
      <c r="J917" s="3" t="n">
        <v>1</v>
      </c>
      <c r="K917" s="3" t="n">
        <v>8</v>
      </c>
      <c r="L917" s="3" t="n">
        <v>0</v>
      </c>
      <c r="M917" s="3" t="n">
        <v>5</v>
      </c>
      <c r="N917" s="3" t="s">
        <v>19</v>
      </c>
    </row>
    <row r="918" customFormat="false" ht="15" hidden="false" customHeight="false" outlineLevel="0" collapsed="false">
      <c r="A918" s="3" t="s">
        <v>948</v>
      </c>
      <c r="B918" s="3" t="n">
        <v>31</v>
      </c>
      <c r="C918" s="3" t="s">
        <v>26</v>
      </c>
      <c r="D918" s="3" t="s">
        <v>23</v>
      </c>
      <c r="E918" s="3" t="s">
        <v>24</v>
      </c>
      <c r="F918" s="3" t="n">
        <v>1.7</v>
      </c>
      <c r="G918" s="3" t="n">
        <v>4646.69</v>
      </c>
      <c r="H918" s="3" t="s">
        <v>20</v>
      </c>
      <c r="I918" s="3" t="n">
        <v>4</v>
      </c>
      <c r="J918" s="3" t="n">
        <v>1</v>
      </c>
      <c r="K918" s="3" t="n">
        <v>1</v>
      </c>
      <c r="L918" s="3" t="n">
        <v>1</v>
      </c>
      <c r="M918" s="3" t="n">
        <v>1</v>
      </c>
      <c r="N918" s="3" t="s">
        <v>20</v>
      </c>
    </row>
    <row r="919" customFormat="false" ht="15" hidden="false" customHeight="false" outlineLevel="0" collapsed="false">
      <c r="A919" s="3" t="s">
        <v>949</v>
      </c>
      <c r="B919" s="3" t="n">
        <v>40</v>
      </c>
      <c r="C919" s="3" t="s">
        <v>24</v>
      </c>
      <c r="D919" s="3" t="s">
        <v>27</v>
      </c>
      <c r="E919" s="3" t="s">
        <v>24</v>
      </c>
      <c r="F919" s="3" t="n">
        <v>2.1</v>
      </c>
      <c r="G919" s="3" t="n">
        <v>7730.9</v>
      </c>
      <c r="H919" s="3" t="s">
        <v>19</v>
      </c>
      <c r="I919" s="3" t="n">
        <v>1</v>
      </c>
      <c r="J919" s="3" t="n">
        <v>4</v>
      </c>
      <c r="K919" s="3" t="n">
        <v>32</v>
      </c>
      <c r="L919" s="3" t="n">
        <v>0</v>
      </c>
      <c r="M919" s="3" t="n">
        <v>2</v>
      </c>
      <c r="N919" s="3" t="s">
        <v>19</v>
      </c>
    </row>
    <row r="920" customFormat="false" ht="15" hidden="false" customHeight="false" outlineLevel="0" collapsed="false">
      <c r="A920" s="3" t="s">
        <v>950</v>
      </c>
      <c r="B920" s="3" t="n">
        <v>21</v>
      </c>
      <c r="C920" s="3" t="s">
        <v>22</v>
      </c>
      <c r="D920" s="3" t="s">
        <v>17</v>
      </c>
      <c r="E920" s="3" t="s">
        <v>24</v>
      </c>
      <c r="F920" s="3" t="n">
        <v>0</v>
      </c>
      <c r="G920" s="3" t="n">
        <v>3484.32</v>
      </c>
      <c r="H920" s="3" t="s">
        <v>19</v>
      </c>
      <c r="I920" s="3" t="n">
        <v>4</v>
      </c>
      <c r="J920" s="3" t="n">
        <v>2</v>
      </c>
      <c r="K920" s="3" t="n">
        <v>17</v>
      </c>
      <c r="L920" s="3" t="n">
        <v>0</v>
      </c>
      <c r="M920" s="3" t="n">
        <v>1</v>
      </c>
      <c r="N920" s="3" t="s">
        <v>19</v>
      </c>
    </row>
    <row r="921" customFormat="false" ht="15" hidden="false" customHeight="false" outlineLevel="0" collapsed="false">
      <c r="A921" s="3" t="s">
        <v>951</v>
      </c>
      <c r="B921" s="3" t="n">
        <v>41</v>
      </c>
      <c r="C921" s="3" t="s">
        <v>24</v>
      </c>
      <c r="D921" s="3" t="s">
        <v>27</v>
      </c>
      <c r="E921" s="3" t="s">
        <v>24</v>
      </c>
      <c r="F921" s="3" t="n">
        <v>7.9</v>
      </c>
      <c r="G921" s="3" t="n">
        <v>7598.83</v>
      </c>
      <c r="H921" s="3" t="s">
        <v>19</v>
      </c>
      <c r="I921" s="3" t="n">
        <v>3</v>
      </c>
      <c r="J921" s="3" t="n">
        <v>3</v>
      </c>
      <c r="K921" s="3" t="n">
        <v>7</v>
      </c>
      <c r="L921" s="3" t="n">
        <v>5</v>
      </c>
      <c r="M921" s="3" t="n">
        <v>2</v>
      </c>
      <c r="N921" s="3" t="s">
        <v>19</v>
      </c>
    </row>
    <row r="922" customFormat="false" ht="15" hidden="false" customHeight="false" outlineLevel="0" collapsed="false">
      <c r="A922" s="3" t="s">
        <v>952</v>
      </c>
      <c r="B922" s="3" t="n">
        <v>23</v>
      </c>
      <c r="C922" s="3" t="s">
        <v>24</v>
      </c>
      <c r="D922" s="3" t="s">
        <v>27</v>
      </c>
      <c r="E922" s="3" t="s">
        <v>24</v>
      </c>
      <c r="F922" s="3" t="n">
        <v>0</v>
      </c>
      <c r="G922" s="3" t="n">
        <v>7166.09</v>
      </c>
      <c r="H922" s="3" t="s">
        <v>19</v>
      </c>
      <c r="I922" s="3" t="n">
        <v>4</v>
      </c>
      <c r="J922" s="3" t="n">
        <v>3</v>
      </c>
      <c r="K922" s="3" t="n">
        <v>1</v>
      </c>
      <c r="L922" s="3" t="n">
        <v>0</v>
      </c>
      <c r="M922" s="3" t="n">
        <v>1</v>
      </c>
      <c r="N922" s="3" t="s">
        <v>19</v>
      </c>
    </row>
    <row r="923" customFormat="false" ht="15" hidden="false" customHeight="false" outlineLevel="0" collapsed="false">
      <c r="A923" s="3" t="s">
        <v>953</v>
      </c>
      <c r="B923" s="3" t="n">
        <v>23</v>
      </c>
      <c r="C923" s="3" t="s">
        <v>22</v>
      </c>
      <c r="D923" s="3" t="s">
        <v>17</v>
      </c>
      <c r="E923" s="3" t="s">
        <v>41</v>
      </c>
      <c r="F923" s="3" t="n">
        <v>2</v>
      </c>
      <c r="G923" s="3" t="n">
        <v>2816.58</v>
      </c>
      <c r="H923" s="3" t="s">
        <v>19</v>
      </c>
      <c r="I923" s="3" t="n">
        <v>4</v>
      </c>
      <c r="J923" s="3" t="n">
        <v>3</v>
      </c>
      <c r="K923" s="3" t="n">
        <v>3</v>
      </c>
      <c r="L923" s="3" t="n">
        <v>2</v>
      </c>
      <c r="M923" s="3" t="n">
        <v>0</v>
      </c>
      <c r="N923" s="3" t="s">
        <v>19</v>
      </c>
    </row>
    <row r="924" customFormat="false" ht="15" hidden="false" customHeight="false" outlineLevel="0" collapsed="false">
      <c r="A924" s="3" t="s">
        <v>954</v>
      </c>
      <c r="B924" s="3" t="n">
        <v>26</v>
      </c>
      <c r="C924" s="3" t="s">
        <v>16</v>
      </c>
      <c r="D924" s="3" t="s">
        <v>23</v>
      </c>
      <c r="E924" s="3" t="s">
        <v>24</v>
      </c>
      <c r="F924" s="3" t="n">
        <v>1.5</v>
      </c>
      <c r="G924" s="3" t="n">
        <v>4678.46</v>
      </c>
      <c r="H924" s="3" t="s">
        <v>19</v>
      </c>
      <c r="I924" s="3" t="n">
        <v>2</v>
      </c>
      <c r="J924" s="3" t="n">
        <v>2</v>
      </c>
      <c r="K924" s="3" t="n">
        <v>2</v>
      </c>
      <c r="L924" s="3" t="n">
        <v>0</v>
      </c>
      <c r="M924" s="3" t="n">
        <v>2</v>
      </c>
      <c r="N924" s="3" t="s">
        <v>20</v>
      </c>
    </row>
    <row r="925" customFormat="false" ht="15" hidden="false" customHeight="false" outlineLevel="0" collapsed="false">
      <c r="A925" s="3" t="s">
        <v>955</v>
      </c>
      <c r="B925" s="3" t="n">
        <v>32</v>
      </c>
      <c r="C925" s="3" t="s">
        <v>24</v>
      </c>
      <c r="D925" s="3" t="s">
        <v>23</v>
      </c>
      <c r="E925" s="3" t="s">
        <v>28</v>
      </c>
      <c r="F925" s="3" t="n">
        <v>9</v>
      </c>
      <c r="G925" s="3" t="n">
        <v>4375.6</v>
      </c>
      <c r="H925" s="3" t="s">
        <v>19</v>
      </c>
      <c r="I925" s="3" t="n">
        <v>4</v>
      </c>
      <c r="J925" s="3" t="n">
        <v>4</v>
      </c>
      <c r="K925" s="3" t="n">
        <v>4</v>
      </c>
      <c r="L925" s="3" t="n">
        <v>2</v>
      </c>
      <c r="M925" s="3" t="n">
        <v>3</v>
      </c>
      <c r="N925" s="3" t="s">
        <v>19</v>
      </c>
    </row>
    <row r="926" customFormat="false" ht="15" hidden="false" customHeight="false" outlineLevel="0" collapsed="false">
      <c r="A926" s="3" t="s">
        <v>956</v>
      </c>
      <c r="B926" s="3" t="n">
        <v>32</v>
      </c>
      <c r="C926" s="3" t="s">
        <v>16</v>
      </c>
      <c r="D926" s="3" t="s">
        <v>17</v>
      </c>
      <c r="E926" s="3" t="s">
        <v>24</v>
      </c>
      <c r="F926" s="3" t="n">
        <v>2.1</v>
      </c>
      <c r="G926" s="3" t="n">
        <v>3424.18</v>
      </c>
      <c r="H926" s="3" t="s">
        <v>19</v>
      </c>
      <c r="I926" s="3" t="n">
        <v>1</v>
      </c>
      <c r="J926" s="3" t="n">
        <v>3</v>
      </c>
      <c r="K926" s="3" t="n">
        <v>8</v>
      </c>
      <c r="L926" s="3" t="n">
        <v>1</v>
      </c>
      <c r="M926" s="3" t="n">
        <v>3</v>
      </c>
      <c r="N926" s="3" t="s">
        <v>20</v>
      </c>
    </row>
    <row r="927" customFormat="false" ht="15" hidden="false" customHeight="false" outlineLevel="0" collapsed="false">
      <c r="A927" s="3" t="s">
        <v>957</v>
      </c>
      <c r="B927" s="3" t="n">
        <v>27</v>
      </c>
      <c r="C927" s="3" t="s">
        <v>22</v>
      </c>
      <c r="D927" s="3" t="s">
        <v>17</v>
      </c>
      <c r="E927" s="3" t="s">
        <v>18</v>
      </c>
      <c r="F927" s="3" t="n">
        <v>5.1</v>
      </c>
      <c r="G927" s="3" t="n">
        <v>3358.66</v>
      </c>
      <c r="H927" s="3" t="s">
        <v>19</v>
      </c>
      <c r="I927" s="3" t="n">
        <v>2</v>
      </c>
      <c r="J927" s="3" t="n">
        <v>3</v>
      </c>
      <c r="K927" s="3" t="n">
        <v>3</v>
      </c>
      <c r="L927" s="3" t="n">
        <v>1</v>
      </c>
      <c r="M927" s="3" t="n">
        <v>1</v>
      </c>
      <c r="N927" s="3" t="s">
        <v>19</v>
      </c>
    </row>
    <row r="928" customFormat="false" ht="15" hidden="false" customHeight="false" outlineLevel="0" collapsed="false">
      <c r="A928" s="3" t="s">
        <v>958</v>
      </c>
      <c r="B928" s="3" t="n">
        <v>23</v>
      </c>
      <c r="C928" s="3" t="s">
        <v>26</v>
      </c>
      <c r="D928" s="3" t="s">
        <v>17</v>
      </c>
      <c r="E928" s="3" t="s">
        <v>24</v>
      </c>
      <c r="F928" s="3" t="n">
        <v>2</v>
      </c>
      <c r="G928" s="3" t="n">
        <v>3538.42</v>
      </c>
      <c r="H928" s="3" t="s">
        <v>20</v>
      </c>
      <c r="I928" s="3" t="n">
        <v>3</v>
      </c>
      <c r="J928" s="3" t="n">
        <v>2</v>
      </c>
      <c r="K928" s="3" t="n">
        <v>5</v>
      </c>
      <c r="L928" s="3" t="n">
        <v>0</v>
      </c>
      <c r="M928" s="3" t="n">
        <v>3</v>
      </c>
      <c r="N928" s="3" t="s">
        <v>20</v>
      </c>
    </row>
    <row r="929" customFormat="false" ht="15" hidden="false" customHeight="false" outlineLevel="0" collapsed="false">
      <c r="A929" s="3" t="s">
        <v>959</v>
      </c>
      <c r="B929" s="3" t="n">
        <v>33</v>
      </c>
      <c r="C929" s="3" t="s">
        <v>24</v>
      </c>
      <c r="D929" s="3" t="s">
        <v>23</v>
      </c>
      <c r="E929" s="3" t="s">
        <v>41</v>
      </c>
      <c r="F929" s="3" t="n">
        <v>0.1</v>
      </c>
      <c r="G929" s="3" t="n">
        <v>4668.93</v>
      </c>
      <c r="H929" s="3" t="s">
        <v>20</v>
      </c>
      <c r="I929" s="3" t="n">
        <v>3</v>
      </c>
      <c r="J929" s="3" t="n">
        <v>3</v>
      </c>
      <c r="K929" s="3" t="n">
        <v>4</v>
      </c>
      <c r="L929" s="3" t="n">
        <v>0</v>
      </c>
      <c r="M929" s="3" t="n">
        <v>3</v>
      </c>
      <c r="N929" s="3" t="s">
        <v>19</v>
      </c>
    </row>
    <row r="930" customFormat="false" ht="15" hidden="false" customHeight="false" outlineLevel="0" collapsed="false">
      <c r="A930" s="3" t="s">
        <v>960</v>
      </c>
      <c r="B930" s="3" t="n">
        <v>50</v>
      </c>
      <c r="C930" s="3" t="s">
        <v>45</v>
      </c>
      <c r="D930" s="3" t="s">
        <v>48</v>
      </c>
      <c r="E930" s="3" t="s">
        <v>41</v>
      </c>
      <c r="F930" s="3" t="n">
        <v>4.7</v>
      </c>
      <c r="G930" s="3" t="n">
        <v>8250.01</v>
      </c>
      <c r="H930" s="3" t="s">
        <v>20</v>
      </c>
      <c r="I930" s="3" t="n">
        <v>4</v>
      </c>
      <c r="J930" s="3" t="n">
        <v>3</v>
      </c>
      <c r="K930" s="3" t="n">
        <v>10</v>
      </c>
      <c r="L930" s="3" t="n">
        <v>2</v>
      </c>
      <c r="M930" s="3" t="n">
        <v>1</v>
      </c>
      <c r="N930" s="3" t="s">
        <v>19</v>
      </c>
    </row>
    <row r="931" customFormat="false" ht="15" hidden="false" customHeight="false" outlineLevel="0" collapsed="false">
      <c r="A931" s="3" t="s">
        <v>961</v>
      </c>
      <c r="B931" s="3" t="n">
        <v>29</v>
      </c>
      <c r="C931" s="3" t="s">
        <v>16</v>
      </c>
      <c r="D931" s="3" t="s">
        <v>17</v>
      </c>
      <c r="E931" s="3" t="s">
        <v>24</v>
      </c>
      <c r="F931" s="3" t="n">
        <v>6.1</v>
      </c>
      <c r="G931" s="3" t="n">
        <v>2841.69</v>
      </c>
      <c r="H931" s="3" t="s">
        <v>20</v>
      </c>
      <c r="I931" s="3" t="n">
        <v>4</v>
      </c>
      <c r="J931" s="3" t="n">
        <v>2</v>
      </c>
      <c r="K931" s="3" t="n">
        <v>4</v>
      </c>
      <c r="L931" s="3" t="n">
        <v>0</v>
      </c>
      <c r="M931" s="3" t="n">
        <v>0</v>
      </c>
      <c r="N931" s="3" t="s">
        <v>20</v>
      </c>
    </row>
    <row r="932" customFormat="false" ht="15" hidden="false" customHeight="false" outlineLevel="0" collapsed="false">
      <c r="A932" s="3" t="s">
        <v>962</v>
      </c>
      <c r="B932" s="3" t="n">
        <v>26</v>
      </c>
      <c r="C932" s="3" t="s">
        <v>26</v>
      </c>
      <c r="D932" s="3" t="s">
        <v>27</v>
      </c>
      <c r="E932" s="3" t="s">
        <v>24</v>
      </c>
      <c r="F932" s="3" t="n">
        <v>5</v>
      </c>
      <c r="G932" s="3" t="n">
        <v>8160.41</v>
      </c>
      <c r="H932" s="3" t="s">
        <v>19</v>
      </c>
      <c r="I932" s="3" t="n">
        <v>3</v>
      </c>
      <c r="J932" s="3" t="n">
        <v>4</v>
      </c>
      <c r="K932" s="3" t="n">
        <v>9</v>
      </c>
      <c r="L932" s="3" t="n">
        <v>0</v>
      </c>
      <c r="M932" s="3" t="n">
        <v>1</v>
      </c>
      <c r="N932" s="3" t="s">
        <v>19</v>
      </c>
    </row>
    <row r="933" customFormat="false" ht="15" hidden="false" customHeight="false" outlineLevel="0" collapsed="false">
      <c r="A933" s="3" t="s">
        <v>963</v>
      </c>
      <c r="B933" s="3" t="n">
        <v>30</v>
      </c>
      <c r="C933" s="3" t="s">
        <v>22</v>
      </c>
      <c r="D933" s="3" t="s">
        <v>17</v>
      </c>
      <c r="E933" s="3" t="s">
        <v>18</v>
      </c>
      <c r="F933" s="3" t="n">
        <v>0.3</v>
      </c>
      <c r="G933" s="3" t="n">
        <v>2776.81</v>
      </c>
      <c r="H933" s="3" t="s">
        <v>19</v>
      </c>
      <c r="I933" s="3" t="n">
        <v>2</v>
      </c>
      <c r="J933" s="3" t="n">
        <v>4</v>
      </c>
      <c r="K933" s="3" t="n">
        <v>8</v>
      </c>
      <c r="L933" s="3" t="n">
        <v>0</v>
      </c>
      <c r="M933" s="3" t="n">
        <v>3</v>
      </c>
      <c r="N933" s="3" t="s">
        <v>19</v>
      </c>
    </row>
    <row r="934" customFormat="false" ht="15" hidden="false" customHeight="false" outlineLevel="0" collapsed="false">
      <c r="A934" s="3" t="s">
        <v>964</v>
      </c>
      <c r="B934" s="3" t="n">
        <v>44</v>
      </c>
      <c r="C934" s="3" t="s">
        <v>16</v>
      </c>
      <c r="D934" s="3" t="s">
        <v>17</v>
      </c>
      <c r="E934" s="3" t="s">
        <v>24</v>
      </c>
      <c r="F934" s="3" t="n">
        <v>1.5</v>
      </c>
      <c r="G934" s="3" t="n">
        <v>3724.74</v>
      </c>
      <c r="H934" s="3" t="s">
        <v>19</v>
      </c>
      <c r="I934" s="3" t="n">
        <v>1</v>
      </c>
      <c r="J934" s="3" t="n">
        <v>2</v>
      </c>
      <c r="K934" s="3" t="n">
        <v>16</v>
      </c>
      <c r="L934" s="3" t="n">
        <v>0</v>
      </c>
      <c r="M934" s="3" t="n">
        <v>3</v>
      </c>
      <c r="N934" s="3" t="s">
        <v>19</v>
      </c>
    </row>
    <row r="935" customFormat="false" ht="15" hidden="false" customHeight="false" outlineLevel="0" collapsed="false">
      <c r="A935" s="3" t="s">
        <v>965</v>
      </c>
      <c r="B935" s="3" t="n">
        <v>24</v>
      </c>
      <c r="C935" s="3" t="s">
        <v>32</v>
      </c>
      <c r="D935" s="3" t="s">
        <v>23</v>
      </c>
      <c r="E935" s="3" t="s">
        <v>28</v>
      </c>
      <c r="F935" s="3" t="n">
        <v>1.1</v>
      </c>
      <c r="G935" s="3" t="n">
        <v>4830.52</v>
      </c>
      <c r="H935" s="3" t="s">
        <v>19</v>
      </c>
      <c r="I935" s="3" t="n">
        <v>4</v>
      </c>
      <c r="J935" s="3" t="n">
        <v>3</v>
      </c>
      <c r="K935" s="3" t="n">
        <v>7</v>
      </c>
      <c r="L935" s="3" t="n">
        <v>1</v>
      </c>
      <c r="M935" s="3" t="n">
        <v>2</v>
      </c>
      <c r="N935" s="3" t="s">
        <v>19</v>
      </c>
    </row>
    <row r="936" customFormat="false" ht="15" hidden="false" customHeight="false" outlineLevel="0" collapsed="false">
      <c r="A936" s="3" t="s">
        <v>966</v>
      </c>
      <c r="B936" s="3" t="n">
        <v>24</v>
      </c>
      <c r="C936" s="3" t="s">
        <v>22</v>
      </c>
      <c r="D936" s="3" t="s">
        <v>17</v>
      </c>
      <c r="E936" s="3" t="s">
        <v>28</v>
      </c>
      <c r="F936" s="3" t="n">
        <v>2.5</v>
      </c>
      <c r="G936" s="3" t="n">
        <v>3626.28</v>
      </c>
      <c r="H936" s="3" t="s">
        <v>19</v>
      </c>
      <c r="I936" s="3" t="n">
        <v>4</v>
      </c>
      <c r="J936" s="3" t="n">
        <v>3</v>
      </c>
      <c r="K936" s="3" t="n">
        <v>23</v>
      </c>
      <c r="L936" s="3" t="n">
        <v>0</v>
      </c>
      <c r="M936" s="3" t="n">
        <v>0</v>
      </c>
      <c r="N936" s="3" t="s">
        <v>19</v>
      </c>
    </row>
    <row r="937" customFormat="false" ht="15" hidden="false" customHeight="false" outlineLevel="0" collapsed="false">
      <c r="A937" s="3" t="s">
        <v>967</v>
      </c>
      <c r="B937" s="3" t="n">
        <v>21</v>
      </c>
      <c r="C937" s="3" t="s">
        <v>26</v>
      </c>
      <c r="D937" s="3" t="s">
        <v>17</v>
      </c>
      <c r="E937" s="3" t="s">
        <v>24</v>
      </c>
      <c r="F937" s="3" t="n">
        <v>0</v>
      </c>
      <c r="G937" s="3" t="n">
        <v>3532.98</v>
      </c>
      <c r="H937" s="3" t="s">
        <v>19</v>
      </c>
      <c r="I937" s="3" t="n">
        <v>3</v>
      </c>
      <c r="J937" s="3" t="n">
        <v>3</v>
      </c>
      <c r="K937" s="3" t="n">
        <v>2</v>
      </c>
      <c r="L937" s="3" t="n">
        <v>0</v>
      </c>
      <c r="M937" s="3" t="n">
        <v>0</v>
      </c>
      <c r="N937" s="3" t="s">
        <v>19</v>
      </c>
    </row>
    <row r="938" customFormat="false" ht="15" hidden="false" customHeight="false" outlineLevel="0" collapsed="false">
      <c r="A938" s="3" t="s">
        <v>968</v>
      </c>
      <c r="B938" s="3" t="n">
        <v>40</v>
      </c>
      <c r="C938" s="3" t="s">
        <v>45</v>
      </c>
      <c r="D938" s="3" t="s">
        <v>17</v>
      </c>
      <c r="E938" s="3" t="s">
        <v>24</v>
      </c>
      <c r="F938" s="3" t="n">
        <v>2.7</v>
      </c>
      <c r="G938" s="3" t="n">
        <v>3790.75</v>
      </c>
      <c r="H938" s="3" t="s">
        <v>19</v>
      </c>
      <c r="I938" s="3" t="n">
        <v>3</v>
      </c>
      <c r="J938" s="3" t="n">
        <v>4</v>
      </c>
      <c r="K938" s="3" t="n">
        <v>1</v>
      </c>
      <c r="L938" s="3" t="n">
        <v>1</v>
      </c>
      <c r="M938" s="3" t="n">
        <v>3</v>
      </c>
      <c r="N938" s="3" t="s">
        <v>19</v>
      </c>
    </row>
    <row r="939" customFormat="false" ht="15" hidden="false" customHeight="false" outlineLevel="0" collapsed="false">
      <c r="A939" s="3" t="s">
        <v>969</v>
      </c>
      <c r="B939" s="3" t="n">
        <v>40</v>
      </c>
      <c r="C939" s="3" t="s">
        <v>26</v>
      </c>
      <c r="D939" s="3" t="s">
        <v>27</v>
      </c>
      <c r="E939" s="3" t="s">
        <v>24</v>
      </c>
      <c r="F939" s="3" t="n">
        <v>3.9</v>
      </c>
      <c r="G939" s="3" t="n">
        <v>7527.14</v>
      </c>
      <c r="H939" s="3" t="s">
        <v>19</v>
      </c>
      <c r="I939" s="3" t="n">
        <v>4</v>
      </c>
      <c r="J939" s="3" t="n">
        <v>4</v>
      </c>
      <c r="K939" s="3" t="n">
        <v>10</v>
      </c>
      <c r="L939" s="3" t="n">
        <v>0</v>
      </c>
      <c r="M939" s="3" t="n">
        <v>3</v>
      </c>
      <c r="N939" s="3" t="s">
        <v>19</v>
      </c>
    </row>
    <row r="940" customFormat="false" ht="15" hidden="false" customHeight="false" outlineLevel="0" collapsed="false">
      <c r="A940" s="3" t="s">
        <v>970</v>
      </c>
      <c r="B940" s="3" t="n">
        <v>21</v>
      </c>
      <c r="C940" s="3" t="s">
        <v>24</v>
      </c>
      <c r="D940" s="3" t="s">
        <v>17</v>
      </c>
      <c r="E940" s="3" t="s">
        <v>24</v>
      </c>
      <c r="F940" s="3" t="n">
        <v>0</v>
      </c>
      <c r="G940" s="3" t="n">
        <v>3047.67</v>
      </c>
      <c r="H940" s="3" t="s">
        <v>20</v>
      </c>
      <c r="I940" s="3" t="n">
        <v>1</v>
      </c>
      <c r="J940" s="3" t="n">
        <v>4</v>
      </c>
      <c r="K940" s="3" t="n">
        <v>2</v>
      </c>
      <c r="L940" s="3" t="n">
        <v>0</v>
      </c>
      <c r="M940" s="3" t="n">
        <v>1</v>
      </c>
      <c r="N940" s="3" t="s">
        <v>19</v>
      </c>
    </row>
    <row r="941" customFormat="false" ht="15" hidden="false" customHeight="false" outlineLevel="0" collapsed="false">
      <c r="A941" s="3" t="s">
        <v>971</v>
      </c>
      <c r="B941" s="3" t="n">
        <v>30</v>
      </c>
      <c r="C941" s="3" t="s">
        <v>32</v>
      </c>
      <c r="D941" s="3" t="s">
        <v>17</v>
      </c>
      <c r="E941" s="3" t="s">
        <v>41</v>
      </c>
      <c r="F941" s="3" t="n">
        <v>4.6</v>
      </c>
      <c r="G941" s="3" t="n">
        <v>3237.7</v>
      </c>
      <c r="H941" s="3" t="s">
        <v>19</v>
      </c>
      <c r="I941" s="3" t="n">
        <v>3</v>
      </c>
      <c r="J941" s="3" t="n">
        <v>3</v>
      </c>
      <c r="K941" s="3" t="n">
        <v>2</v>
      </c>
      <c r="L941" s="3" t="n">
        <v>2</v>
      </c>
      <c r="M941" s="3" t="n">
        <v>2</v>
      </c>
      <c r="N941" s="3" t="s">
        <v>19</v>
      </c>
    </row>
    <row r="942" customFormat="false" ht="15" hidden="false" customHeight="false" outlineLevel="0" collapsed="false">
      <c r="A942" s="3" t="s">
        <v>972</v>
      </c>
      <c r="B942" s="3" t="n">
        <v>25</v>
      </c>
      <c r="C942" s="3" t="s">
        <v>16</v>
      </c>
      <c r="D942" s="3" t="s">
        <v>23</v>
      </c>
      <c r="E942" s="3" t="s">
        <v>24</v>
      </c>
      <c r="F942" s="3" t="n">
        <v>0.1</v>
      </c>
      <c r="G942" s="3" t="n">
        <v>4145.01</v>
      </c>
      <c r="H942" s="3" t="s">
        <v>19</v>
      </c>
      <c r="I942" s="3" t="n">
        <v>1</v>
      </c>
      <c r="J942" s="3" t="n">
        <v>3</v>
      </c>
      <c r="K942" s="3" t="n">
        <v>3</v>
      </c>
      <c r="L942" s="3" t="n">
        <v>0</v>
      </c>
      <c r="M942" s="3" t="n">
        <v>4</v>
      </c>
      <c r="N942" s="3" t="s">
        <v>19</v>
      </c>
    </row>
    <row r="943" customFormat="false" ht="15" hidden="false" customHeight="false" outlineLevel="0" collapsed="false">
      <c r="A943" s="3" t="s">
        <v>973</v>
      </c>
      <c r="B943" s="3" t="n">
        <v>32</v>
      </c>
      <c r="C943" s="3" t="s">
        <v>22</v>
      </c>
      <c r="D943" s="3" t="s">
        <v>27</v>
      </c>
      <c r="E943" s="3" t="s">
        <v>18</v>
      </c>
      <c r="F943" s="3" t="n">
        <v>1.3</v>
      </c>
      <c r="G943" s="3" t="n">
        <v>8004.53</v>
      </c>
      <c r="H943" s="3" t="s">
        <v>19</v>
      </c>
      <c r="I943" s="3" t="n">
        <v>3</v>
      </c>
      <c r="J943" s="3" t="n">
        <v>3</v>
      </c>
      <c r="K943" s="3" t="n">
        <v>14</v>
      </c>
      <c r="L943" s="3" t="n">
        <v>1</v>
      </c>
      <c r="M943" s="3" t="n">
        <v>0</v>
      </c>
      <c r="N943" s="3" t="s">
        <v>19</v>
      </c>
    </row>
    <row r="944" customFormat="false" ht="15" hidden="false" customHeight="false" outlineLevel="0" collapsed="false">
      <c r="A944" s="3" t="s">
        <v>974</v>
      </c>
      <c r="B944" s="3" t="n">
        <v>48</v>
      </c>
      <c r="C944" s="3" t="s">
        <v>22</v>
      </c>
      <c r="D944" s="3" t="s">
        <v>23</v>
      </c>
      <c r="E944" s="3" t="s">
        <v>41</v>
      </c>
      <c r="F944" s="3" t="n">
        <v>0.5</v>
      </c>
      <c r="G944" s="3" t="n">
        <v>4374.07</v>
      </c>
      <c r="H944" s="3" t="s">
        <v>20</v>
      </c>
      <c r="I944" s="3" t="n">
        <v>2</v>
      </c>
      <c r="J944" s="3" t="n">
        <v>4</v>
      </c>
      <c r="K944" s="3" t="n">
        <v>9</v>
      </c>
      <c r="L944" s="3" t="n">
        <v>0</v>
      </c>
      <c r="M944" s="3" t="n">
        <v>4</v>
      </c>
      <c r="N944" s="3" t="s">
        <v>19</v>
      </c>
    </row>
    <row r="945" customFormat="false" ht="15" hidden="false" customHeight="false" outlineLevel="0" collapsed="false">
      <c r="A945" s="3" t="s">
        <v>975</v>
      </c>
      <c r="B945" s="3" t="n">
        <v>31</v>
      </c>
      <c r="C945" s="3" t="s">
        <v>24</v>
      </c>
      <c r="D945" s="3" t="s">
        <v>23</v>
      </c>
      <c r="E945" s="3" t="s">
        <v>41</v>
      </c>
      <c r="F945" s="3" t="n">
        <v>5.1</v>
      </c>
      <c r="G945" s="3" t="n">
        <v>4805.17</v>
      </c>
      <c r="H945" s="3" t="s">
        <v>20</v>
      </c>
      <c r="I945" s="3" t="n">
        <v>2</v>
      </c>
      <c r="J945" s="3" t="n">
        <v>2</v>
      </c>
      <c r="K945" s="3" t="n">
        <v>10</v>
      </c>
      <c r="L945" s="3" t="n">
        <v>0</v>
      </c>
      <c r="M945" s="3" t="n">
        <v>3</v>
      </c>
      <c r="N945" s="3" t="s">
        <v>20</v>
      </c>
    </row>
    <row r="946" customFormat="false" ht="15" hidden="false" customHeight="false" outlineLevel="0" collapsed="false">
      <c r="A946" s="3" t="s">
        <v>976</v>
      </c>
      <c r="B946" s="3" t="n">
        <v>34</v>
      </c>
      <c r="C946" s="3" t="s">
        <v>24</v>
      </c>
      <c r="D946" s="3" t="s">
        <v>17</v>
      </c>
      <c r="E946" s="3" t="s">
        <v>24</v>
      </c>
      <c r="F946" s="3" t="n">
        <v>4.6</v>
      </c>
      <c r="G946" s="3" t="n">
        <v>3370.39</v>
      </c>
      <c r="H946" s="3" t="s">
        <v>19</v>
      </c>
      <c r="I946" s="3" t="n">
        <v>1</v>
      </c>
      <c r="J946" s="3" t="n">
        <v>2</v>
      </c>
      <c r="K946" s="3" t="n">
        <v>13</v>
      </c>
      <c r="L946" s="3" t="n">
        <v>1</v>
      </c>
      <c r="M946" s="3" t="n">
        <v>1</v>
      </c>
      <c r="N946" s="3" t="s">
        <v>19</v>
      </c>
    </row>
    <row r="947" customFormat="false" ht="15" hidden="false" customHeight="false" outlineLevel="0" collapsed="false">
      <c r="A947" s="3" t="s">
        <v>977</v>
      </c>
      <c r="B947" s="3" t="n">
        <v>35</v>
      </c>
      <c r="C947" s="3" t="s">
        <v>26</v>
      </c>
      <c r="D947" s="3" t="s">
        <v>48</v>
      </c>
      <c r="E947" s="3" t="s">
        <v>18</v>
      </c>
      <c r="F947" s="3" t="n">
        <v>3.6</v>
      </c>
      <c r="G947" s="3" t="n">
        <v>8122.57</v>
      </c>
      <c r="H947" s="3" t="s">
        <v>20</v>
      </c>
      <c r="I947" s="3" t="n">
        <v>3</v>
      </c>
      <c r="J947" s="3" t="n">
        <v>3</v>
      </c>
      <c r="K947" s="3" t="n">
        <v>2</v>
      </c>
      <c r="L947" s="3" t="n">
        <v>2</v>
      </c>
      <c r="M947" s="3" t="n">
        <v>3</v>
      </c>
      <c r="N947" s="3" t="s">
        <v>19</v>
      </c>
    </row>
    <row r="948" customFormat="false" ht="15" hidden="false" customHeight="false" outlineLevel="0" collapsed="false">
      <c r="A948" s="3" t="s">
        <v>978</v>
      </c>
      <c r="B948" s="3" t="n">
        <v>46</v>
      </c>
      <c r="C948" s="3" t="s">
        <v>16</v>
      </c>
      <c r="D948" s="3" t="s">
        <v>27</v>
      </c>
      <c r="E948" s="3" t="s">
        <v>24</v>
      </c>
      <c r="F948" s="3" t="n">
        <v>5.5</v>
      </c>
      <c r="G948" s="3" t="n">
        <v>6440.29</v>
      </c>
      <c r="H948" s="3" t="s">
        <v>19</v>
      </c>
      <c r="I948" s="3" t="n">
        <v>2</v>
      </c>
      <c r="J948" s="3" t="n">
        <v>1</v>
      </c>
      <c r="K948" s="3" t="n">
        <v>6</v>
      </c>
      <c r="L948" s="3" t="n">
        <v>1</v>
      </c>
      <c r="M948" s="3" t="n">
        <v>1</v>
      </c>
      <c r="N948" s="3" t="s">
        <v>20</v>
      </c>
    </row>
    <row r="949" customFormat="false" ht="15" hidden="false" customHeight="false" outlineLevel="0" collapsed="false">
      <c r="A949" s="3" t="s">
        <v>979</v>
      </c>
      <c r="B949" s="3" t="n">
        <v>35</v>
      </c>
      <c r="C949" s="3" t="s">
        <v>22</v>
      </c>
      <c r="D949" s="3" t="s">
        <v>17</v>
      </c>
      <c r="E949" s="3" t="s">
        <v>28</v>
      </c>
      <c r="F949" s="3" t="n">
        <v>1.3</v>
      </c>
      <c r="G949" s="3" t="n">
        <v>3333.39</v>
      </c>
      <c r="H949" s="3" t="s">
        <v>19</v>
      </c>
      <c r="I949" s="3" t="n">
        <v>4</v>
      </c>
      <c r="J949" s="3" t="n">
        <v>3</v>
      </c>
      <c r="K949" s="3" t="n">
        <v>4</v>
      </c>
      <c r="L949" s="3" t="n">
        <v>1</v>
      </c>
      <c r="M949" s="3" t="n">
        <v>3</v>
      </c>
      <c r="N949" s="3" t="s">
        <v>20</v>
      </c>
    </row>
    <row r="950" customFormat="false" ht="15" hidden="false" customHeight="false" outlineLevel="0" collapsed="false">
      <c r="A950" s="3" t="s">
        <v>980</v>
      </c>
      <c r="B950" s="3" t="n">
        <v>44</v>
      </c>
      <c r="C950" s="3" t="s">
        <v>22</v>
      </c>
      <c r="D950" s="3" t="s">
        <v>27</v>
      </c>
      <c r="E950" s="3" t="s">
        <v>18</v>
      </c>
      <c r="F950" s="3" t="n">
        <v>2.1</v>
      </c>
      <c r="G950" s="3" t="n">
        <v>6149.78</v>
      </c>
      <c r="H950" s="3" t="s">
        <v>19</v>
      </c>
      <c r="I950" s="3" t="n">
        <v>1</v>
      </c>
      <c r="J950" s="3" t="n">
        <v>2</v>
      </c>
      <c r="K950" s="3" t="n">
        <v>1</v>
      </c>
      <c r="L950" s="3" t="n">
        <v>0</v>
      </c>
      <c r="M950" s="3" t="n">
        <v>1</v>
      </c>
      <c r="N950" s="3" t="s">
        <v>19</v>
      </c>
    </row>
    <row r="951" customFormat="false" ht="15" hidden="false" customHeight="false" outlineLevel="0" collapsed="false">
      <c r="A951" s="3" t="s">
        <v>981</v>
      </c>
      <c r="B951" s="3" t="n">
        <v>31</v>
      </c>
      <c r="C951" s="3" t="s">
        <v>16</v>
      </c>
      <c r="D951" s="3" t="s">
        <v>23</v>
      </c>
      <c r="E951" s="3" t="s">
        <v>24</v>
      </c>
      <c r="F951" s="3" t="n">
        <v>7.6</v>
      </c>
      <c r="G951" s="3" t="n">
        <v>5492.64</v>
      </c>
      <c r="H951" s="3" t="s">
        <v>19</v>
      </c>
      <c r="I951" s="3" t="n">
        <v>2</v>
      </c>
      <c r="J951" s="3" t="n">
        <v>1</v>
      </c>
      <c r="K951" s="3" t="n">
        <v>17</v>
      </c>
      <c r="L951" s="3" t="n">
        <v>0</v>
      </c>
      <c r="M951" s="3" t="n">
        <v>4</v>
      </c>
      <c r="N951" s="3" t="s">
        <v>19</v>
      </c>
    </row>
    <row r="952" customFormat="false" ht="15" hidden="false" customHeight="false" outlineLevel="0" collapsed="false">
      <c r="A952" s="3" t="s">
        <v>982</v>
      </c>
      <c r="B952" s="3" t="n">
        <v>43</v>
      </c>
      <c r="C952" s="3" t="s">
        <v>26</v>
      </c>
      <c r="D952" s="3" t="s">
        <v>23</v>
      </c>
      <c r="E952" s="3" t="s">
        <v>28</v>
      </c>
      <c r="F952" s="3" t="n">
        <v>3.1</v>
      </c>
      <c r="G952" s="3" t="n">
        <v>4255.79</v>
      </c>
      <c r="H952" s="3" t="s">
        <v>20</v>
      </c>
      <c r="I952" s="3" t="n">
        <v>3</v>
      </c>
      <c r="J952" s="3" t="n">
        <v>3</v>
      </c>
      <c r="K952" s="3" t="n">
        <v>10</v>
      </c>
      <c r="L952" s="3" t="n">
        <v>2</v>
      </c>
      <c r="M952" s="3" t="n">
        <v>6</v>
      </c>
      <c r="N952" s="3" t="s">
        <v>19</v>
      </c>
    </row>
    <row r="953" customFormat="false" ht="15" hidden="false" customHeight="false" outlineLevel="0" collapsed="false">
      <c r="A953" s="3" t="s">
        <v>983</v>
      </c>
      <c r="B953" s="3" t="n">
        <v>29</v>
      </c>
      <c r="C953" s="3" t="s">
        <v>26</v>
      </c>
      <c r="D953" s="3" t="s">
        <v>23</v>
      </c>
      <c r="E953" s="3" t="s">
        <v>24</v>
      </c>
      <c r="F953" s="3" t="n">
        <v>4.5</v>
      </c>
      <c r="G953" s="3" t="n">
        <v>5606.33</v>
      </c>
      <c r="H953" s="3" t="s">
        <v>19</v>
      </c>
      <c r="I953" s="3" t="n">
        <v>1</v>
      </c>
      <c r="J953" s="3" t="n">
        <v>4</v>
      </c>
      <c r="K953" s="3" t="n">
        <v>1</v>
      </c>
      <c r="L953" s="3" t="n">
        <v>0</v>
      </c>
      <c r="M953" s="3" t="n">
        <v>1</v>
      </c>
      <c r="N953" s="3" t="s">
        <v>19</v>
      </c>
    </row>
    <row r="954" customFormat="false" ht="15" hidden="false" customHeight="false" outlineLevel="0" collapsed="false">
      <c r="A954" s="3" t="s">
        <v>984</v>
      </c>
      <c r="B954" s="3" t="n">
        <v>39</v>
      </c>
      <c r="C954" s="3" t="s">
        <v>22</v>
      </c>
      <c r="D954" s="3" t="s">
        <v>23</v>
      </c>
      <c r="E954" s="3" t="s">
        <v>41</v>
      </c>
      <c r="F954" s="3" t="n">
        <v>13.3</v>
      </c>
      <c r="G954" s="3" t="n">
        <v>4224.8</v>
      </c>
      <c r="H954" s="3" t="s">
        <v>20</v>
      </c>
      <c r="I954" s="3" t="n">
        <v>4</v>
      </c>
      <c r="J954" s="3" t="n">
        <v>3</v>
      </c>
      <c r="K954" s="3" t="n">
        <v>2</v>
      </c>
      <c r="L954" s="3" t="n">
        <v>3</v>
      </c>
      <c r="M954" s="3" t="n">
        <v>1</v>
      </c>
      <c r="N954" s="3" t="s">
        <v>20</v>
      </c>
    </row>
    <row r="955" customFormat="false" ht="15" hidden="false" customHeight="false" outlineLevel="0" collapsed="false">
      <c r="A955" s="3" t="s">
        <v>985</v>
      </c>
      <c r="B955" s="3" t="n">
        <v>42</v>
      </c>
      <c r="C955" s="3" t="s">
        <v>32</v>
      </c>
      <c r="D955" s="3" t="s">
        <v>27</v>
      </c>
      <c r="E955" s="3" t="s">
        <v>24</v>
      </c>
      <c r="F955" s="3" t="n">
        <v>5.1</v>
      </c>
      <c r="G955" s="3" t="n">
        <v>6249.61</v>
      </c>
      <c r="H955" s="3" t="s">
        <v>19</v>
      </c>
      <c r="I955" s="3" t="n">
        <v>3</v>
      </c>
      <c r="J955" s="3" t="n">
        <v>3</v>
      </c>
      <c r="K955" s="3" t="n">
        <v>11</v>
      </c>
      <c r="L955" s="3" t="n">
        <v>0</v>
      </c>
      <c r="M955" s="3" t="n">
        <v>1</v>
      </c>
      <c r="N955" s="3" t="s">
        <v>19</v>
      </c>
    </row>
    <row r="956" customFormat="false" ht="15" hidden="false" customHeight="false" outlineLevel="0" collapsed="false">
      <c r="A956" s="3" t="s">
        <v>986</v>
      </c>
      <c r="B956" s="3" t="n">
        <v>28</v>
      </c>
      <c r="C956" s="3" t="s">
        <v>26</v>
      </c>
      <c r="D956" s="3" t="s">
        <v>23</v>
      </c>
      <c r="E956" s="3" t="s">
        <v>41</v>
      </c>
      <c r="F956" s="3" t="n">
        <v>0.3</v>
      </c>
      <c r="G956" s="3" t="n">
        <v>4559.96</v>
      </c>
      <c r="H956" s="3" t="s">
        <v>20</v>
      </c>
      <c r="I956" s="3" t="n">
        <v>3</v>
      </c>
      <c r="J956" s="3" t="n">
        <v>4</v>
      </c>
      <c r="K956" s="3" t="n">
        <v>5</v>
      </c>
      <c r="L956" s="3" t="n">
        <v>0</v>
      </c>
      <c r="M956" s="3" t="n">
        <v>3</v>
      </c>
      <c r="N956" s="3" t="s">
        <v>19</v>
      </c>
    </row>
    <row r="957" customFormat="false" ht="15" hidden="false" customHeight="false" outlineLevel="0" collapsed="false">
      <c r="A957" s="3" t="s">
        <v>987</v>
      </c>
      <c r="B957" s="3" t="n">
        <v>31</v>
      </c>
      <c r="C957" s="3" t="s">
        <v>26</v>
      </c>
      <c r="D957" s="3" t="s">
        <v>23</v>
      </c>
      <c r="E957" s="3" t="s">
        <v>24</v>
      </c>
      <c r="F957" s="3" t="n">
        <v>4.3</v>
      </c>
      <c r="G957" s="3" t="n">
        <v>4553.46</v>
      </c>
      <c r="H957" s="3" t="s">
        <v>20</v>
      </c>
      <c r="I957" s="3" t="n">
        <v>2</v>
      </c>
      <c r="J957" s="3" t="n">
        <v>2</v>
      </c>
      <c r="K957" s="3" t="n">
        <v>2</v>
      </c>
      <c r="L957" s="3" t="n">
        <v>4</v>
      </c>
      <c r="M957" s="3" t="n">
        <v>2</v>
      </c>
      <c r="N957" s="3" t="s">
        <v>19</v>
      </c>
    </row>
    <row r="958" customFormat="false" ht="15" hidden="false" customHeight="false" outlineLevel="0" collapsed="false">
      <c r="A958" s="3" t="s">
        <v>988</v>
      </c>
      <c r="B958" s="3" t="n">
        <v>27</v>
      </c>
      <c r="C958" s="3" t="s">
        <v>22</v>
      </c>
      <c r="D958" s="3" t="s">
        <v>17</v>
      </c>
      <c r="E958" s="3" t="s">
        <v>41</v>
      </c>
      <c r="F958" s="3" t="n">
        <v>1</v>
      </c>
      <c r="G958" s="3" t="n">
        <v>3171.09</v>
      </c>
      <c r="H958" s="3" t="s">
        <v>19</v>
      </c>
      <c r="I958" s="3" t="n">
        <v>3</v>
      </c>
      <c r="J958" s="3" t="n">
        <v>1</v>
      </c>
      <c r="K958" s="3" t="n">
        <v>2</v>
      </c>
      <c r="L958" s="3" t="n">
        <v>1</v>
      </c>
      <c r="M958" s="3" t="n">
        <v>1</v>
      </c>
      <c r="N958" s="3" t="s">
        <v>19</v>
      </c>
    </row>
    <row r="959" customFormat="false" ht="15" hidden="false" customHeight="false" outlineLevel="0" collapsed="false">
      <c r="A959" s="3" t="s">
        <v>989</v>
      </c>
      <c r="B959" s="3" t="n">
        <v>25</v>
      </c>
      <c r="C959" s="3" t="s">
        <v>22</v>
      </c>
      <c r="D959" s="3" t="s">
        <v>27</v>
      </c>
      <c r="E959" s="3" t="s">
        <v>24</v>
      </c>
      <c r="F959" s="3" t="n">
        <v>1.5</v>
      </c>
      <c r="G959" s="3" t="n">
        <v>7522.92</v>
      </c>
      <c r="H959" s="3" t="s">
        <v>19</v>
      </c>
      <c r="I959" s="3" t="n">
        <v>3</v>
      </c>
      <c r="J959" s="3" t="n">
        <v>3</v>
      </c>
      <c r="K959" s="3" t="n">
        <v>1</v>
      </c>
      <c r="L959" s="3" t="n">
        <v>1</v>
      </c>
      <c r="M959" s="3" t="n">
        <v>2</v>
      </c>
      <c r="N959" s="3" t="s">
        <v>19</v>
      </c>
    </row>
    <row r="960" customFormat="false" ht="15" hidden="false" customHeight="false" outlineLevel="0" collapsed="false">
      <c r="A960" s="3" t="s">
        <v>990</v>
      </c>
      <c r="B960" s="3" t="n">
        <v>29</v>
      </c>
      <c r="C960" s="3" t="s">
        <v>22</v>
      </c>
      <c r="D960" s="3" t="s">
        <v>23</v>
      </c>
      <c r="E960" s="3" t="s">
        <v>41</v>
      </c>
      <c r="F960" s="3" t="n">
        <v>1.9</v>
      </c>
      <c r="G960" s="3" t="n">
        <v>4922.47</v>
      </c>
      <c r="H960" s="3" t="s">
        <v>19</v>
      </c>
      <c r="I960" s="3" t="n">
        <v>1</v>
      </c>
      <c r="J960" s="3" t="n">
        <v>3</v>
      </c>
      <c r="K960" s="3" t="n">
        <v>11</v>
      </c>
      <c r="L960" s="3" t="n">
        <v>1</v>
      </c>
      <c r="M960" s="3" t="n">
        <v>1</v>
      </c>
      <c r="N960" s="3" t="s">
        <v>20</v>
      </c>
    </row>
    <row r="961" customFormat="false" ht="15" hidden="false" customHeight="false" outlineLevel="0" collapsed="false">
      <c r="A961" s="3" t="s">
        <v>991</v>
      </c>
      <c r="B961" s="3" t="n">
        <v>34</v>
      </c>
      <c r="C961" s="3" t="s">
        <v>32</v>
      </c>
      <c r="D961" s="3" t="s">
        <v>17</v>
      </c>
      <c r="E961" s="3" t="s">
        <v>18</v>
      </c>
      <c r="F961" s="3" t="n">
        <v>0.7</v>
      </c>
      <c r="G961" s="3" t="n">
        <v>2878.27</v>
      </c>
      <c r="H961" s="3" t="s">
        <v>19</v>
      </c>
      <c r="I961" s="3" t="n">
        <v>4</v>
      </c>
      <c r="J961" s="3" t="n">
        <v>3</v>
      </c>
      <c r="K961" s="3" t="n">
        <v>1</v>
      </c>
      <c r="L961" s="3" t="n">
        <v>0</v>
      </c>
      <c r="M961" s="3" t="n">
        <v>3</v>
      </c>
      <c r="N961" s="3" t="s">
        <v>19</v>
      </c>
    </row>
    <row r="962" customFormat="false" ht="15" hidden="false" customHeight="false" outlineLevel="0" collapsed="false">
      <c r="A962" s="3" t="s">
        <v>992</v>
      </c>
      <c r="B962" s="3" t="n">
        <v>21</v>
      </c>
      <c r="C962" s="3" t="s">
        <v>26</v>
      </c>
      <c r="D962" s="3" t="s">
        <v>17</v>
      </c>
      <c r="E962" s="3" t="s">
        <v>28</v>
      </c>
      <c r="F962" s="3" t="n">
        <v>0</v>
      </c>
      <c r="G962" s="3" t="n">
        <v>3722.68</v>
      </c>
      <c r="H962" s="3" t="s">
        <v>19</v>
      </c>
      <c r="I962" s="3" t="n">
        <v>1</v>
      </c>
      <c r="J962" s="3" t="n">
        <v>2</v>
      </c>
      <c r="K962" s="3" t="n">
        <v>2</v>
      </c>
      <c r="L962" s="3" t="n">
        <v>0</v>
      </c>
      <c r="M962" s="3" t="n">
        <v>1</v>
      </c>
      <c r="N962" s="3" t="s">
        <v>20</v>
      </c>
    </row>
    <row r="963" customFormat="false" ht="15" hidden="false" customHeight="false" outlineLevel="0" collapsed="false">
      <c r="A963" s="3" t="s">
        <v>993</v>
      </c>
      <c r="B963" s="3" t="n">
        <v>31</v>
      </c>
      <c r="C963" s="3" t="s">
        <v>26</v>
      </c>
      <c r="D963" s="3" t="s">
        <v>17</v>
      </c>
      <c r="E963" s="3" t="s">
        <v>24</v>
      </c>
      <c r="F963" s="3" t="n">
        <v>0.6</v>
      </c>
      <c r="G963" s="3" t="n">
        <v>3427.4</v>
      </c>
      <c r="H963" s="3" t="s">
        <v>20</v>
      </c>
      <c r="I963" s="3" t="n">
        <v>4</v>
      </c>
      <c r="J963" s="3" t="n">
        <v>4</v>
      </c>
      <c r="K963" s="3" t="n">
        <v>1</v>
      </c>
      <c r="L963" s="3" t="n">
        <v>0</v>
      </c>
      <c r="M963" s="3" t="n">
        <v>4</v>
      </c>
      <c r="N963" s="3" t="s">
        <v>19</v>
      </c>
    </row>
    <row r="964" customFormat="false" ht="15" hidden="false" customHeight="false" outlineLevel="0" collapsed="false">
      <c r="A964" s="3" t="s">
        <v>994</v>
      </c>
      <c r="B964" s="3" t="n">
        <v>50</v>
      </c>
      <c r="C964" s="3" t="s">
        <v>45</v>
      </c>
      <c r="D964" s="3" t="s">
        <v>27</v>
      </c>
      <c r="E964" s="3" t="s">
        <v>28</v>
      </c>
      <c r="F964" s="3" t="n">
        <v>3.2</v>
      </c>
      <c r="G964" s="3" t="n">
        <v>8440.41</v>
      </c>
      <c r="H964" s="3" t="s">
        <v>19</v>
      </c>
      <c r="I964" s="3" t="n">
        <v>3</v>
      </c>
      <c r="J964" s="3" t="n">
        <v>2</v>
      </c>
      <c r="K964" s="3" t="n">
        <v>15</v>
      </c>
      <c r="L964" s="3" t="n">
        <v>0</v>
      </c>
      <c r="M964" s="3" t="n">
        <v>1</v>
      </c>
      <c r="N964" s="3" t="s">
        <v>19</v>
      </c>
    </row>
    <row r="965" customFormat="false" ht="15" hidden="false" customHeight="false" outlineLevel="0" collapsed="false">
      <c r="A965" s="3" t="s">
        <v>995</v>
      </c>
      <c r="B965" s="3" t="n">
        <v>21</v>
      </c>
      <c r="C965" s="3" t="s">
        <v>26</v>
      </c>
      <c r="D965" s="3" t="s">
        <v>23</v>
      </c>
      <c r="E965" s="3" t="s">
        <v>28</v>
      </c>
      <c r="F965" s="3" t="n">
        <v>0</v>
      </c>
      <c r="G965" s="3" t="n">
        <v>5033.04</v>
      </c>
      <c r="H965" s="3" t="s">
        <v>19</v>
      </c>
      <c r="I965" s="3" t="n">
        <v>1</v>
      </c>
      <c r="J965" s="3" t="n">
        <v>1</v>
      </c>
      <c r="K965" s="3" t="n">
        <v>2</v>
      </c>
      <c r="L965" s="3" t="n">
        <v>0</v>
      </c>
      <c r="M965" s="3" t="n">
        <v>0</v>
      </c>
      <c r="N965" s="3" t="s">
        <v>20</v>
      </c>
    </row>
    <row r="966" customFormat="false" ht="15" hidden="false" customHeight="false" outlineLevel="0" collapsed="false">
      <c r="A966" s="3" t="s">
        <v>996</v>
      </c>
      <c r="B966" s="3" t="n">
        <v>28</v>
      </c>
      <c r="C966" s="3" t="s">
        <v>16</v>
      </c>
      <c r="D966" s="3" t="s">
        <v>27</v>
      </c>
      <c r="E966" s="3" t="s">
        <v>28</v>
      </c>
      <c r="F966" s="3" t="n">
        <v>1</v>
      </c>
      <c r="G966" s="3" t="n">
        <v>8298.25</v>
      </c>
      <c r="H966" s="3" t="s">
        <v>20</v>
      </c>
      <c r="I966" s="3" t="n">
        <v>4</v>
      </c>
      <c r="J966" s="3" t="n">
        <v>2</v>
      </c>
      <c r="K966" s="3" t="n">
        <v>19</v>
      </c>
      <c r="L966" s="3" t="n">
        <v>0</v>
      </c>
      <c r="M966" s="3" t="n">
        <v>2</v>
      </c>
      <c r="N966" s="3" t="s">
        <v>19</v>
      </c>
    </row>
    <row r="967" customFormat="false" ht="15" hidden="false" customHeight="false" outlineLevel="0" collapsed="false">
      <c r="A967" s="3" t="s">
        <v>997</v>
      </c>
      <c r="B967" s="3" t="n">
        <v>43</v>
      </c>
      <c r="C967" s="3" t="s">
        <v>26</v>
      </c>
      <c r="D967" s="3" t="s">
        <v>17</v>
      </c>
      <c r="E967" s="3" t="s">
        <v>41</v>
      </c>
      <c r="F967" s="3" t="n">
        <v>3.9</v>
      </c>
      <c r="G967" s="3" t="n">
        <v>3569.81</v>
      </c>
      <c r="H967" s="3" t="s">
        <v>20</v>
      </c>
      <c r="I967" s="3" t="n">
        <v>3</v>
      </c>
      <c r="J967" s="3" t="n">
        <v>3</v>
      </c>
      <c r="K967" s="3" t="n">
        <v>1</v>
      </c>
      <c r="L967" s="3" t="n">
        <v>0</v>
      </c>
      <c r="M967" s="3" t="n">
        <v>3</v>
      </c>
      <c r="N967" s="3" t="s">
        <v>19</v>
      </c>
    </row>
    <row r="968" customFormat="false" ht="15" hidden="false" customHeight="false" outlineLevel="0" collapsed="false">
      <c r="A968" s="3" t="s">
        <v>998</v>
      </c>
      <c r="B968" s="3" t="n">
        <v>31</v>
      </c>
      <c r="C968" s="3" t="s">
        <v>16</v>
      </c>
      <c r="D968" s="3" t="s">
        <v>17</v>
      </c>
      <c r="E968" s="3" t="s">
        <v>18</v>
      </c>
      <c r="F968" s="3" t="n">
        <v>4.4</v>
      </c>
      <c r="G968" s="3" t="n">
        <v>2935.75</v>
      </c>
      <c r="H968" s="3" t="s">
        <v>19</v>
      </c>
      <c r="I968" s="3" t="n">
        <v>1</v>
      </c>
      <c r="J968" s="3" t="n">
        <v>2</v>
      </c>
      <c r="K968" s="3" t="n">
        <v>1</v>
      </c>
      <c r="L968" s="3" t="n">
        <v>0</v>
      </c>
      <c r="M968" s="3" t="n">
        <v>2</v>
      </c>
      <c r="N968" s="3" t="s">
        <v>19</v>
      </c>
    </row>
    <row r="969" customFormat="false" ht="15" hidden="false" customHeight="false" outlineLevel="0" collapsed="false">
      <c r="A969" s="3" t="s">
        <v>999</v>
      </c>
      <c r="B969" s="3" t="n">
        <v>25</v>
      </c>
      <c r="C969" s="3" t="s">
        <v>22</v>
      </c>
      <c r="D969" s="3" t="s">
        <v>27</v>
      </c>
      <c r="E969" s="3" t="s">
        <v>18</v>
      </c>
      <c r="F969" s="3" t="n">
        <v>0.2</v>
      </c>
      <c r="G969" s="3" t="n">
        <v>7191.78</v>
      </c>
      <c r="H969" s="3" t="s">
        <v>19</v>
      </c>
      <c r="I969" s="3" t="n">
        <v>4</v>
      </c>
      <c r="J969" s="3" t="n">
        <v>4</v>
      </c>
      <c r="K969" s="3" t="n">
        <v>26</v>
      </c>
      <c r="L969" s="3" t="n">
        <v>0</v>
      </c>
      <c r="M969" s="3" t="n">
        <v>1</v>
      </c>
      <c r="N969" s="3" t="s">
        <v>19</v>
      </c>
    </row>
    <row r="970" customFormat="false" ht="15" hidden="false" customHeight="false" outlineLevel="0" collapsed="false">
      <c r="A970" s="3" t="s">
        <v>1000</v>
      </c>
      <c r="B970" s="3" t="n">
        <v>43</v>
      </c>
      <c r="C970" s="3" t="s">
        <v>32</v>
      </c>
      <c r="D970" s="3" t="s">
        <v>27</v>
      </c>
      <c r="E970" s="3" t="s">
        <v>24</v>
      </c>
      <c r="F970" s="3" t="n">
        <v>2.8</v>
      </c>
      <c r="G970" s="3" t="n">
        <v>8633.16</v>
      </c>
      <c r="H970" s="3" t="s">
        <v>19</v>
      </c>
      <c r="I970" s="3" t="n">
        <v>3</v>
      </c>
      <c r="J970" s="3" t="n">
        <v>3</v>
      </c>
      <c r="K970" s="3" t="n">
        <v>1</v>
      </c>
      <c r="L970" s="3" t="n">
        <v>1</v>
      </c>
      <c r="M970" s="3" t="n">
        <v>5</v>
      </c>
      <c r="N970" s="3" t="s">
        <v>19</v>
      </c>
    </row>
    <row r="971" customFormat="false" ht="15" hidden="false" customHeight="false" outlineLevel="0" collapsed="false">
      <c r="A971" s="3" t="s">
        <v>1001</v>
      </c>
      <c r="B971" s="3" t="n">
        <v>28</v>
      </c>
      <c r="C971" s="3" t="s">
        <v>22</v>
      </c>
      <c r="D971" s="3" t="s">
        <v>23</v>
      </c>
      <c r="E971" s="3" t="s">
        <v>41</v>
      </c>
      <c r="F971" s="3" t="n">
        <v>5.1</v>
      </c>
      <c r="G971" s="3" t="n">
        <v>4319.59</v>
      </c>
      <c r="H971" s="3" t="s">
        <v>19</v>
      </c>
      <c r="I971" s="3" t="n">
        <v>2</v>
      </c>
      <c r="J971" s="3" t="n">
        <v>3</v>
      </c>
      <c r="K971" s="3" t="n">
        <v>6</v>
      </c>
      <c r="L971" s="3" t="n">
        <v>2</v>
      </c>
      <c r="M971" s="3" t="n">
        <v>3</v>
      </c>
      <c r="N971" s="3" t="s">
        <v>19</v>
      </c>
    </row>
    <row r="972" customFormat="false" ht="15" hidden="false" customHeight="false" outlineLevel="0" collapsed="false">
      <c r="A972" s="3" t="s">
        <v>1002</v>
      </c>
      <c r="B972" s="3" t="n">
        <v>43</v>
      </c>
      <c r="C972" s="3" t="s">
        <v>24</v>
      </c>
      <c r="D972" s="3" t="s">
        <v>23</v>
      </c>
      <c r="E972" s="3" t="s">
        <v>28</v>
      </c>
      <c r="F972" s="3" t="n">
        <v>1.4</v>
      </c>
      <c r="G972" s="3" t="n">
        <v>4910.91</v>
      </c>
      <c r="H972" s="3" t="s">
        <v>19</v>
      </c>
      <c r="I972" s="3" t="n">
        <v>3</v>
      </c>
      <c r="J972" s="3" t="n">
        <v>3</v>
      </c>
      <c r="K972" s="3" t="n">
        <v>8</v>
      </c>
      <c r="L972" s="3" t="n">
        <v>1</v>
      </c>
      <c r="M972" s="3" t="n">
        <v>1</v>
      </c>
      <c r="N972" s="3" t="s">
        <v>19</v>
      </c>
    </row>
    <row r="973" customFormat="false" ht="15" hidden="false" customHeight="false" outlineLevel="0" collapsed="false">
      <c r="A973" s="3" t="s">
        <v>1003</v>
      </c>
      <c r="B973" s="3" t="n">
        <v>43</v>
      </c>
      <c r="C973" s="3" t="s">
        <v>22</v>
      </c>
      <c r="D973" s="3" t="s">
        <v>17</v>
      </c>
      <c r="E973" s="3" t="s">
        <v>41</v>
      </c>
      <c r="F973" s="3" t="n">
        <v>0.9</v>
      </c>
      <c r="G973" s="3" t="n">
        <v>3450.28</v>
      </c>
      <c r="H973" s="3" t="s">
        <v>20</v>
      </c>
      <c r="I973" s="3" t="n">
        <v>2</v>
      </c>
      <c r="J973" s="3" t="n">
        <v>4</v>
      </c>
      <c r="K973" s="3" t="n">
        <v>10</v>
      </c>
      <c r="L973" s="3" t="n">
        <v>0</v>
      </c>
      <c r="M973" s="3" t="n">
        <v>5</v>
      </c>
      <c r="N973" s="3" t="s">
        <v>19</v>
      </c>
    </row>
    <row r="974" customFormat="false" ht="15" hidden="false" customHeight="false" outlineLevel="0" collapsed="false">
      <c r="A974" s="3" t="s">
        <v>1004</v>
      </c>
      <c r="B974" s="3" t="n">
        <v>23</v>
      </c>
      <c r="C974" s="3" t="s">
        <v>22</v>
      </c>
      <c r="D974" s="3" t="s">
        <v>23</v>
      </c>
      <c r="E974" s="3" t="s">
        <v>24</v>
      </c>
      <c r="F974" s="3" t="n">
        <v>2</v>
      </c>
      <c r="G974" s="3" t="n">
        <v>4627.58</v>
      </c>
      <c r="H974" s="3" t="s">
        <v>20</v>
      </c>
      <c r="I974" s="3" t="n">
        <v>1</v>
      </c>
      <c r="J974" s="3" t="n">
        <v>2</v>
      </c>
      <c r="K974" s="3" t="n">
        <v>27</v>
      </c>
      <c r="L974" s="3" t="n">
        <v>1</v>
      </c>
      <c r="M974" s="3" t="n">
        <v>3</v>
      </c>
      <c r="N974" s="3" t="s">
        <v>19</v>
      </c>
    </row>
    <row r="975" customFormat="false" ht="15" hidden="false" customHeight="false" outlineLevel="0" collapsed="false">
      <c r="A975" s="3" t="s">
        <v>1005</v>
      </c>
      <c r="B975" s="3" t="n">
        <v>23</v>
      </c>
      <c r="C975" s="3" t="s">
        <v>32</v>
      </c>
      <c r="D975" s="3" t="s">
        <v>23</v>
      </c>
      <c r="E975" s="3" t="s">
        <v>24</v>
      </c>
      <c r="F975" s="3" t="n">
        <v>1.3</v>
      </c>
      <c r="G975" s="3" t="n">
        <v>5063.31</v>
      </c>
      <c r="H975" s="3" t="s">
        <v>19</v>
      </c>
      <c r="I975" s="3" t="n">
        <v>4</v>
      </c>
      <c r="J975" s="3" t="n">
        <v>1</v>
      </c>
      <c r="K975" s="3" t="n">
        <v>1</v>
      </c>
      <c r="L975" s="3" t="n">
        <v>0</v>
      </c>
      <c r="M975" s="3" t="n">
        <v>1</v>
      </c>
      <c r="N975" s="3" t="s">
        <v>19</v>
      </c>
    </row>
    <row r="976" customFormat="false" ht="15" hidden="false" customHeight="false" outlineLevel="0" collapsed="false">
      <c r="A976" s="3" t="s">
        <v>1006</v>
      </c>
      <c r="B976" s="3" t="n">
        <v>37</v>
      </c>
      <c r="C976" s="3" t="s">
        <v>24</v>
      </c>
      <c r="D976" s="3" t="s">
        <v>23</v>
      </c>
      <c r="E976" s="3" t="s">
        <v>28</v>
      </c>
      <c r="F976" s="3" t="n">
        <v>0.6</v>
      </c>
      <c r="G976" s="3" t="n">
        <v>4790.87</v>
      </c>
      <c r="H976" s="3" t="s">
        <v>19</v>
      </c>
      <c r="I976" s="3" t="n">
        <v>1</v>
      </c>
      <c r="J976" s="3" t="n">
        <v>3</v>
      </c>
      <c r="K976" s="3" t="n">
        <v>2</v>
      </c>
      <c r="L976" s="3" t="n">
        <v>0</v>
      </c>
      <c r="M976" s="3" t="n">
        <v>4</v>
      </c>
      <c r="N976" s="3" t="s">
        <v>19</v>
      </c>
    </row>
    <row r="977" customFormat="false" ht="15" hidden="false" customHeight="false" outlineLevel="0" collapsed="false">
      <c r="A977" s="3" t="s">
        <v>1007</v>
      </c>
      <c r="B977" s="3" t="n">
        <v>37</v>
      </c>
      <c r="C977" s="3" t="s">
        <v>26</v>
      </c>
      <c r="D977" s="3" t="s">
        <v>48</v>
      </c>
      <c r="E977" s="3" t="s">
        <v>24</v>
      </c>
      <c r="F977" s="3" t="n">
        <v>4.2</v>
      </c>
      <c r="G977" s="3" t="n">
        <v>11099.44</v>
      </c>
      <c r="H977" s="3" t="s">
        <v>19</v>
      </c>
      <c r="I977" s="3" t="n">
        <v>4</v>
      </c>
      <c r="J977" s="3" t="n">
        <v>2</v>
      </c>
      <c r="K977" s="3" t="n">
        <v>25</v>
      </c>
      <c r="L977" s="3" t="n">
        <v>0</v>
      </c>
      <c r="M977" s="3" t="n">
        <v>0</v>
      </c>
      <c r="N977" s="3" t="s">
        <v>19</v>
      </c>
    </row>
    <row r="978" customFormat="false" ht="15" hidden="false" customHeight="false" outlineLevel="0" collapsed="false">
      <c r="A978" s="3" t="s">
        <v>1008</v>
      </c>
      <c r="B978" s="3" t="n">
        <v>21</v>
      </c>
      <c r="C978" s="3" t="s">
        <v>24</v>
      </c>
      <c r="D978" s="3" t="s">
        <v>17</v>
      </c>
      <c r="E978" s="3" t="s">
        <v>24</v>
      </c>
      <c r="F978" s="3" t="n">
        <v>0</v>
      </c>
      <c r="G978" s="3" t="n">
        <v>3790.53</v>
      </c>
      <c r="H978" s="3" t="s">
        <v>19</v>
      </c>
      <c r="I978" s="3" t="n">
        <v>4</v>
      </c>
      <c r="J978" s="3" t="n">
        <v>3</v>
      </c>
      <c r="K978" s="3" t="n">
        <v>3</v>
      </c>
      <c r="L978" s="3" t="n">
        <v>0</v>
      </c>
      <c r="M978" s="3" t="n">
        <v>2</v>
      </c>
      <c r="N978" s="3" t="s">
        <v>19</v>
      </c>
    </row>
    <row r="979" customFormat="false" ht="15" hidden="false" customHeight="false" outlineLevel="0" collapsed="false">
      <c r="A979" s="3" t="s">
        <v>1009</v>
      </c>
      <c r="B979" s="3" t="n">
        <v>34</v>
      </c>
      <c r="C979" s="3" t="s">
        <v>16</v>
      </c>
      <c r="D979" s="3" t="s">
        <v>17</v>
      </c>
      <c r="E979" s="3" t="s">
        <v>41</v>
      </c>
      <c r="F979" s="3" t="n">
        <v>0.4</v>
      </c>
      <c r="G979" s="3" t="n">
        <v>3327.49</v>
      </c>
      <c r="H979" s="3" t="s">
        <v>19</v>
      </c>
      <c r="I979" s="3" t="n">
        <v>4</v>
      </c>
      <c r="J979" s="3" t="n">
        <v>1</v>
      </c>
      <c r="K979" s="3" t="n">
        <v>8</v>
      </c>
      <c r="L979" s="3" t="n">
        <v>0</v>
      </c>
      <c r="M979" s="3" t="n">
        <v>0</v>
      </c>
      <c r="N979" s="3" t="s">
        <v>19</v>
      </c>
    </row>
    <row r="980" customFormat="false" ht="15" hidden="false" customHeight="false" outlineLevel="0" collapsed="false">
      <c r="A980" s="3" t="s">
        <v>1010</v>
      </c>
      <c r="B980" s="3" t="n">
        <v>31</v>
      </c>
      <c r="C980" s="3" t="s">
        <v>24</v>
      </c>
      <c r="D980" s="3" t="s">
        <v>17</v>
      </c>
      <c r="E980" s="3" t="s">
        <v>24</v>
      </c>
      <c r="F980" s="3" t="n">
        <v>0.2</v>
      </c>
      <c r="G980" s="3" t="n">
        <v>3143.51</v>
      </c>
      <c r="H980" s="3" t="s">
        <v>19</v>
      </c>
      <c r="I980" s="3" t="n">
        <v>4</v>
      </c>
      <c r="J980" s="3" t="n">
        <v>3</v>
      </c>
      <c r="K980" s="3" t="n">
        <v>4</v>
      </c>
      <c r="L980" s="3" t="n">
        <v>0</v>
      </c>
      <c r="M980" s="3" t="n">
        <v>1</v>
      </c>
      <c r="N980" s="3" t="s">
        <v>19</v>
      </c>
    </row>
    <row r="981" customFormat="false" ht="15" hidden="false" customHeight="false" outlineLevel="0" collapsed="false">
      <c r="A981" s="3" t="s">
        <v>1011</v>
      </c>
      <c r="B981" s="3" t="n">
        <v>42</v>
      </c>
      <c r="C981" s="3" t="s">
        <v>45</v>
      </c>
      <c r="D981" s="3" t="s">
        <v>23</v>
      </c>
      <c r="E981" s="3" t="s">
        <v>41</v>
      </c>
      <c r="F981" s="3" t="n">
        <v>3.4</v>
      </c>
      <c r="G981" s="3" t="n">
        <v>5611.66</v>
      </c>
      <c r="H981" s="3" t="s">
        <v>20</v>
      </c>
      <c r="I981" s="3" t="n">
        <v>4</v>
      </c>
      <c r="J981" s="3" t="n">
        <v>4</v>
      </c>
      <c r="K981" s="3" t="n">
        <v>2</v>
      </c>
      <c r="L981" s="3" t="n">
        <v>1</v>
      </c>
      <c r="M981" s="3" t="n">
        <v>3</v>
      </c>
      <c r="N981" s="3" t="s">
        <v>19</v>
      </c>
    </row>
    <row r="982" customFormat="false" ht="15" hidden="false" customHeight="false" outlineLevel="0" collapsed="false">
      <c r="A982" s="3" t="s">
        <v>1012</v>
      </c>
      <c r="B982" s="3" t="n">
        <v>30</v>
      </c>
      <c r="C982" s="3" t="s">
        <v>22</v>
      </c>
      <c r="D982" s="3" t="s">
        <v>17</v>
      </c>
      <c r="E982" s="3" t="s">
        <v>28</v>
      </c>
      <c r="F982" s="3" t="n">
        <v>2.9</v>
      </c>
      <c r="G982" s="3" t="n">
        <v>3829.03</v>
      </c>
      <c r="H982" s="3" t="s">
        <v>19</v>
      </c>
      <c r="I982" s="3" t="n">
        <v>4</v>
      </c>
      <c r="J982" s="3" t="n">
        <v>1</v>
      </c>
      <c r="K982" s="3" t="n">
        <v>5</v>
      </c>
      <c r="L982" s="3" t="n">
        <v>0</v>
      </c>
      <c r="M982" s="3" t="n">
        <v>1</v>
      </c>
      <c r="N982" s="3" t="s">
        <v>19</v>
      </c>
    </row>
    <row r="983" customFormat="false" ht="15" hidden="false" customHeight="false" outlineLevel="0" collapsed="false">
      <c r="A983" s="3" t="s">
        <v>1013</v>
      </c>
      <c r="B983" s="3" t="n">
        <v>39</v>
      </c>
      <c r="C983" s="3" t="s">
        <v>32</v>
      </c>
      <c r="D983" s="3" t="s">
        <v>27</v>
      </c>
      <c r="E983" s="3" t="s">
        <v>18</v>
      </c>
      <c r="F983" s="3" t="n">
        <v>1.5</v>
      </c>
      <c r="G983" s="3" t="n">
        <v>7480.6</v>
      </c>
      <c r="H983" s="3" t="s">
        <v>19</v>
      </c>
      <c r="I983" s="3" t="n">
        <v>1</v>
      </c>
      <c r="J983" s="3" t="n">
        <v>4</v>
      </c>
      <c r="K983" s="3" t="n">
        <v>18</v>
      </c>
      <c r="L983" s="3" t="n">
        <v>1</v>
      </c>
      <c r="M983" s="3" t="n">
        <v>2</v>
      </c>
      <c r="N983" s="3" t="s">
        <v>19</v>
      </c>
    </row>
    <row r="984" customFormat="false" ht="15" hidden="false" customHeight="false" outlineLevel="0" collapsed="false">
      <c r="A984" s="3" t="s">
        <v>1014</v>
      </c>
      <c r="B984" s="3" t="n">
        <v>34</v>
      </c>
      <c r="C984" s="3" t="s">
        <v>32</v>
      </c>
      <c r="D984" s="3" t="s">
        <v>27</v>
      </c>
      <c r="E984" s="3" t="s">
        <v>28</v>
      </c>
      <c r="F984" s="3" t="n">
        <v>3.7</v>
      </c>
      <c r="G984" s="3" t="n">
        <v>6226.97</v>
      </c>
      <c r="H984" s="3" t="s">
        <v>19</v>
      </c>
      <c r="I984" s="3" t="n">
        <v>3</v>
      </c>
      <c r="J984" s="3" t="n">
        <v>3</v>
      </c>
      <c r="K984" s="3" t="n">
        <v>7</v>
      </c>
      <c r="L984" s="3" t="n">
        <v>3</v>
      </c>
      <c r="M984" s="3" t="n">
        <v>2</v>
      </c>
      <c r="N984" s="3" t="s">
        <v>19</v>
      </c>
    </row>
    <row r="985" customFormat="false" ht="15" hidden="false" customHeight="false" outlineLevel="0" collapsed="false">
      <c r="A985" s="3" t="s">
        <v>1015</v>
      </c>
      <c r="B985" s="3" t="n">
        <v>32</v>
      </c>
      <c r="C985" s="3" t="s">
        <v>16</v>
      </c>
      <c r="D985" s="3" t="s">
        <v>17</v>
      </c>
      <c r="E985" s="3" t="s">
        <v>24</v>
      </c>
      <c r="F985" s="3" t="n">
        <v>3.7</v>
      </c>
      <c r="G985" s="3" t="n">
        <v>3044.05</v>
      </c>
      <c r="H985" s="3" t="s">
        <v>20</v>
      </c>
      <c r="I985" s="3" t="n">
        <v>4</v>
      </c>
      <c r="J985" s="3" t="n">
        <v>3</v>
      </c>
      <c r="K985" s="3" t="n">
        <v>4</v>
      </c>
      <c r="L985" s="3" t="n">
        <v>0</v>
      </c>
      <c r="M985" s="3" t="n">
        <v>1</v>
      </c>
      <c r="N985" s="3" t="s">
        <v>19</v>
      </c>
    </row>
    <row r="986" customFormat="false" ht="15" hidden="false" customHeight="false" outlineLevel="0" collapsed="false">
      <c r="A986" s="3" t="s">
        <v>1016</v>
      </c>
      <c r="B986" s="3" t="n">
        <v>43</v>
      </c>
      <c r="C986" s="3" t="s">
        <v>45</v>
      </c>
      <c r="D986" s="3" t="s">
        <v>27</v>
      </c>
      <c r="E986" s="3" t="s">
        <v>28</v>
      </c>
      <c r="F986" s="3" t="n">
        <v>2.7</v>
      </c>
      <c r="G986" s="3" t="n">
        <v>6276.38</v>
      </c>
      <c r="H986" s="3" t="s">
        <v>19</v>
      </c>
      <c r="I986" s="3" t="n">
        <v>4</v>
      </c>
      <c r="J986" s="3" t="n">
        <v>3</v>
      </c>
      <c r="K986" s="3" t="n">
        <v>18</v>
      </c>
      <c r="L986" s="3" t="n">
        <v>0</v>
      </c>
      <c r="M986" s="3" t="n">
        <v>6</v>
      </c>
      <c r="N986" s="3" t="s">
        <v>19</v>
      </c>
    </row>
    <row r="987" customFormat="false" ht="15" hidden="false" customHeight="false" outlineLevel="0" collapsed="false">
      <c r="A987" s="3" t="s">
        <v>1017</v>
      </c>
      <c r="B987" s="3" t="n">
        <v>42</v>
      </c>
      <c r="C987" s="3" t="s">
        <v>24</v>
      </c>
      <c r="D987" s="3" t="s">
        <v>17</v>
      </c>
      <c r="E987" s="3" t="s">
        <v>24</v>
      </c>
      <c r="F987" s="3" t="n">
        <v>2.8</v>
      </c>
      <c r="G987" s="3" t="n">
        <v>2855.1</v>
      </c>
      <c r="H987" s="3" t="s">
        <v>19</v>
      </c>
      <c r="I987" s="3" t="n">
        <v>2</v>
      </c>
      <c r="J987" s="3" t="n">
        <v>4</v>
      </c>
      <c r="K987" s="3" t="n">
        <v>11</v>
      </c>
      <c r="L987" s="3" t="n">
        <v>2</v>
      </c>
      <c r="M987" s="3" t="n">
        <v>1</v>
      </c>
      <c r="N987" s="3" t="s">
        <v>19</v>
      </c>
    </row>
    <row r="988" customFormat="false" ht="15" hidden="false" customHeight="false" outlineLevel="0" collapsed="false">
      <c r="A988" s="3" t="s">
        <v>1018</v>
      </c>
      <c r="B988" s="3" t="n">
        <v>44</v>
      </c>
      <c r="C988" s="3" t="s">
        <v>22</v>
      </c>
      <c r="D988" s="3" t="s">
        <v>27</v>
      </c>
      <c r="E988" s="3" t="s">
        <v>18</v>
      </c>
      <c r="F988" s="3" t="n">
        <v>2.3</v>
      </c>
      <c r="G988" s="3" t="n">
        <v>6972.18</v>
      </c>
      <c r="H988" s="3" t="s">
        <v>19</v>
      </c>
      <c r="I988" s="3" t="n">
        <v>2</v>
      </c>
      <c r="J988" s="3" t="n">
        <v>3</v>
      </c>
      <c r="K988" s="3" t="n">
        <v>7</v>
      </c>
      <c r="L988" s="3" t="n">
        <v>2</v>
      </c>
      <c r="M988" s="3" t="n">
        <v>1</v>
      </c>
      <c r="N988" s="3" t="s">
        <v>19</v>
      </c>
    </row>
    <row r="989" customFormat="false" ht="15" hidden="false" customHeight="false" outlineLevel="0" collapsed="false">
      <c r="A989" s="3" t="s">
        <v>1019</v>
      </c>
      <c r="B989" s="3" t="n">
        <v>37</v>
      </c>
      <c r="C989" s="3" t="s">
        <v>32</v>
      </c>
      <c r="D989" s="3" t="s">
        <v>23</v>
      </c>
      <c r="E989" s="3" t="s">
        <v>41</v>
      </c>
      <c r="F989" s="3" t="n">
        <v>4.9</v>
      </c>
      <c r="G989" s="3" t="n">
        <v>5748</v>
      </c>
      <c r="H989" s="3" t="s">
        <v>19</v>
      </c>
      <c r="I989" s="3" t="n">
        <v>2</v>
      </c>
      <c r="J989" s="3" t="n">
        <v>3</v>
      </c>
      <c r="K989" s="3" t="n">
        <v>12</v>
      </c>
      <c r="L989" s="3" t="n">
        <v>1</v>
      </c>
      <c r="M989" s="3" t="n">
        <v>3</v>
      </c>
      <c r="N989" s="3" t="s">
        <v>19</v>
      </c>
    </row>
    <row r="990" customFormat="false" ht="15" hidden="false" customHeight="false" outlineLevel="0" collapsed="false">
      <c r="A990" s="3" t="s">
        <v>1020</v>
      </c>
      <c r="B990" s="3" t="n">
        <v>39</v>
      </c>
      <c r="C990" s="3" t="s">
        <v>22</v>
      </c>
      <c r="D990" s="3" t="s">
        <v>17</v>
      </c>
      <c r="E990" s="3" t="s">
        <v>41</v>
      </c>
      <c r="F990" s="3" t="n">
        <v>0</v>
      </c>
      <c r="G990" s="3" t="n">
        <v>3035.77</v>
      </c>
      <c r="H990" s="3" t="s">
        <v>20</v>
      </c>
      <c r="I990" s="3" t="n">
        <v>4</v>
      </c>
      <c r="J990" s="3" t="n">
        <v>3</v>
      </c>
      <c r="K990" s="3" t="n">
        <v>2</v>
      </c>
      <c r="L990" s="3" t="n">
        <v>0</v>
      </c>
      <c r="M990" s="3" t="n">
        <v>0</v>
      </c>
      <c r="N990" s="3" t="s">
        <v>19</v>
      </c>
    </row>
    <row r="991" customFormat="false" ht="15" hidden="false" customHeight="false" outlineLevel="0" collapsed="false">
      <c r="A991" s="3" t="s">
        <v>1021</v>
      </c>
      <c r="B991" s="3" t="n">
        <v>48</v>
      </c>
      <c r="C991" s="3" t="s">
        <v>24</v>
      </c>
      <c r="D991" s="3" t="s">
        <v>48</v>
      </c>
      <c r="E991" s="3" t="s">
        <v>18</v>
      </c>
      <c r="F991" s="3" t="n">
        <v>0.4</v>
      </c>
      <c r="G991" s="3" t="n">
        <v>9382.07</v>
      </c>
      <c r="H991" s="3" t="s">
        <v>19</v>
      </c>
      <c r="I991" s="3" t="n">
        <v>2</v>
      </c>
      <c r="J991" s="3" t="n">
        <v>1</v>
      </c>
      <c r="K991" s="3" t="n">
        <v>9</v>
      </c>
      <c r="L991" s="3" t="n">
        <v>0</v>
      </c>
      <c r="M991" s="3" t="n">
        <v>3</v>
      </c>
      <c r="N991" s="3" t="s">
        <v>20</v>
      </c>
    </row>
    <row r="992" customFormat="false" ht="15" hidden="false" customHeight="false" outlineLevel="0" collapsed="false">
      <c r="A992" s="3" t="s">
        <v>1022</v>
      </c>
      <c r="B992" s="3" t="n">
        <v>42</v>
      </c>
      <c r="C992" s="3" t="s">
        <v>26</v>
      </c>
      <c r="D992" s="3" t="s">
        <v>17</v>
      </c>
      <c r="E992" s="3" t="s">
        <v>18</v>
      </c>
      <c r="F992" s="3" t="n">
        <v>2</v>
      </c>
      <c r="G992" s="3" t="n">
        <v>3205.1</v>
      </c>
      <c r="H992" s="3" t="s">
        <v>20</v>
      </c>
      <c r="I992" s="3" t="n">
        <v>3</v>
      </c>
      <c r="J992" s="3" t="n">
        <v>3</v>
      </c>
      <c r="K992" s="3" t="n">
        <v>12</v>
      </c>
      <c r="L992" s="3" t="n">
        <v>1</v>
      </c>
      <c r="M992" s="3" t="n">
        <v>3</v>
      </c>
      <c r="N992" s="3" t="s">
        <v>19</v>
      </c>
    </row>
    <row r="993" customFormat="false" ht="15" hidden="false" customHeight="false" outlineLevel="0" collapsed="false">
      <c r="A993" s="3" t="s">
        <v>1023</v>
      </c>
      <c r="B993" s="3" t="n">
        <v>34</v>
      </c>
      <c r="C993" s="3" t="s">
        <v>22</v>
      </c>
      <c r="D993" s="3" t="s">
        <v>23</v>
      </c>
      <c r="E993" s="3" t="s">
        <v>28</v>
      </c>
      <c r="F993" s="3" t="n">
        <v>3.3</v>
      </c>
      <c r="G993" s="3" t="n">
        <v>5574.16</v>
      </c>
      <c r="H993" s="3" t="s">
        <v>19</v>
      </c>
      <c r="I993" s="3" t="n">
        <v>1</v>
      </c>
      <c r="J993" s="3" t="n">
        <v>4</v>
      </c>
      <c r="K993" s="3" t="n">
        <v>6</v>
      </c>
      <c r="L993" s="3" t="n">
        <v>0</v>
      </c>
      <c r="M993" s="3" t="n">
        <v>3</v>
      </c>
      <c r="N993" s="3" t="s">
        <v>19</v>
      </c>
    </row>
    <row r="994" customFormat="false" ht="15" hidden="false" customHeight="false" outlineLevel="0" collapsed="false">
      <c r="A994" s="3" t="s">
        <v>1024</v>
      </c>
      <c r="B994" s="3" t="n">
        <v>21</v>
      </c>
      <c r="C994" s="3" t="s">
        <v>26</v>
      </c>
      <c r="D994" s="3" t="s">
        <v>23</v>
      </c>
      <c r="E994" s="3" t="s">
        <v>18</v>
      </c>
      <c r="F994" s="3" t="n">
        <v>0</v>
      </c>
      <c r="G994" s="3" t="n">
        <v>5397.4</v>
      </c>
      <c r="H994" s="3" t="s">
        <v>19</v>
      </c>
      <c r="I994" s="3" t="n">
        <v>3</v>
      </c>
      <c r="J994" s="3" t="n">
        <v>3</v>
      </c>
      <c r="K994" s="3" t="n">
        <v>7</v>
      </c>
      <c r="L994" s="3" t="n">
        <v>0</v>
      </c>
      <c r="M994" s="3" t="n">
        <v>1</v>
      </c>
      <c r="N994" s="3" t="s">
        <v>19</v>
      </c>
    </row>
    <row r="995" customFormat="false" ht="15" hidden="false" customHeight="false" outlineLevel="0" collapsed="false">
      <c r="A995" s="3" t="s">
        <v>1025</v>
      </c>
      <c r="B995" s="3" t="n">
        <v>38</v>
      </c>
      <c r="C995" s="3" t="s">
        <v>22</v>
      </c>
      <c r="D995" s="3" t="s">
        <v>27</v>
      </c>
      <c r="E995" s="3" t="s">
        <v>18</v>
      </c>
      <c r="F995" s="3" t="n">
        <v>0.5</v>
      </c>
      <c r="G995" s="3" t="n">
        <v>7724.07</v>
      </c>
      <c r="H995" s="3" t="s">
        <v>19</v>
      </c>
      <c r="I995" s="3" t="n">
        <v>2</v>
      </c>
      <c r="J995" s="3" t="n">
        <v>2</v>
      </c>
      <c r="K995" s="3" t="n">
        <v>8</v>
      </c>
      <c r="L995" s="3" t="n">
        <v>0</v>
      </c>
      <c r="M995" s="3" t="n">
        <v>1</v>
      </c>
      <c r="N995" s="3" t="s">
        <v>19</v>
      </c>
    </row>
    <row r="996" customFormat="false" ht="15" hidden="false" customHeight="false" outlineLevel="0" collapsed="false">
      <c r="A996" s="3" t="s">
        <v>1026</v>
      </c>
      <c r="B996" s="3" t="n">
        <v>22</v>
      </c>
      <c r="C996" s="3" t="s">
        <v>24</v>
      </c>
      <c r="D996" s="3" t="s">
        <v>17</v>
      </c>
      <c r="E996" s="3" t="s">
        <v>41</v>
      </c>
      <c r="F996" s="3" t="n">
        <v>0.3</v>
      </c>
      <c r="G996" s="3" t="n">
        <v>3139.89</v>
      </c>
      <c r="H996" s="3" t="s">
        <v>19</v>
      </c>
      <c r="I996" s="3" t="n">
        <v>1</v>
      </c>
      <c r="J996" s="3" t="n">
        <v>4</v>
      </c>
      <c r="K996" s="3" t="n">
        <v>3</v>
      </c>
      <c r="L996" s="3" t="n">
        <v>0</v>
      </c>
      <c r="M996" s="3" t="n">
        <v>2</v>
      </c>
      <c r="N996" s="3" t="s">
        <v>19</v>
      </c>
    </row>
    <row r="997" customFormat="false" ht="15" hidden="false" customHeight="false" outlineLevel="0" collapsed="false">
      <c r="A997" s="3" t="s">
        <v>1027</v>
      </c>
      <c r="B997" s="3" t="n">
        <v>27</v>
      </c>
      <c r="C997" s="3" t="s">
        <v>24</v>
      </c>
      <c r="D997" s="3" t="s">
        <v>23</v>
      </c>
      <c r="E997" s="3" t="s">
        <v>18</v>
      </c>
      <c r="F997" s="3" t="n">
        <v>1</v>
      </c>
      <c r="G997" s="3" t="n">
        <v>5723.39</v>
      </c>
      <c r="H997" s="3" t="s">
        <v>19</v>
      </c>
      <c r="I997" s="3" t="n">
        <v>3</v>
      </c>
      <c r="J997" s="3" t="n">
        <v>2</v>
      </c>
      <c r="K997" s="3" t="n">
        <v>20</v>
      </c>
      <c r="L997" s="3" t="n">
        <v>1</v>
      </c>
      <c r="M997" s="3" t="n">
        <v>4</v>
      </c>
      <c r="N997" s="3" t="s">
        <v>19</v>
      </c>
    </row>
    <row r="998" customFormat="false" ht="15" hidden="false" customHeight="false" outlineLevel="0" collapsed="false">
      <c r="A998" s="3" t="s">
        <v>1028</v>
      </c>
      <c r="B998" s="3" t="n">
        <v>34</v>
      </c>
      <c r="C998" s="3" t="s">
        <v>22</v>
      </c>
      <c r="D998" s="3" t="s">
        <v>23</v>
      </c>
      <c r="E998" s="3" t="s">
        <v>28</v>
      </c>
      <c r="F998" s="3" t="n">
        <v>0.6</v>
      </c>
      <c r="G998" s="3" t="n">
        <v>4629.29</v>
      </c>
      <c r="H998" s="3" t="s">
        <v>19</v>
      </c>
      <c r="I998" s="3" t="n">
        <v>2</v>
      </c>
      <c r="J998" s="3" t="n">
        <v>3</v>
      </c>
      <c r="K998" s="3" t="n">
        <v>2</v>
      </c>
      <c r="L998" s="3" t="n">
        <v>0</v>
      </c>
      <c r="M998" s="3" t="n">
        <v>1</v>
      </c>
      <c r="N998" s="3" t="s">
        <v>19</v>
      </c>
    </row>
    <row r="999" customFormat="false" ht="15" hidden="false" customHeight="false" outlineLevel="0" collapsed="false">
      <c r="A999" s="3" t="s">
        <v>1029</v>
      </c>
      <c r="B999" s="3" t="n">
        <v>33</v>
      </c>
      <c r="C999" s="3" t="s">
        <v>26</v>
      </c>
      <c r="D999" s="3" t="s">
        <v>23</v>
      </c>
      <c r="E999" s="3" t="s">
        <v>18</v>
      </c>
      <c r="F999" s="3" t="n">
        <v>6</v>
      </c>
      <c r="G999" s="3" t="n">
        <v>5450.59</v>
      </c>
      <c r="H999" s="3" t="s">
        <v>20</v>
      </c>
      <c r="I999" s="3" t="n">
        <v>1</v>
      </c>
      <c r="J999" s="3" t="n">
        <v>4</v>
      </c>
      <c r="K999" s="3" t="n">
        <v>4</v>
      </c>
      <c r="L999" s="3" t="n">
        <v>2</v>
      </c>
      <c r="M999" s="3" t="n">
        <v>2</v>
      </c>
      <c r="N999" s="3" t="s">
        <v>20</v>
      </c>
    </row>
    <row r="1000" customFormat="false" ht="15" hidden="false" customHeight="false" outlineLevel="0" collapsed="false">
      <c r="A1000" s="3" t="s">
        <v>1030</v>
      </c>
      <c r="B1000" s="3" t="n">
        <v>32</v>
      </c>
      <c r="C1000" s="3" t="s">
        <v>26</v>
      </c>
      <c r="D1000" s="3" t="s">
        <v>27</v>
      </c>
      <c r="E1000" s="3" t="s">
        <v>18</v>
      </c>
      <c r="F1000" s="3" t="n">
        <v>1.1</v>
      </c>
      <c r="G1000" s="3" t="n">
        <v>8142.48</v>
      </c>
      <c r="H1000" s="3" t="s">
        <v>20</v>
      </c>
      <c r="I1000" s="3" t="n">
        <v>3</v>
      </c>
      <c r="J1000" s="3" t="n">
        <v>4</v>
      </c>
      <c r="K1000" s="3" t="n">
        <v>10</v>
      </c>
      <c r="L1000" s="3" t="n">
        <v>0</v>
      </c>
      <c r="M1000" s="3" t="n">
        <v>0</v>
      </c>
      <c r="N1000" s="3" t="s">
        <v>19</v>
      </c>
    </row>
    <row r="1001" customFormat="false" ht="15" hidden="false" customHeight="false" outlineLevel="0" collapsed="false">
      <c r="A1001" s="3" t="s">
        <v>1031</v>
      </c>
      <c r="B1001" s="3" t="n">
        <v>35</v>
      </c>
      <c r="C1001" s="3" t="s">
        <v>16</v>
      </c>
      <c r="D1001" s="3" t="s">
        <v>17</v>
      </c>
      <c r="E1001" s="3" t="s">
        <v>28</v>
      </c>
      <c r="F1001" s="3" t="n">
        <v>3</v>
      </c>
      <c r="G1001" s="3" t="n">
        <v>2772.87</v>
      </c>
      <c r="H1001" s="3" t="s">
        <v>19</v>
      </c>
      <c r="I1001" s="3" t="n">
        <v>1</v>
      </c>
      <c r="J1001" s="3" t="n">
        <v>2</v>
      </c>
      <c r="K1001" s="3" t="n">
        <v>2</v>
      </c>
      <c r="L1001" s="3" t="n">
        <v>0</v>
      </c>
      <c r="M1001" s="3" t="n">
        <v>3</v>
      </c>
      <c r="N1001" s="3" t="s">
        <v>19</v>
      </c>
    </row>
    <row r="1002" customFormat="false" ht="15" hidden="false" customHeight="false" outlineLevel="0" collapsed="false">
      <c r="A1002" s="3" t="s">
        <v>1032</v>
      </c>
      <c r="B1002" s="3" t="n">
        <v>39</v>
      </c>
      <c r="C1002" s="3" t="s">
        <v>45</v>
      </c>
      <c r="D1002" s="3" t="s">
        <v>17</v>
      </c>
      <c r="E1002" s="3" t="s">
        <v>28</v>
      </c>
      <c r="F1002" s="3" t="n">
        <v>0.5</v>
      </c>
      <c r="G1002" s="3" t="n">
        <v>3090.91</v>
      </c>
      <c r="H1002" s="3" t="s">
        <v>20</v>
      </c>
      <c r="I1002" s="3" t="n">
        <v>4</v>
      </c>
      <c r="J1002" s="3" t="n">
        <v>2</v>
      </c>
      <c r="K1002" s="3" t="n">
        <v>16</v>
      </c>
      <c r="L1002" s="3" t="n">
        <v>0</v>
      </c>
      <c r="M1002" s="3" t="n">
        <v>3</v>
      </c>
      <c r="N1002" s="3" t="s">
        <v>19</v>
      </c>
    </row>
    <row r="1003" customFormat="false" ht="15" hidden="false" customHeight="false" outlineLevel="0" collapsed="false">
      <c r="A1003" s="3" t="s">
        <v>1033</v>
      </c>
      <c r="B1003" s="3" t="n">
        <v>30</v>
      </c>
      <c r="C1003" s="3" t="s">
        <v>22</v>
      </c>
      <c r="D1003" s="3" t="s">
        <v>17</v>
      </c>
      <c r="E1003" s="3" t="s">
        <v>18</v>
      </c>
      <c r="F1003" s="3" t="n">
        <v>6.6</v>
      </c>
      <c r="G1003" s="3" t="n">
        <v>3482.13</v>
      </c>
      <c r="H1003" s="3" t="s">
        <v>19</v>
      </c>
      <c r="I1003" s="3" t="n">
        <v>2</v>
      </c>
      <c r="J1003" s="3" t="n">
        <v>3</v>
      </c>
      <c r="K1003" s="3" t="n">
        <v>2</v>
      </c>
      <c r="L1003" s="3" t="n">
        <v>0</v>
      </c>
      <c r="M1003" s="3" t="n">
        <v>3</v>
      </c>
      <c r="N1003" s="3" t="s">
        <v>19</v>
      </c>
    </row>
    <row r="1004" customFormat="false" ht="15" hidden="false" customHeight="false" outlineLevel="0" collapsed="false">
      <c r="A1004" s="3" t="s">
        <v>1034</v>
      </c>
      <c r="B1004" s="3" t="n">
        <v>27</v>
      </c>
      <c r="C1004" s="3" t="s">
        <v>22</v>
      </c>
      <c r="D1004" s="3" t="s">
        <v>17</v>
      </c>
      <c r="E1004" s="3" t="s">
        <v>24</v>
      </c>
      <c r="F1004" s="3" t="n">
        <v>6</v>
      </c>
      <c r="G1004" s="3" t="n">
        <v>3636.31</v>
      </c>
      <c r="H1004" s="3" t="s">
        <v>20</v>
      </c>
      <c r="I1004" s="3" t="n">
        <v>4</v>
      </c>
      <c r="J1004" s="3" t="n">
        <v>4</v>
      </c>
      <c r="K1004" s="3" t="n">
        <v>6</v>
      </c>
      <c r="L1004" s="3" t="n">
        <v>1</v>
      </c>
      <c r="M1004" s="3" t="n">
        <v>2</v>
      </c>
      <c r="N1004" s="3" t="s">
        <v>19</v>
      </c>
    </row>
    <row r="1005" customFormat="false" ht="15" hidden="false" customHeight="false" outlineLevel="0" collapsed="false">
      <c r="A1005" s="3" t="s">
        <v>1035</v>
      </c>
      <c r="B1005" s="3" t="n">
        <v>39</v>
      </c>
      <c r="C1005" s="3" t="s">
        <v>16</v>
      </c>
      <c r="D1005" s="3" t="s">
        <v>17</v>
      </c>
      <c r="E1005" s="3" t="s">
        <v>18</v>
      </c>
      <c r="F1005" s="3" t="n">
        <v>2.5</v>
      </c>
      <c r="G1005" s="3" t="n">
        <v>3066.23</v>
      </c>
      <c r="H1005" s="3" t="s">
        <v>20</v>
      </c>
      <c r="I1005" s="3" t="n">
        <v>2</v>
      </c>
      <c r="J1005" s="3" t="n">
        <v>3</v>
      </c>
      <c r="K1005" s="3" t="n">
        <v>7</v>
      </c>
      <c r="L1005" s="3" t="n">
        <v>0</v>
      </c>
      <c r="M1005" s="3" t="n">
        <v>3</v>
      </c>
      <c r="N1005" s="3" t="s">
        <v>19</v>
      </c>
    </row>
    <row r="1006" customFormat="false" ht="15" hidden="false" customHeight="false" outlineLevel="0" collapsed="false">
      <c r="A1006" s="3" t="s">
        <v>1036</v>
      </c>
      <c r="B1006" s="3" t="n">
        <v>45</v>
      </c>
      <c r="C1006" s="3" t="s">
        <v>26</v>
      </c>
      <c r="D1006" s="3" t="s">
        <v>23</v>
      </c>
      <c r="E1006" s="3" t="s">
        <v>24</v>
      </c>
      <c r="F1006" s="3" t="n">
        <v>1.5</v>
      </c>
      <c r="G1006" s="3" t="n">
        <v>5178.03</v>
      </c>
      <c r="H1006" s="3" t="s">
        <v>20</v>
      </c>
      <c r="I1006" s="3" t="n">
        <v>1</v>
      </c>
      <c r="J1006" s="3" t="n">
        <v>3</v>
      </c>
      <c r="K1006" s="3" t="n">
        <v>8</v>
      </c>
      <c r="L1006" s="3" t="n">
        <v>0</v>
      </c>
      <c r="M1006" s="3" t="n">
        <v>1</v>
      </c>
      <c r="N1006" s="3" t="s">
        <v>20</v>
      </c>
    </row>
    <row r="1007" customFormat="false" ht="15" hidden="false" customHeight="false" outlineLevel="0" collapsed="false">
      <c r="A1007" s="3" t="s">
        <v>1037</v>
      </c>
      <c r="B1007" s="3" t="n">
        <v>23</v>
      </c>
      <c r="C1007" s="3" t="s">
        <v>45</v>
      </c>
      <c r="D1007" s="3" t="s">
        <v>48</v>
      </c>
      <c r="E1007" s="3" t="s">
        <v>24</v>
      </c>
      <c r="F1007" s="3" t="n">
        <v>0.9</v>
      </c>
      <c r="G1007" s="3" t="n">
        <v>9126.91</v>
      </c>
      <c r="H1007" s="3" t="s">
        <v>19</v>
      </c>
      <c r="I1007" s="3" t="n">
        <v>4</v>
      </c>
      <c r="J1007" s="3" t="n">
        <v>4</v>
      </c>
      <c r="K1007" s="3" t="n">
        <v>5</v>
      </c>
      <c r="L1007" s="3" t="n">
        <v>0</v>
      </c>
      <c r="M1007" s="3" t="n">
        <v>2</v>
      </c>
      <c r="N1007" s="3" t="s">
        <v>20</v>
      </c>
    </row>
    <row r="1008" customFormat="false" ht="15" hidden="false" customHeight="false" outlineLevel="0" collapsed="false">
      <c r="A1008" s="3" t="s">
        <v>1038</v>
      </c>
      <c r="B1008" s="3" t="n">
        <v>36</v>
      </c>
      <c r="C1008" s="3" t="s">
        <v>16</v>
      </c>
      <c r="D1008" s="3" t="s">
        <v>17</v>
      </c>
      <c r="E1008" s="3" t="s">
        <v>41</v>
      </c>
      <c r="F1008" s="3" t="n">
        <v>0.4</v>
      </c>
      <c r="G1008" s="3" t="n">
        <v>2724.85</v>
      </c>
      <c r="H1008" s="3" t="s">
        <v>19</v>
      </c>
      <c r="I1008" s="3" t="n">
        <v>4</v>
      </c>
      <c r="J1008" s="3" t="n">
        <v>3</v>
      </c>
      <c r="K1008" s="3" t="n">
        <v>3</v>
      </c>
      <c r="L1008" s="3" t="n">
        <v>0</v>
      </c>
      <c r="M1008" s="3" t="n">
        <v>3</v>
      </c>
      <c r="N1008" s="3" t="s">
        <v>19</v>
      </c>
    </row>
    <row r="1009" customFormat="false" ht="15" hidden="false" customHeight="false" outlineLevel="0" collapsed="false">
      <c r="A1009" s="3" t="s">
        <v>1039</v>
      </c>
      <c r="B1009" s="3" t="n">
        <v>22</v>
      </c>
      <c r="C1009" s="3" t="s">
        <v>16</v>
      </c>
      <c r="D1009" s="3" t="s">
        <v>17</v>
      </c>
      <c r="E1009" s="3" t="s">
        <v>41</v>
      </c>
      <c r="F1009" s="3" t="n">
        <v>1</v>
      </c>
      <c r="G1009" s="3" t="n">
        <v>3096.3</v>
      </c>
      <c r="H1009" s="3" t="s">
        <v>19</v>
      </c>
      <c r="I1009" s="3" t="n">
        <v>3</v>
      </c>
      <c r="J1009" s="3" t="n">
        <v>4</v>
      </c>
      <c r="K1009" s="3" t="n">
        <v>22</v>
      </c>
      <c r="L1009" s="3" t="n">
        <v>0</v>
      </c>
      <c r="M1009" s="3" t="n">
        <v>1</v>
      </c>
      <c r="N1009" s="3" t="s">
        <v>19</v>
      </c>
    </row>
    <row r="1010" customFormat="false" ht="15" hidden="false" customHeight="false" outlineLevel="0" collapsed="false">
      <c r="A1010" s="3" t="s">
        <v>1040</v>
      </c>
      <c r="B1010" s="3" t="n">
        <v>37</v>
      </c>
      <c r="C1010" s="3" t="s">
        <v>24</v>
      </c>
      <c r="D1010" s="3" t="s">
        <v>27</v>
      </c>
      <c r="E1010" s="3" t="s">
        <v>18</v>
      </c>
      <c r="F1010" s="3" t="n">
        <v>0.6</v>
      </c>
      <c r="G1010" s="3" t="n">
        <v>8457.26</v>
      </c>
      <c r="H1010" s="3" t="s">
        <v>19</v>
      </c>
      <c r="I1010" s="3" t="n">
        <v>3</v>
      </c>
      <c r="J1010" s="3" t="n">
        <v>4</v>
      </c>
      <c r="K1010" s="3" t="n">
        <v>6</v>
      </c>
      <c r="L1010" s="3" t="n">
        <v>0</v>
      </c>
      <c r="M1010" s="3" t="n">
        <v>3</v>
      </c>
      <c r="N1010" s="3" t="s">
        <v>19</v>
      </c>
    </row>
    <row r="1011" customFormat="false" ht="15" hidden="false" customHeight="false" outlineLevel="0" collapsed="false">
      <c r="A1011" s="3" t="s">
        <v>1041</v>
      </c>
      <c r="B1011" s="3" t="n">
        <v>48</v>
      </c>
      <c r="C1011" s="3" t="s">
        <v>22</v>
      </c>
      <c r="D1011" s="3" t="s">
        <v>23</v>
      </c>
      <c r="E1011" s="3" t="s">
        <v>24</v>
      </c>
      <c r="F1011" s="3" t="n">
        <v>2.6</v>
      </c>
      <c r="G1011" s="3" t="n">
        <v>4525.79</v>
      </c>
      <c r="H1011" s="3" t="s">
        <v>19</v>
      </c>
      <c r="I1011" s="3" t="n">
        <v>3</v>
      </c>
      <c r="J1011" s="3" t="n">
        <v>3</v>
      </c>
      <c r="K1011" s="3" t="n">
        <v>1</v>
      </c>
      <c r="L1011" s="3" t="n">
        <v>0</v>
      </c>
      <c r="M1011" s="3" t="n">
        <v>1</v>
      </c>
      <c r="N1011" s="3" t="s">
        <v>19</v>
      </c>
    </row>
    <row r="1012" customFormat="false" ht="15" hidden="false" customHeight="false" outlineLevel="0" collapsed="false">
      <c r="A1012" s="3" t="s">
        <v>1042</v>
      </c>
      <c r="B1012" s="3" t="n">
        <v>27</v>
      </c>
      <c r="C1012" s="3" t="s">
        <v>45</v>
      </c>
      <c r="D1012" s="3" t="s">
        <v>27</v>
      </c>
      <c r="E1012" s="3" t="s">
        <v>28</v>
      </c>
      <c r="F1012" s="3" t="n">
        <v>5.2</v>
      </c>
      <c r="G1012" s="3" t="n">
        <v>8300.47</v>
      </c>
      <c r="H1012" s="3" t="s">
        <v>20</v>
      </c>
      <c r="I1012" s="3" t="n">
        <v>4</v>
      </c>
      <c r="J1012" s="3" t="n">
        <v>2</v>
      </c>
      <c r="K1012" s="3" t="n">
        <v>16</v>
      </c>
      <c r="L1012" s="3" t="n">
        <v>1</v>
      </c>
      <c r="M1012" s="3" t="n">
        <v>1</v>
      </c>
      <c r="N1012" s="3" t="s">
        <v>20</v>
      </c>
    </row>
    <row r="1013" customFormat="false" ht="15" hidden="false" customHeight="false" outlineLevel="0" collapsed="false">
      <c r="A1013" s="3" t="s">
        <v>1043</v>
      </c>
      <c r="B1013" s="3" t="n">
        <v>25</v>
      </c>
      <c r="C1013" s="3" t="s">
        <v>32</v>
      </c>
      <c r="D1013" s="3" t="s">
        <v>23</v>
      </c>
      <c r="E1013" s="3" t="s">
        <v>18</v>
      </c>
      <c r="F1013" s="3" t="n">
        <v>0.6</v>
      </c>
      <c r="G1013" s="3" t="n">
        <v>5281.99</v>
      </c>
      <c r="H1013" s="3" t="s">
        <v>19</v>
      </c>
      <c r="I1013" s="3" t="n">
        <v>3</v>
      </c>
      <c r="J1013" s="3" t="n">
        <v>4</v>
      </c>
      <c r="K1013" s="3" t="n">
        <v>4</v>
      </c>
      <c r="L1013" s="3" t="n">
        <v>0</v>
      </c>
      <c r="M1013" s="3" t="n">
        <v>2</v>
      </c>
      <c r="N1013" s="3" t="s">
        <v>19</v>
      </c>
    </row>
    <row r="1014" customFormat="false" ht="15" hidden="false" customHeight="false" outlineLevel="0" collapsed="false">
      <c r="A1014" s="3" t="s">
        <v>1044</v>
      </c>
      <c r="B1014" s="3" t="n">
        <v>22</v>
      </c>
      <c r="C1014" s="3" t="s">
        <v>32</v>
      </c>
      <c r="D1014" s="3" t="s">
        <v>27</v>
      </c>
      <c r="E1014" s="3" t="s">
        <v>18</v>
      </c>
      <c r="F1014" s="3" t="n">
        <v>0.4</v>
      </c>
      <c r="G1014" s="3" t="n">
        <v>8482.17</v>
      </c>
      <c r="H1014" s="3" t="s">
        <v>19</v>
      </c>
      <c r="I1014" s="3" t="n">
        <v>3</v>
      </c>
      <c r="J1014" s="3" t="n">
        <v>2</v>
      </c>
      <c r="K1014" s="3" t="n">
        <v>10</v>
      </c>
      <c r="L1014" s="3" t="n">
        <v>0</v>
      </c>
      <c r="M1014" s="3" t="n">
        <v>2</v>
      </c>
      <c r="N1014" s="3" t="s">
        <v>19</v>
      </c>
    </row>
    <row r="1015" customFormat="false" ht="15" hidden="false" customHeight="false" outlineLevel="0" collapsed="false">
      <c r="A1015" s="3" t="s">
        <v>1045</v>
      </c>
      <c r="B1015" s="3" t="n">
        <v>41</v>
      </c>
      <c r="C1015" s="3" t="s">
        <v>16</v>
      </c>
      <c r="D1015" s="3" t="s">
        <v>23</v>
      </c>
      <c r="E1015" s="3" t="s">
        <v>41</v>
      </c>
      <c r="F1015" s="3" t="n">
        <v>1.2</v>
      </c>
      <c r="G1015" s="3" t="n">
        <v>4186.79</v>
      </c>
      <c r="H1015" s="3" t="s">
        <v>19</v>
      </c>
      <c r="I1015" s="3" t="n">
        <v>3</v>
      </c>
      <c r="J1015" s="3" t="n">
        <v>3</v>
      </c>
      <c r="K1015" s="3" t="n">
        <v>2</v>
      </c>
      <c r="L1015" s="3" t="n">
        <v>0</v>
      </c>
      <c r="M1015" s="3" t="n">
        <v>2</v>
      </c>
      <c r="N1015" s="3" t="s">
        <v>19</v>
      </c>
    </row>
    <row r="1016" customFormat="false" ht="15" hidden="false" customHeight="false" outlineLevel="0" collapsed="false">
      <c r="A1016" s="3" t="s">
        <v>1046</v>
      </c>
      <c r="B1016" s="3" t="n">
        <v>36</v>
      </c>
      <c r="C1016" s="3" t="s">
        <v>26</v>
      </c>
      <c r="D1016" s="3" t="s">
        <v>17</v>
      </c>
      <c r="E1016" s="3" t="s">
        <v>18</v>
      </c>
      <c r="F1016" s="3" t="n">
        <v>0.6</v>
      </c>
      <c r="G1016" s="3" t="n">
        <v>3695.26</v>
      </c>
      <c r="H1016" s="3" t="s">
        <v>20</v>
      </c>
      <c r="I1016" s="3" t="n">
        <v>3</v>
      </c>
      <c r="J1016" s="3" t="n">
        <v>3</v>
      </c>
      <c r="K1016" s="3" t="n">
        <v>3</v>
      </c>
      <c r="L1016" s="3" t="n">
        <v>0</v>
      </c>
      <c r="M1016" s="3" t="n">
        <v>1</v>
      </c>
      <c r="N1016" s="3" t="s">
        <v>20</v>
      </c>
    </row>
    <row r="1017" customFormat="false" ht="15" hidden="false" customHeight="false" outlineLevel="0" collapsed="false">
      <c r="A1017" s="3" t="s">
        <v>1047</v>
      </c>
      <c r="B1017" s="3" t="n">
        <v>36</v>
      </c>
      <c r="C1017" s="3" t="s">
        <v>26</v>
      </c>
      <c r="D1017" s="3" t="s">
        <v>23</v>
      </c>
      <c r="E1017" s="3" t="s">
        <v>41</v>
      </c>
      <c r="F1017" s="3" t="n">
        <v>4.7</v>
      </c>
      <c r="G1017" s="3" t="n">
        <v>4242.8</v>
      </c>
      <c r="H1017" s="3" t="s">
        <v>20</v>
      </c>
      <c r="I1017" s="3" t="n">
        <v>3</v>
      </c>
      <c r="J1017" s="3" t="n">
        <v>2</v>
      </c>
      <c r="K1017" s="3" t="n">
        <v>1</v>
      </c>
      <c r="L1017" s="3" t="n">
        <v>2</v>
      </c>
      <c r="M1017" s="3" t="n">
        <v>1</v>
      </c>
      <c r="N1017" s="3" t="s">
        <v>20</v>
      </c>
    </row>
    <row r="1018" customFormat="false" ht="15" hidden="false" customHeight="false" outlineLevel="0" collapsed="false">
      <c r="A1018" s="3" t="s">
        <v>1048</v>
      </c>
      <c r="B1018" s="3" t="n">
        <v>24</v>
      </c>
      <c r="C1018" s="3" t="s">
        <v>26</v>
      </c>
      <c r="D1018" s="3" t="s">
        <v>23</v>
      </c>
      <c r="E1018" s="3" t="s">
        <v>41</v>
      </c>
      <c r="F1018" s="3" t="n">
        <v>1.1</v>
      </c>
      <c r="G1018" s="3" t="n">
        <v>4432.27</v>
      </c>
      <c r="H1018" s="3" t="s">
        <v>20</v>
      </c>
      <c r="I1018" s="3" t="n">
        <v>3</v>
      </c>
      <c r="J1018" s="3" t="n">
        <v>3</v>
      </c>
      <c r="K1018" s="3" t="n">
        <v>40</v>
      </c>
      <c r="L1018" s="3" t="n">
        <v>1</v>
      </c>
      <c r="M1018" s="3" t="n">
        <v>3</v>
      </c>
      <c r="N1018" s="3" t="s">
        <v>20</v>
      </c>
    </row>
    <row r="1019" customFormat="false" ht="15" hidden="false" customHeight="false" outlineLevel="0" collapsed="false">
      <c r="A1019" s="3" t="s">
        <v>1049</v>
      </c>
      <c r="B1019" s="3" t="n">
        <v>45</v>
      </c>
      <c r="C1019" s="3" t="s">
        <v>22</v>
      </c>
      <c r="D1019" s="3" t="s">
        <v>23</v>
      </c>
      <c r="E1019" s="3" t="s">
        <v>41</v>
      </c>
      <c r="F1019" s="3" t="n">
        <v>4.1</v>
      </c>
      <c r="G1019" s="3" t="n">
        <v>4135.54</v>
      </c>
      <c r="H1019" s="3" t="s">
        <v>19</v>
      </c>
      <c r="I1019" s="3" t="n">
        <v>3</v>
      </c>
      <c r="J1019" s="3" t="n">
        <v>3</v>
      </c>
      <c r="K1019" s="3" t="n">
        <v>1</v>
      </c>
      <c r="L1019" s="3" t="n">
        <v>2</v>
      </c>
      <c r="M1019" s="3" t="n">
        <v>4</v>
      </c>
      <c r="N1019" s="3" t="s">
        <v>19</v>
      </c>
    </row>
    <row r="1020" customFormat="false" ht="15" hidden="false" customHeight="false" outlineLevel="0" collapsed="false">
      <c r="A1020" s="3" t="s">
        <v>1050</v>
      </c>
      <c r="B1020" s="3" t="n">
        <v>35</v>
      </c>
      <c r="C1020" s="3" t="s">
        <v>16</v>
      </c>
      <c r="D1020" s="3" t="s">
        <v>17</v>
      </c>
      <c r="E1020" s="3" t="s">
        <v>24</v>
      </c>
      <c r="F1020" s="3" t="n">
        <v>9.8</v>
      </c>
      <c r="G1020" s="3" t="n">
        <v>2891.46</v>
      </c>
      <c r="H1020" s="3" t="s">
        <v>19</v>
      </c>
      <c r="I1020" s="3" t="n">
        <v>4</v>
      </c>
      <c r="J1020" s="3" t="n">
        <v>4</v>
      </c>
      <c r="K1020" s="3" t="n">
        <v>1</v>
      </c>
      <c r="L1020" s="3" t="n">
        <v>3</v>
      </c>
      <c r="M1020" s="3" t="n">
        <v>2</v>
      </c>
      <c r="N1020" s="3" t="s">
        <v>19</v>
      </c>
    </row>
    <row r="1021" customFormat="false" ht="15" hidden="false" customHeight="false" outlineLevel="0" collapsed="false">
      <c r="A1021" s="3" t="s">
        <v>1051</v>
      </c>
      <c r="B1021" s="3" t="n">
        <v>30</v>
      </c>
      <c r="C1021" s="3" t="s">
        <v>26</v>
      </c>
      <c r="D1021" s="3" t="s">
        <v>23</v>
      </c>
      <c r="E1021" s="3" t="s">
        <v>24</v>
      </c>
      <c r="F1021" s="3" t="n">
        <v>1.2</v>
      </c>
      <c r="G1021" s="3" t="n">
        <v>4394.39</v>
      </c>
      <c r="H1021" s="3" t="s">
        <v>20</v>
      </c>
      <c r="I1021" s="3" t="n">
        <v>3</v>
      </c>
      <c r="J1021" s="3" t="n">
        <v>4</v>
      </c>
      <c r="K1021" s="3" t="n">
        <v>3</v>
      </c>
      <c r="L1021" s="3" t="n">
        <v>0</v>
      </c>
      <c r="M1021" s="3" t="n">
        <v>3</v>
      </c>
      <c r="N1021" s="3" t="s">
        <v>19</v>
      </c>
    </row>
    <row r="1022" customFormat="false" ht="15" hidden="false" customHeight="false" outlineLevel="0" collapsed="false">
      <c r="A1022" s="3" t="s">
        <v>1052</v>
      </c>
      <c r="B1022" s="3" t="n">
        <v>33</v>
      </c>
      <c r="C1022" s="3" t="s">
        <v>22</v>
      </c>
      <c r="D1022" s="3" t="s">
        <v>27</v>
      </c>
      <c r="E1022" s="3" t="s">
        <v>28</v>
      </c>
      <c r="F1022" s="3" t="n">
        <v>1.7</v>
      </c>
      <c r="G1022" s="3" t="n">
        <v>8560.63</v>
      </c>
      <c r="H1022" s="3" t="s">
        <v>19</v>
      </c>
      <c r="I1022" s="3" t="n">
        <v>2</v>
      </c>
      <c r="J1022" s="3" t="n">
        <v>3</v>
      </c>
      <c r="K1022" s="3" t="n">
        <v>1</v>
      </c>
      <c r="L1022" s="3" t="n">
        <v>1</v>
      </c>
      <c r="M1022" s="3" t="n">
        <v>0</v>
      </c>
      <c r="N1022" s="3" t="s">
        <v>19</v>
      </c>
    </row>
    <row r="1023" customFormat="false" ht="15" hidden="false" customHeight="false" outlineLevel="0" collapsed="false">
      <c r="A1023" s="3" t="s">
        <v>1053</v>
      </c>
      <c r="B1023" s="3" t="n">
        <v>48</v>
      </c>
      <c r="C1023" s="3" t="s">
        <v>24</v>
      </c>
      <c r="D1023" s="3" t="s">
        <v>27</v>
      </c>
      <c r="E1023" s="3" t="s">
        <v>24</v>
      </c>
      <c r="F1023" s="3" t="n">
        <v>1.9</v>
      </c>
      <c r="G1023" s="3" t="n">
        <v>6621.19</v>
      </c>
      <c r="H1023" s="3" t="s">
        <v>19</v>
      </c>
      <c r="I1023" s="3" t="n">
        <v>3</v>
      </c>
      <c r="J1023" s="3" t="n">
        <v>4</v>
      </c>
      <c r="K1023" s="3" t="n">
        <v>8</v>
      </c>
      <c r="L1023" s="3" t="n">
        <v>1</v>
      </c>
      <c r="M1023" s="3" t="n">
        <v>2</v>
      </c>
      <c r="N1023" s="3" t="s">
        <v>19</v>
      </c>
    </row>
    <row r="1024" customFormat="false" ht="15" hidden="false" customHeight="false" outlineLevel="0" collapsed="false">
      <c r="A1024" s="3" t="s">
        <v>1054</v>
      </c>
      <c r="B1024" s="3" t="n">
        <v>25</v>
      </c>
      <c r="C1024" s="3" t="s">
        <v>24</v>
      </c>
      <c r="D1024" s="3" t="s">
        <v>23</v>
      </c>
      <c r="E1024" s="3" t="s">
        <v>24</v>
      </c>
      <c r="F1024" s="3" t="n">
        <v>4</v>
      </c>
      <c r="G1024" s="3" t="n">
        <v>4665.41</v>
      </c>
      <c r="H1024" s="3" t="s">
        <v>19</v>
      </c>
      <c r="I1024" s="3" t="n">
        <v>2</v>
      </c>
      <c r="J1024" s="3" t="n">
        <v>3</v>
      </c>
      <c r="K1024" s="3" t="n">
        <v>1</v>
      </c>
      <c r="L1024" s="3" t="n">
        <v>0</v>
      </c>
      <c r="M1024" s="3" t="n">
        <v>1</v>
      </c>
      <c r="N1024" s="3" t="s">
        <v>19</v>
      </c>
    </row>
    <row r="1025" customFormat="false" ht="15" hidden="false" customHeight="false" outlineLevel="0" collapsed="false">
      <c r="A1025" s="3" t="s">
        <v>1055</v>
      </c>
      <c r="B1025" s="3" t="n">
        <v>37</v>
      </c>
      <c r="C1025" s="3" t="s">
        <v>26</v>
      </c>
      <c r="D1025" s="3" t="s">
        <v>23</v>
      </c>
      <c r="E1025" s="3" t="s">
        <v>28</v>
      </c>
      <c r="F1025" s="3" t="n">
        <v>5.9</v>
      </c>
      <c r="G1025" s="3" t="n">
        <v>4585.86</v>
      </c>
      <c r="H1025" s="3" t="s">
        <v>20</v>
      </c>
      <c r="I1025" s="3" t="n">
        <v>4</v>
      </c>
      <c r="J1025" s="3" t="n">
        <v>3</v>
      </c>
      <c r="K1025" s="3" t="n">
        <v>2</v>
      </c>
      <c r="L1025" s="3" t="n">
        <v>1</v>
      </c>
      <c r="M1025" s="3" t="n">
        <v>3</v>
      </c>
      <c r="N1025" s="3" t="s">
        <v>19</v>
      </c>
    </row>
    <row r="1026" customFormat="false" ht="15" hidden="false" customHeight="false" outlineLevel="0" collapsed="false">
      <c r="A1026" s="3" t="s">
        <v>1056</v>
      </c>
      <c r="B1026" s="3" t="n">
        <v>21</v>
      </c>
      <c r="C1026" s="3" t="s">
        <v>24</v>
      </c>
      <c r="D1026" s="3" t="s">
        <v>17</v>
      </c>
      <c r="E1026" s="3" t="s">
        <v>24</v>
      </c>
      <c r="F1026" s="3" t="n">
        <v>0</v>
      </c>
      <c r="G1026" s="3" t="n">
        <v>3395.35</v>
      </c>
      <c r="H1026" s="3" t="s">
        <v>19</v>
      </c>
      <c r="I1026" s="3" t="n">
        <v>3</v>
      </c>
      <c r="J1026" s="3" t="n">
        <v>3</v>
      </c>
      <c r="K1026" s="3" t="n">
        <v>18</v>
      </c>
      <c r="L1026" s="3" t="n">
        <v>0</v>
      </c>
      <c r="M1026" s="3" t="n">
        <v>3</v>
      </c>
      <c r="N1026" s="3" t="s">
        <v>19</v>
      </c>
    </row>
    <row r="1027" customFormat="false" ht="15" hidden="false" customHeight="false" outlineLevel="0" collapsed="false">
      <c r="A1027" s="3" t="s">
        <v>1057</v>
      </c>
      <c r="B1027" s="3" t="n">
        <v>36</v>
      </c>
      <c r="C1027" s="3" t="s">
        <v>26</v>
      </c>
      <c r="D1027" s="3" t="s">
        <v>23</v>
      </c>
      <c r="E1027" s="3" t="s">
        <v>24</v>
      </c>
      <c r="F1027" s="3" t="n">
        <v>5.2</v>
      </c>
      <c r="G1027" s="3" t="n">
        <v>5179.22</v>
      </c>
      <c r="H1027" s="3" t="s">
        <v>19</v>
      </c>
      <c r="I1027" s="3" t="n">
        <v>1</v>
      </c>
      <c r="J1027" s="3" t="n">
        <v>3</v>
      </c>
      <c r="K1027" s="3" t="n">
        <v>2</v>
      </c>
      <c r="L1027" s="3" t="n">
        <v>1</v>
      </c>
      <c r="M1027" s="3" t="n">
        <v>1</v>
      </c>
      <c r="N1027" s="3" t="s">
        <v>20</v>
      </c>
    </row>
    <row r="1028" customFormat="false" ht="15" hidden="false" customHeight="false" outlineLevel="0" collapsed="false">
      <c r="A1028" s="3" t="s">
        <v>1058</v>
      </c>
      <c r="B1028" s="3" t="n">
        <v>29</v>
      </c>
      <c r="C1028" s="3" t="s">
        <v>22</v>
      </c>
      <c r="D1028" s="3" t="s">
        <v>17</v>
      </c>
      <c r="E1028" s="3" t="s">
        <v>41</v>
      </c>
      <c r="F1028" s="3" t="n">
        <v>1.7</v>
      </c>
      <c r="G1028" s="3" t="n">
        <v>3425.11</v>
      </c>
      <c r="H1028" s="4" t="s">
        <v>100</v>
      </c>
      <c r="I1028" s="3" t="n">
        <v>2</v>
      </c>
      <c r="J1028" s="3" t="n">
        <v>2</v>
      </c>
      <c r="K1028" s="3" t="n">
        <v>14</v>
      </c>
      <c r="L1028" s="3" t="n">
        <v>1</v>
      </c>
      <c r="M1028" s="3" t="n">
        <v>2</v>
      </c>
      <c r="N1028" s="3" t="s">
        <v>20</v>
      </c>
    </row>
    <row r="1029" customFormat="false" ht="15" hidden="false" customHeight="false" outlineLevel="0" collapsed="false">
      <c r="A1029" s="3" t="s">
        <v>1059</v>
      </c>
      <c r="B1029" s="3" t="n">
        <v>54</v>
      </c>
      <c r="C1029" s="3" t="s">
        <v>22</v>
      </c>
      <c r="D1029" s="3" t="s">
        <v>48</v>
      </c>
      <c r="E1029" s="3" t="s">
        <v>18</v>
      </c>
      <c r="F1029" s="3" t="n">
        <v>2.4</v>
      </c>
      <c r="G1029" s="3" t="n">
        <v>9756.26</v>
      </c>
      <c r="H1029" s="3" t="s">
        <v>19</v>
      </c>
      <c r="I1029" s="3" t="n">
        <v>4</v>
      </c>
      <c r="J1029" s="3" t="n">
        <v>4</v>
      </c>
      <c r="K1029" s="3" t="n">
        <v>2</v>
      </c>
      <c r="L1029" s="3" t="n">
        <v>0</v>
      </c>
      <c r="M1029" s="3" t="n">
        <v>1</v>
      </c>
      <c r="N1029" s="3" t="s">
        <v>19</v>
      </c>
    </row>
    <row r="1030" customFormat="false" ht="15" hidden="false" customHeight="false" outlineLevel="0" collapsed="false">
      <c r="A1030" s="3" t="s">
        <v>1060</v>
      </c>
      <c r="B1030" s="3" t="n">
        <v>34</v>
      </c>
      <c r="C1030" s="3" t="s">
        <v>16</v>
      </c>
      <c r="D1030" s="3" t="s">
        <v>23</v>
      </c>
      <c r="E1030" s="3" t="s">
        <v>41</v>
      </c>
      <c r="F1030" s="3" t="n">
        <v>10.4</v>
      </c>
      <c r="G1030" s="3" t="n">
        <v>4939.46</v>
      </c>
      <c r="H1030" s="3" t="s">
        <v>19</v>
      </c>
      <c r="I1030" s="3" t="n">
        <v>4</v>
      </c>
      <c r="J1030" s="3" t="n">
        <v>2</v>
      </c>
      <c r="K1030" s="3" t="n">
        <v>4</v>
      </c>
      <c r="L1030" s="3" t="n">
        <v>9</v>
      </c>
      <c r="M1030" s="3" t="n">
        <v>1</v>
      </c>
      <c r="N1030" s="3" t="s">
        <v>20</v>
      </c>
    </row>
    <row r="1031" customFormat="false" ht="15" hidden="false" customHeight="false" outlineLevel="0" collapsed="false">
      <c r="A1031" s="3" t="s">
        <v>1061</v>
      </c>
      <c r="B1031" s="3" t="n">
        <v>24</v>
      </c>
      <c r="C1031" s="3" t="s">
        <v>22</v>
      </c>
      <c r="D1031" s="3" t="s">
        <v>17</v>
      </c>
      <c r="E1031" s="3" t="s">
        <v>24</v>
      </c>
      <c r="F1031" s="3" t="n">
        <v>3</v>
      </c>
      <c r="G1031" s="3" t="n">
        <v>2745.09</v>
      </c>
      <c r="H1031" s="3" t="s">
        <v>19</v>
      </c>
      <c r="I1031" s="3" t="n">
        <v>1</v>
      </c>
      <c r="J1031" s="3" t="n">
        <v>3</v>
      </c>
      <c r="K1031" s="3" t="n">
        <v>25</v>
      </c>
      <c r="L1031" s="3" t="n">
        <v>3</v>
      </c>
      <c r="M1031" s="3" t="n">
        <v>3</v>
      </c>
      <c r="N1031" s="3" t="s">
        <v>19</v>
      </c>
    </row>
    <row r="1032" customFormat="false" ht="15" hidden="false" customHeight="false" outlineLevel="0" collapsed="false">
      <c r="A1032" s="3" t="s">
        <v>1062</v>
      </c>
      <c r="B1032" s="3" t="n">
        <v>24</v>
      </c>
      <c r="C1032" s="3" t="s">
        <v>16</v>
      </c>
      <c r="D1032" s="3" t="s">
        <v>23</v>
      </c>
      <c r="E1032" s="3" t="s">
        <v>24</v>
      </c>
      <c r="F1032" s="3" t="n">
        <v>0.2</v>
      </c>
      <c r="G1032" s="3" t="n">
        <v>4274.08</v>
      </c>
      <c r="H1032" s="3" t="s">
        <v>19</v>
      </c>
      <c r="I1032" s="3" t="n">
        <v>2</v>
      </c>
      <c r="J1032" s="3" t="n">
        <v>4</v>
      </c>
      <c r="K1032" s="3" t="n">
        <v>2</v>
      </c>
      <c r="L1032" s="3" t="n">
        <v>0</v>
      </c>
      <c r="M1032" s="3" t="n">
        <v>4</v>
      </c>
      <c r="N1032" s="3" t="s">
        <v>19</v>
      </c>
    </row>
    <row r="1033" customFormat="false" ht="15" hidden="false" customHeight="false" outlineLevel="0" collapsed="false">
      <c r="A1033" s="3" t="s">
        <v>1063</v>
      </c>
      <c r="B1033" s="3" t="n">
        <v>21</v>
      </c>
      <c r="C1033" s="3" t="s">
        <v>16</v>
      </c>
      <c r="D1033" s="3" t="s">
        <v>17</v>
      </c>
      <c r="E1033" s="3" t="s">
        <v>41</v>
      </c>
      <c r="F1033" s="3" t="n">
        <v>0</v>
      </c>
      <c r="G1033" s="3" t="n">
        <v>3678.65</v>
      </c>
      <c r="H1033" s="3" t="s">
        <v>19</v>
      </c>
      <c r="I1033" s="3" t="n">
        <v>3</v>
      </c>
      <c r="J1033" s="3" t="n">
        <v>4</v>
      </c>
      <c r="K1033" s="3" t="n">
        <v>12</v>
      </c>
      <c r="L1033" s="3" t="n">
        <v>0</v>
      </c>
      <c r="M1033" s="3" t="n">
        <v>2</v>
      </c>
      <c r="N1033" s="3" t="s">
        <v>20</v>
      </c>
    </row>
    <row r="1034" customFormat="false" ht="15" hidden="false" customHeight="false" outlineLevel="0" collapsed="false">
      <c r="A1034" s="3" t="s">
        <v>1064</v>
      </c>
      <c r="B1034" s="3" t="n">
        <v>37</v>
      </c>
      <c r="C1034" s="3" t="s">
        <v>16</v>
      </c>
      <c r="D1034" s="3" t="s">
        <v>23</v>
      </c>
      <c r="E1034" s="3" t="s">
        <v>18</v>
      </c>
      <c r="F1034" s="3" t="n">
        <v>0.4</v>
      </c>
      <c r="G1034" s="3" t="n">
        <v>4592.46</v>
      </c>
      <c r="H1034" s="3" t="s">
        <v>19</v>
      </c>
      <c r="I1034" s="3" t="n">
        <v>1</v>
      </c>
      <c r="J1034" s="3" t="n">
        <v>3</v>
      </c>
      <c r="K1034" s="3" t="n">
        <v>3</v>
      </c>
      <c r="L1034" s="3" t="n">
        <v>0</v>
      </c>
      <c r="M1034" s="3" t="n">
        <v>3</v>
      </c>
      <c r="N1034" s="3" t="s">
        <v>19</v>
      </c>
    </row>
    <row r="1035" customFormat="false" ht="15" hidden="false" customHeight="false" outlineLevel="0" collapsed="false">
      <c r="A1035" s="3" t="s">
        <v>1065</v>
      </c>
      <c r="B1035" s="3" t="n">
        <v>36</v>
      </c>
      <c r="C1035" s="3" t="s">
        <v>16</v>
      </c>
      <c r="D1035" s="3" t="s">
        <v>23</v>
      </c>
      <c r="E1035" s="3" t="s">
        <v>28</v>
      </c>
      <c r="F1035" s="3" t="n">
        <v>3.3</v>
      </c>
      <c r="G1035" s="4"/>
      <c r="H1035" s="3" t="s">
        <v>19</v>
      </c>
      <c r="I1035" s="3" t="n">
        <v>2</v>
      </c>
      <c r="J1035" s="3" t="n">
        <v>2</v>
      </c>
      <c r="K1035" s="3" t="n">
        <v>12</v>
      </c>
      <c r="L1035" s="3" t="n">
        <v>0</v>
      </c>
      <c r="M1035" s="3" t="n">
        <v>2</v>
      </c>
      <c r="N1035" s="3" t="s">
        <v>20</v>
      </c>
    </row>
    <row r="1036" customFormat="false" ht="15" hidden="false" customHeight="false" outlineLevel="0" collapsed="false">
      <c r="A1036" s="3" t="s">
        <v>1066</v>
      </c>
      <c r="B1036" s="3" t="n">
        <v>38</v>
      </c>
      <c r="C1036" s="3" t="s">
        <v>32</v>
      </c>
      <c r="D1036" s="3" t="s">
        <v>17</v>
      </c>
      <c r="E1036" s="3" t="s">
        <v>28</v>
      </c>
      <c r="F1036" s="3" t="n">
        <v>1</v>
      </c>
      <c r="G1036" s="3" t="n">
        <v>3326.44</v>
      </c>
      <c r="H1036" s="3" t="s">
        <v>20</v>
      </c>
      <c r="I1036" s="3" t="n">
        <v>4</v>
      </c>
      <c r="J1036" s="3" t="n">
        <v>3</v>
      </c>
      <c r="K1036" s="3" t="n">
        <v>3</v>
      </c>
      <c r="L1036" s="3" t="n">
        <v>1</v>
      </c>
      <c r="M1036" s="3" t="n">
        <v>1</v>
      </c>
      <c r="N1036" s="3" t="s">
        <v>19</v>
      </c>
    </row>
    <row r="1037" customFormat="false" ht="15" hidden="false" customHeight="false" outlineLevel="0" collapsed="false">
      <c r="A1037" s="3" t="s">
        <v>1067</v>
      </c>
      <c r="B1037" s="3" t="n">
        <v>33</v>
      </c>
      <c r="C1037" s="3" t="s">
        <v>16</v>
      </c>
      <c r="D1037" s="3" t="s">
        <v>23</v>
      </c>
      <c r="E1037" s="3" t="s">
        <v>28</v>
      </c>
      <c r="F1037" s="3" t="n">
        <v>5.1</v>
      </c>
      <c r="G1037" s="3" t="n">
        <v>4160.98</v>
      </c>
      <c r="H1037" s="3" t="s">
        <v>19</v>
      </c>
      <c r="I1037" s="3" t="n">
        <v>1</v>
      </c>
      <c r="J1037" s="3" t="n">
        <v>2</v>
      </c>
      <c r="K1037" s="3" t="n">
        <v>2</v>
      </c>
      <c r="L1037" s="3" t="n">
        <v>3</v>
      </c>
      <c r="M1037" s="3" t="n">
        <v>6</v>
      </c>
      <c r="N1037" s="3" t="s">
        <v>19</v>
      </c>
    </row>
    <row r="1038" customFormat="false" ht="15" hidden="false" customHeight="false" outlineLevel="0" collapsed="false">
      <c r="A1038" s="3" t="s">
        <v>1068</v>
      </c>
      <c r="B1038" s="3" t="n">
        <v>27</v>
      </c>
      <c r="C1038" s="3" t="s">
        <v>26</v>
      </c>
      <c r="D1038" s="3" t="s">
        <v>23</v>
      </c>
      <c r="E1038" s="3" t="s">
        <v>41</v>
      </c>
      <c r="F1038" s="3" t="n">
        <v>4.1</v>
      </c>
      <c r="G1038" s="3" t="n">
        <v>5497.13</v>
      </c>
      <c r="H1038" s="3" t="s">
        <v>20</v>
      </c>
      <c r="I1038" s="3" t="n">
        <v>2</v>
      </c>
      <c r="J1038" s="3" t="n">
        <v>4</v>
      </c>
      <c r="K1038" s="3" t="n">
        <v>15</v>
      </c>
      <c r="L1038" s="3" t="n">
        <v>0</v>
      </c>
      <c r="M1038" s="3" t="n">
        <v>3</v>
      </c>
      <c r="N1038" s="3" t="s">
        <v>19</v>
      </c>
    </row>
    <row r="1039" customFormat="false" ht="15" hidden="false" customHeight="false" outlineLevel="0" collapsed="false">
      <c r="A1039" s="3" t="s">
        <v>1069</v>
      </c>
      <c r="B1039" s="3" t="n">
        <v>33</v>
      </c>
      <c r="C1039" s="3" t="s">
        <v>16</v>
      </c>
      <c r="D1039" s="3" t="s">
        <v>23</v>
      </c>
      <c r="E1039" s="3" t="s">
        <v>18</v>
      </c>
      <c r="F1039" s="3" t="n">
        <v>0.4</v>
      </c>
      <c r="G1039" s="3" t="n">
        <v>4525.32</v>
      </c>
      <c r="H1039" s="3" t="s">
        <v>19</v>
      </c>
      <c r="I1039" s="3" t="n">
        <v>3</v>
      </c>
      <c r="J1039" s="3" t="n">
        <v>4</v>
      </c>
      <c r="K1039" s="3" t="n">
        <v>13</v>
      </c>
      <c r="L1039" s="3" t="n">
        <v>0</v>
      </c>
      <c r="M1039" s="3" t="n">
        <v>1</v>
      </c>
      <c r="N1039" s="3" t="s">
        <v>19</v>
      </c>
    </row>
    <row r="1040" customFormat="false" ht="15" hidden="false" customHeight="false" outlineLevel="0" collapsed="false">
      <c r="A1040" s="3" t="s">
        <v>1070</v>
      </c>
      <c r="B1040" s="3" t="n">
        <v>24</v>
      </c>
      <c r="C1040" s="3" t="s">
        <v>26</v>
      </c>
      <c r="D1040" s="3" t="s">
        <v>17</v>
      </c>
      <c r="E1040" s="3" t="s">
        <v>28</v>
      </c>
      <c r="F1040" s="3" t="n">
        <v>0.4</v>
      </c>
      <c r="G1040" s="3" t="n">
        <v>2871.85</v>
      </c>
      <c r="H1040" s="3" t="s">
        <v>20</v>
      </c>
      <c r="I1040" s="3" t="n">
        <v>2</v>
      </c>
      <c r="J1040" s="3" t="n">
        <v>4</v>
      </c>
      <c r="K1040" s="3" t="n">
        <v>1</v>
      </c>
      <c r="L1040" s="3" t="n">
        <v>0</v>
      </c>
      <c r="M1040" s="3" t="n">
        <v>2</v>
      </c>
      <c r="N1040" s="3" t="s">
        <v>19</v>
      </c>
    </row>
    <row r="1041" customFormat="false" ht="15" hidden="false" customHeight="false" outlineLevel="0" collapsed="false">
      <c r="A1041" s="3" t="s">
        <v>1071</v>
      </c>
      <c r="B1041" s="3" t="n">
        <v>39</v>
      </c>
      <c r="C1041" s="3" t="s">
        <v>16</v>
      </c>
      <c r="D1041" s="3" t="s">
        <v>23</v>
      </c>
      <c r="E1041" s="3" t="s">
        <v>24</v>
      </c>
      <c r="F1041" s="3" t="n">
        <v>0.2</v>
      </c>
      <c r="G1041" s="3" t="n">
        <v>4577.31</v>
      </c>
      <c r="H1041" s="3" t="s">
        <v>19</v>
      </c>
      <c r="I1041" s="3" t="n">
        <v>3</v>
      </c>
      <c r="J1041" s="3" t="n">
        <v>4</v>
      </c>
      <c r="K1041" s="3" t="n">
        <v>7</v>
      </c>
      <c r="L1041" s="3" t="n">
        <v>0</v>
      </c>
      <c r="M1041" s="3" t="n">
        <v>2</v>
      </c>
      <c r="N1041" s="3" t="s">
        <v>19</v>
      </c>
    </row>
    <row r="1042" customFormat="false" ht="15" hidden="false" customHeight="false" outlineLevel="0" collapsed="false">
      <c r="A1042" s="3" t="s">
        <v>1072</v>
      </c>
      <c r="B1042" s="3" t="n">
        <v>25</v>
      </c>
      <c r="C1042" s="3" t="s">
        <v>16</v>
      </c>
      <c r="D1042" s="3" t="s">
        <v>17</v>
      </c>
      <c r="E1042" s="3" t="s">
        <v>41</v>
      </c>
      <c r="F1042" s="3" t="n">
        <v>1.3</v>
      </c>
      <c r="G1042" s="3" t="n">
        <v>3550.37</v>
      </c>
      <c r="H1042" s="3" t="s">
        <v>19</v>
      </c>
      <c r="I1042" s="3" t="n">
        <v>3</v>
      </c>
      <c r="J1042" s="3" t="n">
        <v>4</v>
      </c>
      <c r="K1042" s="3" t="n">
        <v>13</v>
      </c>
      <c r="L1042" s="3" t="n">
        <v>0</v>
      </c>
      <c r="M1042" s="3" t="n">
        <v>1</v>
      </c>
      <c r="N1042" s="3" t="s">
        <v>19</v>
      </c>
    </row>
    <row r="1043" customFormat="false" ht="15" hidden="false" customHeight="false" outlineLevel="0" collapsed="false">
      <c r="A1043" s="3" t="s">
        <v>1073</v>
      </c>
      <c r="B1043" s="3" t="n">
        <v>38</v>
      </c>
      <c r="C1043" s="3" t="s">
        <v>22</v>
      </c>
      <c r="D1043" s="3" t="s">
        <v>23</v>
      </c>
      <c r="E1043" s="3" t="s">
        <v>18</v>
      </c>
      <c r="F1043" s="3" t="n">
        <v>4.2</v>
      </c>
      <c r="G1043" s="3" t="n">
        <v>5674.39</v>
      </c>
      <c r="H1043" s="3" t="s">
        <v>19</v>
      </c>
      <c r="I1043" s="3" t="n">
        <v>1</v>
      </c>
      <c r="J1043" s="3" t="n">
        <v>3</v>
      </c>
      <c r="K1043" s="3" t="n">
        <v>7</v>
      </c>
      <c r="L1043" s="3" t="n">
        <v>0</v>
      </c>
      <c r="M1043" s="3" t="n">
        <v>2</v>
      </c>
      <c r="N1043" s="3" t="s">
        <v>19</v>
      </c>
    </row>
    <row r="1044" customFormat="false" ht="15" hidden="false" customHeight="false" outlineLevel="0" collapsed="false">
      <c r="A1044" s="3" t="s">
        <v>1074</v>
      </c>
      <c r="B1044" s="3" t="n">
        <v>26</v>
      </c>
      <c r="C1044" s="3" t="s">
        <v>22</v>
      </c>
      <c r="D1044" s="3" t="s">
        <v>23</v>
      </c>
      <c r="E1044" s="3" t="s">
        <v>24</v>
      </c>
      <c r="F1044" s="3" t="n">
        <v>1.4</v>
      </c>
      <c r="G1044" s="3" t="n">
        <v>4218.98</v>
      </c>
      <c r="H1044" s="3" t="s">
        <v>19</v>
      </c>
      <c r="I1044" s="3" t="n">
        <v>3</v>
      </c>
      <c r="J1044" s="3" t="n">
        <v>3</v>
      </c>
      <c r="K1044" s="3" t="n">
        <v>4</v>
      </c>
      <c r="L1044" s="3" t="n">
        <v>1</v>
      </c>
      <c r="M1044" s="3" t="n">
        <v>1</v>
      </c>
      <c r="N1044" s="3" t="s">
        <v>19</v>
      </c>
    </row>
    <row r="1045" customFormat="false" ht="15" hidden="false" customHeight="false" outlineLevel="0" collapsed="false">
      <c r="A1045" s="3" t="s">
        <v>1075</v>
      </c>
      <c r="B1045" s="3" t="n">
        <v>26</v>
      </c>
      <c r="C1045" s="3" t="s">
        <v>26</v>
      </c>
      <c r="D1045" s="3" t="s">
        <v>23</v>
      </c>
      <c r="E1045" s="3" t="s">
        <v>18</v>
      </c>
      <c r="F1045" s="3" t="n">
        <v>5</v>
      </c>
      <c r="G1045" s="3" t="n">
        <v>5024.69</v>
      </c>
      <c r="H1045" s="3" t="s">
        <v>20</v>
      </c>
      <c r="I1045" s="3" t="n">
        <v>4</v>
      </c>
      <c r="J1045" s="3" t="n">
        <v>2</v>
      </c>
      <c r="K1045" s="3" t="n">
        <v>21</v>
      </c>
      <c r="L1045" s="3" t="n">
        <v>4</v>
      </c>
      <c r="M1045" s="3" t="n">
        <v>1</v>
      </c>
      <c r="N1045" s="3" t="s">
        <v>20</v>
      </c>
    </row>
    <row r="1046" customFormat="false" ht="15" hidden="false" customHeight="false" outlineLevel="0" collapsed="false">
      <c r="A1046" s="3" t="s">
        <v>1076</v>
      </c>
      <c r="B1046" s="3" t="n">
        <v>27</v>
      </c>
      <c r="C1046" s="3" t="s">
        <v>45</v>
      </c>
      <c r="D1046" s="3" t="s">
        <v>23</v>
      </c>
      <c r="E1046" s="3" t="s">
        <v>18</v>
      </c>
      <c r="F1046" s="3" t="n">
        <v>5.4</v>
      </c>
      <c r="G1046" s="3" t="n">
        <v>4828.19</v>
      </c>
      <c r="H1046" s="3" t="s">
        <v>20</v>
      </c>
      <c r="I1046" s="3" t="n">
        <v>1</v>
      </c>
      <c r="J1046" s="3" t="n">
        <v>1</v>
      </c>
      <c r="K1046" s="3" t="n">
        <v>1</v>
      </c>
      <c r="L1046" s="3" t="n">
        <v>4</v>
      </c>
      <c r="M1046" s="3" t="n">
        <v>0</v>
      </c>
      <c r="N1046" s="3" t="s">
        <v>19</v>
      </c>
    </row>
    <row r="1047" customFormat="false" ht="15" hidden="false" customHeight="false" outlineLevel="0" collapsed="false">
      <c r="A1047" s="3" t="s">
        <v>1077</v>
      </c>
      <c r="B1047" s="3" t="n">
        <v>36</v>
      </c>
      <c r="C1047" s="3" t="s">
        <v>45</v>
      </c>
      <c r="D1047" s="3" t="s">
        <v>17</v>
      </c>
      <c r="E1047" s="3" t="s">
        <v>41</v>
      </c>
      <c r="F1047" s="3" t="n">
        <v>6.9</v>
      </c>
      <c r="G1047" s="3" t="n">
        <v>3531.38</v>
      </c>
      <c r="H1047" s="3" t="s">
        <v>20</v>
      </c>
      <c r="I1047" s="3" t="n">
        <v>3</v>
      </c>
      <c r="J1047" s="3" t="n">
        <v>3</v>
      </c>
      <c r="K1047" s="3" t="n">
        <v>7</v>
      </c>
      <c r="L1047" s="3" t="n">
        <v>4</v>
      </c>
      <c r="M1047" s="3" t="n">
        <v>2</v>
      </c>
      <c r="N1047" s="3" t="s">
        <v>19</v>
      </c>
    </row>
    <row r="1048" customFormat="false" ht="15" hidden="false" customHeight="false" outlineLevel="0" collapsed="false">
      <c r="A1048" s="3" t="s">
        <v>1078</v>
      </c>
      <c r="B1048" s="3" t="n">
        <v>30</v>
      </c>
      <c r="C1048" s="3" t="s">
        <v>16</v>
      </c>
      <c r="D1048" s="3" t="s">
        <v>23</v>
      </c>
      <c r="E1048" s="3" t="s">
        <v>24</v>
      </c>
      <c r="F1048" s="3" t="n">
        <v>4.8</v>
      </c>
      <c r="G1048" s="3" t="n">
        <v>5425.2</v>
      </c>
      <c r="H1048" s="3" t="s">
        <v>19</v>
      </c>
      <c r="I1048" s="3" t="n">
        <v>3</v>
      </c>
      <c r="J1048" s="3" t="n">
        <v>3</v>
      </c>
      <c r="K1048" s="3" t="n">
        <v>1</v>
      </c>
      <c r="L1048" s="3" t="n">
        <v>0</v>
      </c>
      <c r="M1048" s="3" t="n">
        <v>1</v>
      </c>
      <c r="N1048" s="3" t="s">
        <v>19</v>
      </c>
    </row>
    <row r="1049" customFormat="false" ht="15" hidden="false" customHeight="false" outlineLevel="0" collapsed="false">
      <c r="A1049" s="3" t="s">
        <v>1079</v>
      </c>
      <c r="B1049" s="3" t="n">
        <v>26</v>
      </c>
      <c r="C1049" s="3" t="s">
        <v>16</v>
      </c>
      <c r="D1049" s="3" t="s">
        <v>23</v>
      </c>
      <c r="E1049" s="3" t="s">
        <v>28</v>
      </c>
      <c r="F1049" s="3" t="n">
        <v>4.9</v>
      </c>
      <c r="G1049" s="3" t="n">
        <v>4650.53</v>
      </c>
      <c r="H1049" s="3" t="s">
        <v>20</v>
      </c>
      <c r="I1049" s="3" t="n">
        <v>3</v>
      </c>
      <c r="J1049" s="3" t="n">
        <v>3</v>
      </c>
      <c r="K1049" s="3" t="n">
        <v>1</v>
      </c>
      <c r="L1049" s="3" t="n">
        <v>3</v>
      </c>
      <c r="M1049" s="3" t="n">
        <v>3</v>
      </c>
      <c r="N1049" s="3" t="s">
        <v>19</v>
      </c>
    </row>
    <row r="1050" customFormat="false" ht="15" hidden="false" customHeight="false" outlineLevel="0" collapsed="false">
      <c r="A1050" s="3" t="s">
        <v>1080</v>
      </c>
      <c r="B1050" s="3" t="n">
        <v>32</v>
      </c>
      <c r="C1050" s="3" t="s">
        <v>24</v>
      </c>
      <c r="D1050" s="3" t="s">
        <v>17</v>
      </c>
      <c r="E1050" s="3" t="s">
        <v>24</v>
      </c>
      <c r="F1050" s="3" t="n">
        <v>4.5</v>
      </c>
      <c r="G1050" s="3" t="n">
        <v>3204.31</v>
      </c>
      <c r="H1050" s="3" t="s">
        <v>19</v>
      </c>
      <c r="I1050" s="3" t="n">
        <v>3</v>
      </c>
      <c r="J1050" s="3" t="n">
        <v>4</v>
      </c>
      <c r="K1050" s="3" t="n">
        <v>1</v>
      </c>
      <c r="L1050" s="3" t="n">
        <v>0</v>
      </c>
      <c r="M1050" s="3" t="n">
        <v>4</v>
      </c>
      <c r="N1050" s="3" t="s">
        <v>19</v>
      </c>
    </row>
    <row r="1051" customFormat="false" ht="15" hidden="false" customHeight="false" outlineLevel="0" collapsed="false">
      <c r="A1051" s="3" t="s">
        <v>1081</v>
      </c>
      <c r="B1051" s="3" t="n">
        <v>34</v>
      </c>
      <c r="C1051" s="3" t="s">
        <v>22</v>
      </c>
      <c r="D1051" s="3" t="s">
        <v>17</v>
      </c>
      <c r="E1051" s="3" t="s">
        <v>18</v>
      </c>
      <c r="F1051" s="3" t="n">
        <v>0.9</v>
      </c>
      <c r="G1051" s="3" t="n">
        <v>2994.18</v>
      </c>
      <c r="H1051" s="4" t="s">
        <v>100</v>
      </c>
      <c r="I1051" s="3" t="n">
        <v>3</v>
      </c>
      <c r="J1051" s="3" t="n">
        <v>2</v>
      </c>
      <c r="K1051" s="3" t="n">
        <v>11</v>
      </c>
      <c r="L1051" s="3" t="n">
        <v>0</v>
      </c>
      <c r="M1051" s="3" t="n">
        <v>4</v>
      </c>
      <c r="N1051" s="3" t="s">
        <v>19</v>
      </c>
    </row>
    <row r="1052" customFormat="false" ht="15" hidden="false" customHeight="false" outlineLevel="0" collapsed="false">
      <c r="A1052" s="3" t="s">
        <v>1082</v>
      </c>
      <c r="B1052" s="3" t="n">
        <v>38</v>
      </c>
      <c r="C1052" s="3" t="s">
        <v>22</v>
      </c>
      <c r="D1052" s="3" t="s">
        <v>23</v>
      </c>
      <c r="E1052" s="3" t="s">
        <v>41</v>
      </c>
      <c r="F1052" s="3" t="n">
        <v>5.3</v>
      </c>
      <c r="G1052" s="3" t="n">
        <v>5159.56</v>
      </c>
      <c r="H1052" s="3" t="s">
        <v>19</v>
      </c>
      <c r="I1052" s="3" t="n">
        <v>3</v>
      </c>
      <c r="J1052" s="3" t="n">
        <v>3</v>
      </c>
      <c r="K1052" s="3" t="n">
        <v>1</v>
      </c>
      <c r="L1052" s="3" t="n">
        <v>2</v>
      </c>
      <c r="M1052" s="3" t="n">
        <v>1</v>
      </c>
      <c r="N1052" s="3" t="s">
        <v>19</v>
      </c>
    </row>
    <row r="1053" customFormat="false" ht="15" hidden="false" customHeight="false" outlineLevel="0" collapsed="false">
      <c r="A1053" s="3" t="s">
        <v>1083</v>
      </c>
      <c r="B1053" s="3" t="n">
        <v>34</v>
      </c>
      <c r="C1053" s="3" t="s">
        <v>26</v>
      </c>
      <c r="D1053" s="3" t="s">
        <v>23</v>
      </c>
      <c r="E1053" s="3" t="s">
        <v>18</v>
      </c>
      <c r="F1053" s="3" t="n">
        <v>0.6</v>
      </c>
      <c r="G1053" s="3" t="n">
        <v>5356.39</v>
      </c>
      <c r="H1053" s="3" t="s">
        <v>19</v>
      </c>
      <c r="I1053" s="3" t="n">
        <v>3</v>
      </c>
      <c r="J1053" s="3" t="n">
        <v>1</v>
      </c>
      <c r="K1053" s="3" t="n">
        <v>8</v>
      </c>
      <c r="L1053" s="3" t="n">
        <v>0</v>
      </c>
      <c r="M1053" s="3" t="n">
        <v>1</v>
      </c>
      <c r="N1053" s="3" t="s">
        <v>20</v>
      </c>
    </row>
    <row r="1054" customFormat="false" ht="15" hidden="false" customHeight="false" outlineLevel="0" collapsed="false">
      <c r="A1054" s="3" t="s">
        <v>1084</v>
      </c>
      <c r="B1054" s="3" t="n">
        <v>31</v>
      </c>
      <c r="C1054" s="3" t="s">
        <v>22</v>
      </c>
      <c r="D1054" s="3" t="s">
        <v>23</v>
      </c>
      <c r="E1054" s="3" t="s">
        <v>41</v>
      </c>
      <c r="F1054" s="3" t="n">
        <v>2.6</v>
      </c>
      <c r="G1054" s="3" t="n">
        <v>4741.67</v>
      </c>
      <c r="H1054" s="3" t="s">
        <v>19</v>
      </c>
      <c r="I1054" s="3" t="n">
        <v>1</v>
      </c>
      <c r="J1054" s="3" t="n">
        <v>3</v>
      </c>
      <c r="K1054" s="3" t="n">
        <v>9</v>
      </c>
      <c r="L1054" s="3" t="n">
        <v>1</v>
      </c>
      <c r="M1054" s="3" t="n">
        <v>1</v>
      </c>
      <c r="N1054" s="3" t="s">
        <v>19</v>
      </c>
    </row>
    <row r="1055" customFormat="false" ht="15" hidden="false" customHeight="false" outlineLevel="0" collapsed="false">
      <c r="A1055" s="3" t="s">
        <v>1085</v>
      </c>
      <c r="B1055" s="3" t="n">
        <v>39</v>
      </c>
      <c r="C1055" s="3" t="s">
        <v>45</v>
      </c>
      <c r="D1055" s="3" t="s">
        <v>23</v>
      </c>
      <c r="E1055" s="3" t="s">
        <v>41</v>
      </c>
      <c r="F1055" s="3" t="n">
        <v>4.1</v>
      </c>
      <c r="G1055" s="3" t="n">
        <v>4488.34</v>
      </c>
      <c r="H1055" s="3" t="s">
        <v>19</v>
      </c>
      <c r="I1055" s="3" t="n">
        <v>3</v>
      </c>
      <c r="J1055" s="3" t="n">
        <v>2</v>
      </c>
      <c r="K1055" s="3" t="n">
        <v>1</v>
      </c>
      <c r="L1055" s="3" t="n">
        <v>0</v>
      </c>
      <c r="M1055" s="3" t="n">
        <v>1</v>
      </c>
      <c r="N1055" s="3" t="s">
        <v>19</v>
      </c>
    </row>
    <row r="1056" customFormat="false" ht="15" hidden="false" customHeight="false" outlineLevel="0" collapsed="false">
      <c r="A1056" s="3" t="s">
        <v>1086</v>
      </c>
      <c r="B1056" s="3" t="n">
        <v>42</v>
      </c>
      <c r="C1056" s="3" t="s">
        <v>22</v>
      </c>
      <c r="D1056" s="3" t="s">
        <v>17</v>
      </c>
      <c r="E1056" s="3" t="s">
        <v>41</v>
      </c>
      <c r="F1056" s="3" t="n">
        <v>0.8</v>
      </c>
      <c r="G1056" s="3" t="n">
        <v>2972.96</v>
      </c>
      <c r="H1056" s="3" t="s">
        <v>20</v>
      </c>
      <c r="I1056" s="3" t="n">
        <v>3</v>
      </c>
      <c r="J1056" s="3" t="n">
        <v>2</v>
      </c>
      <c r="K1056" s="3" t="n">
        <v>40</v>
      </c>
      <c r="L1056" s="3" t="n">
        <v>0</v>
      </c>
      <c r="M1056" s="3" t="n">
        <v>3</v>
      </c>
      <c r="N1056" s="3" t="s">
        <v>19</v>
      </c>
    </row>
    <row r="1057" customFormat="false" ht="15" hidden="false" customHeight="false" outlineLevel="0" collapsed="false">
      <c r="A1057" s="3" t="s">
        <v>1087</v>
      </c>
      <c r="B1057" s="3" t="n">
        <v>21</v>
      </c>
      <c r="C1057" s="3" t="s">
        <v>26</v>
      </c>
      <c r="D1057" s="3" t="s">
        <v>23</v>
      </c>
      <c r="E1057" s="3" t="s">
        <v>18</v>
      </c>
      <c r="F1057" s="3" t="n">
        <v>0</v>
      </c>
      <c r="G1057" s="3" t="n">
        <v>4794.94</v>
      </c>
      <c r="H1057" s="3" t="s">
        <v>20</v>
      </c>
      <c r="I1057" s="3" t="n">
        <v>1</v>
      </c>
      <c r="J1057" s="3" t="n">
        <v>3</v>
      </c>
      <c r="K1057" s="3" t="n">
        <v>29</v>
      </c>
      <c r="L1057" s="3" t="n">
        <v>0</v>
      </c>
      <c r="M1057" s="3" t="n">
        <v>2</v>
      </c>
      <c r="N1057" s="3" t="s">
        <v>19</v>
      </c>
    </row>
    <row r="1058" customFormat="false" ht="15" hidden="false" customHeight="false" outlineLevel="0" collapsed="false">
      <c r="A1058" s="3" t="s">
        <v>1088</v>
      </c>
      <c r="B1058" s="3" t="n">
        <v>28</v>
      </c>
      <c r="C1058" s="3" t="s">
        <v>45</v>
      </c>
      <c r="D1058" s="3" t="s">
        <v>27</v>
      </c>
      <c r="E1058" s="3" t="s">
        <v>41</v>
      </c>
      <c r="F1058" s="3" t="n">
        <v>1.2</v>
      </c>
      <c r="G1058" s="3" t="n">
        <v>8479.07</v>
      </c>
      <c r="H1058" s="3" t="s">
        <v>19</v>
      </c>
      <c r="I1058" s="3" t="n">
        <v>4</v>
      </c>
      <c r="J1058" s="3" t="n">
        <v>4</v>
      </c>
      <c r="K1058" s="3" t="n">
        <v>14</v>
      </c>
      <c r="L1058" s="3" t="n">
        <v>0</v>
      </c>
      <c r="M1058" s="3" t="n">
        <v>1</v>
      </c>
      <c r="N1058" s="3" t="s">
        <v>19</v>
      </c>
    </row>
    <row r="1059" customFormat="false" ht="15" hidden="false" customHeight="false" outlineLevel="0" collapsed="false">
      <c r="A1059" s="3" t="s">
        <v>1089</v>
      </c>
      <c r="B1059" s="3" t="n">
        <v>42</v>
      </c>
      <c r="C1059" s="3" t="s">
        <v>26</v>
      </c>
      <c r="D1059" s="3" t="s">
        <v>48</v>
      </c>
      <c r="E1059" s="3" t="s">
        <v>24</v>
      </c>
      <c r="F1059" s="3" t="n">
        <v>0.5</v>
      </c>
      <c r="G1059" s="3" t="n">
        <v>11054.04</v>
      </c>
      <c r="H1059" s="3" t="s">
        <v>20</v>
      </c>
      <c r="I1059" s="3" t="n">
        <v>1</v>
      </c>
      <c r="J1059" s="3" t="n">
        <v>4</v>
      </c>
      <c r="K1059" s="3" t="n">
        <v>7</v>
      </c>
      <c r="L1059" s="3" t="n">
        <v>0</v>
      </c>
      <c r="M1059" s="3" t="n">
        <v>1</v>
      </c>
      <c r="N1059" s="3" t="s">
        <v>19</v>
      </c>
    </row>
    <row r="1060" customFormat="false" ht="15" hidden="false" customHeight="false" outlineLevel="0" collapsed="false">
      <c r="A1060" s="3" t="s">
        <v>1090</v>
      </c>
      <c r="B1060" s="3" t="n">
        <v>21</v>
      </c>
      <c r="C1060" s="3" t="s">
        <v>26</v>
      </c>
      <c r="D1060" s="3" t="s">
        <v>27</v>
      </c>
      <c r="E1060" s="3" t="s">
        <v>41</v>
      </c>
      <c r="F1060" s="3" t="n">
        <v>0</v>
      </c>
      <c r="G1060" s="3" t="n">
        <v>8634.27</v>
      </c>
      <c r="H1060" s="3" t="s">
        <v>19</v>
      </c>
      <c r="I1060" s="3" t="n">
        <v>3</v>
      </c>
      <c r="J1060" s="3" t="n">
        <v>4</v>
      </c>
      <c r="K1060" s="3" t="n">
        <v>38</v>
      </c>
      <c r="L1060" s="3" t="n">
        <v>0</v>
      </c>
      <c r="M1060" s="3" t="n">
        <v>3</v>
      </c>
      <c r="N1060" s="3" t="s">
        <v>20</v>
      </c>
    </row>
    <row r="1061" customFormat="false" ht="15" hidden="false" customHeight="false" outlineLevel="0" collapsed="false">
      <c r="A1061" s="3" t="s">
        <v>1091</v>
      </c>
      <c r="B1061" s="3" t="n">
        <v>30</v>
      </c>
      <c r="C1061" s="3" t="s">
        <v>22</v>
      </c>
      <c r="D1061" s="3" t="s">
        <v>17</v>
      </c>
      <c r="E1061" s="3" t="s">
        <v>18</v>
      </c>
      <c r="F1061" s="3" t="n">
        <v>3.2</v>
      </c>
      <c r="G1061" s="3" t="n">
        <v>3505.63</v>
      </c>
      <c r="H1061" s="3" t="s">
        <v>19</v>
      </c>
      <c r="I1061" s="3" t="n">
        <v>4</v>
      </c>
      <c r="J1061" s="3" t="n">
        <v>3</v>
      </c>
      <c r="K1061" s="3" t="n">
        <v>10</v>
      </c>
      <c r="L1061" s="3" t="n">
        <v>2</v>
      </c>
      <c r="M1061" s="3" t="n">
        <v>3</v>
      </c>
      <c r="N1061" s="3" t="s">
        <v>19</v>
      </c>
    </row>
    <row r="1062" customFormat="false" ht="15" hidden="false" customHeight="false" outlineLevel="0" collapsed="false">
      <c r="A1062" s="3" t="s">
        <v>1092</v>
      </c>
      <c r="B1062" s="3" t="n">
        <v>44</v>
      </c>
      <c r="C1062" s="3" t="s">
        <v>26</v>
      </c>
      <c r="D1062" s="3" t="s">
        <v>17</v>
      </c>
      <c r="E1062" s="3" t="s">
        <v>41</v>
      </c>
      <c r="F1062" s="3" t="n">
        <v>6.1</v>
      </c>
      <c r="G1062" s="3" t="n">
        <v>3731.02</v>
      </c>
      <c r="H1062" s="3" t="s">
        <v>20</v>
      </c>
      <c r="I1062" s="3" t="n">
        <v>4</v>
      </c>
      <c r="J1062" s="3" t="n">
        <v>3</v>
      </c>
      <c r="K1062" s="3" t="n">
        <v>2</v>
      </c>
      <c r="L1062" s="3" t="n">
        <v>2</v>
      </c>
      <c r="M1062" s="3" t="n">
        <v>0</v>
      </c>
      <c r="N1062" s="3" t="s">
        <v>19</v>
      </c>
    </row>
    <row r="1063" customFormat="false" ht="15" hidden="false" customHeight="false" outlineLevel="0" collapsed="false">
      <c r="A1063" s="3" t="s">
        <v>1093</v>
      </c>
      <c r="B1063" s="3" t="n">
        <v>30</v>
      </c>
      <c r="C1063" s="3" t="s">
        <v>22</v>
      </c>
      <c r="D1063" s="3" t="s">
        <v>27</v>
      </c>
      <c r="E1063" s="3" t="s">
        <v>41</v>
      </c>
      <c r="F1063" s="3" t="n">
        <v>1.4</v>
      </c>
      <c r="G1063" s="3" t="n">
        <v>8370.89</v>
      </c>
      <c r="H1063" s="3" t="s">
        <v>20</v>
      </c>
      <c r="I1063" s="3" t="n">
        <v>4</v>
      </c>
      <c r="J1063" s="3" t="n">
        <v>3</v>
      </c>
      <c r="K1063" s="3" t="n">
        <v>12</v>
      </c>
      <c r="L1063" s="3" t="n">
        <v>1</v>
      </c>
      <c r="M1063" s="3" t="n">
        <v>2</v>
      </c>
      <c r="N1063" s="3" t="s">
        <v>19</v>
      </c>
    </row>
    <row r="1064" customFormat="false" ht="15" hidden="false" customHeight="false" outlineLevel="0" collapsed="false">
      <c r="A1064" s="3" t="s">
        <v>1094</v>
      </c>
      <c r="B1064" s="3" t="n">
        <v>33</v>
      </c>
      <c r="C1064" s="3" t="s">
        <v>22</v>
      </c>
      <c r="D1064" s="3" t="s">
        <v>23</v>
      </c>
      <c r="E1064" s="3" t="s">
        <v>24</v>
      </c>
      <c r="F1064" s="3" t="n">
        <v>1.8</v>
      </c>
      <c r="G1064" s="3" t="n">
        <v>4114.71</v>
      </c>
      <c r="H1064" s="3" t="s">
        <v>20</v>
      </c>
      <c r="I1064" s="3" t="n">
        <v>1</v>
      </c>
      <c r="J1064" s="3" t="n">
        <v>3</v>
      </c>
      <c r="K1064" s="3" t="n">
        <v>10</v>
      </c>
      <c r="L1064" s="3" t="n">
        <v>1</v>
      </c>
      <c r="M1064" s="3" t="n">
        <v>5</v>
      </c>
      <c r="N1064" s="3" t="s">
        <v>19</v>
      </c>
    </row>
    <row r="1065" customFormat="false" ht="15" hidden="false" customHeight="false" outlineLevel="0" collapsed="false">
      <c r="A1065" s="3" t="s">
        <v>1095</v>
      </c>
      <c r="B1065" s="3" t="n">
        <v>39</v>
      </c>
      <c r="C1065" s="3" t="s">
        <v>26</v>
      </c>
      <c r="D1065" s="3" t="s">
        <v>17</v>
      </c>
      <c r="E1065" s="3" t="s">
        <v>41</v>
      </c>
      <c r="F1065" s="3" t="n">
        <v>3.2</v>
      </c>
      <c r="G1065" s="3" t="n">
        <v>3153.58</v>
      </c>
      <c r="H1065" s="3" t="s">
        <v>20</v>
      </c>
      <c r="I1065" s="3" t="n">
        <v>3</v>
      </c>
      <c r="J1065" s="3" t="n">
        <v>4</v>
      </c>
      <c r="K1065" s="3" t="n">
        <v>11</v>
      </c>
      <c r="L1065" s="3" t="n">
        <v>0</v>
      </c>
      <c r="M1065" s="3" t="n">
        <v>1</v>
      </c>
      <c r="N1065" s="3" t="s">
        <v>19</v>
      </c>
    </row>
    <row r="1066" customFormat="false" ht="15" hidden="false" customHeight="false" outlineLevel="0" collapsed="false">
      <c r="A1066" s="3" t="s">
        <v>1096</v>
      </c>
      <c r="B1066" s="3" t="n">
        <v>24</v>
      </c>
      <c r="C1066" s="3" t="s">
        <v>32</v>
      </c>
      <c r="D1066" s="3" t="s">
        <v>17</v>
      </c>
      <c r="E1066" s="3" t="s">
        <v>41</v>
      </c>
      <c r="F1066" s="3" t="n">
        <v>3</v>
      </c>
      <c r="G1066" s="3" t="n">
        <v>2767.08</v>
      </c>
      <c r="H1066" s="3" t="s">
        <v>20</v>
      </c>
      <c r="I1066" s="3" t="n">
        <v>3</v>
      </c>
      <c r="J1066" s="3" t="n">
        <v>3</v>
      </c>
      <c r="K1066" s="3" t="n">
        <v>2</v>
      </c>
      <c r="L1066" s="3" t="n">
        <v>2</v>
      </c>
      <c r="M1066" s="3" t="n">
        <v>0</v>
      </c>
      <c r="N1066" s="3" t="s">
        <v>19</v>
      </c>
    </row>
    <row r="1067" customFormat="false" ht="15" hidden="false" customHeight="false" outlineLevel="0" collapsed="false">
      <c r="A1067" s="3" t="s">
        <v>1097</v>
      </c>
      <c r="B1067" s="3" t="n">
        <v>31</v>
      </c>
      <c r="C1067" s="3" t="s">
        <v>32</v>
      </c>
      <c r="D1067" s="3" t="s">
        <v>27</v>
      </c>
      <c r="E1067" s="3" t="s">
        <v>28</v>
      </c>
      <c r="F1067" s="3" t="n">
        <v>7.4</v>
      </c>
      <c r="G1067" s="3" t="n">
        <v>8565.26</v>
      </c>
      <c r="H1067" s="3" t="s">
        <v>19</v>
      </c>
      <c r="I1067" s="3" t="n">
        <v>3</v>
      </c>
      <c r="J1067" s="3" t="n">
        <v>4</v>
      </c>
      <c r="K1067" s="3" t="n">
        <v>2</v>
      </c>
      <c r="L1067" s="3" t="n">
        <v>5</v>
      </c>
      <c r="M1067" s="3" t="n">
        <v>4</v>
      </c>
      <c r="N1067" s="3" t="s">
        <v>19</v>
      </c>
    </row>
    <row r="1068" customFormat="false" ht="15" hidden="false" customHeight="false" outlineLevel="0" collapsed="false">
      <c r="A1068" s="3" t="s">
        <v>1098</v>
      </c>
      <c r="B1068" s="3" t="n">
        <v>31</v>
      </c>
      <c r="C1068" s="3" t="s">
        <v>16</v>
      </c>
      <c r="D1068" s="3" t="s">
        <v>17</v>
      </c>
      <c r="E1068" s="3" t="s">
        <v>18</v>
      </c>
      <c r="F1068" s="3" t="n">
        <v>2.1</v>
      </c>
      <c r="G1068" s="3" t="n">
        <v>2825.12</v>
      </c>
      <c r="H1068" s="3" t="s">
        <v>20</v>
      </c>
      <c r="I1068" s="3" t="n">
        <v>4</v>
      </c>
      <c r="J1068" s="3" t="n">
        <v>2</v>
      </c>
      <c r="K1068" s="3" t="n">
        <v>6</v>
      </c>
      <c r="L1068" s="3" t="n">
        <v>2</v>
      </c>
      <c r="M1068" s="3" t="n">
        <v>3</v>
      </c>
      <c r="N1068" s="3" t="s">
        <v>20</v>
      </c>
    </row>
    <row r="1069" customFormat="false" ht="15" hidden="false" customHeight="false" outlineLevel="0" collapsed="false">
      <c r="A1069" s="3" t="s">
        <v>1099</v>
      </c>
      <c r="B1069" s="3" t="n">
        <v>29</v>
      </c>
      <c r="C1069" s="3" t="s">
        <v>22</v>
      </c>
      <c r="D1069" s="3" t="s">
        <v>23</v>
      </c>
      <c r="E1069" s="3" t="s">
        <v>24</v>
      </c>
      <c r="F1069" s="3" t="n">
        <v>0.4</v>
      </c>
      <c r="G1069" s="3" t="n">
        <v>5109.04</v>
      </c>
      <c r="H1069" s="3" t="s">
        <v>20</v>
      </c>
      <c r="I1069" s="3" t="n">
        <v>3</v>
      </c>
      <c r="J1069" s="3" t="n">
        <v>1</v>
      </c>
      <c r="K1069" s="3" t="n">
        <v>10</v>
      </c>
      <c r="L1069" s="3" t="n">
        <v>0</v>
      </c>
      <c r="M1069" s="3" t="n">
        <v>2</v>
      </c>
      <c r="N1069" s="3" t="s">
        <v>20</v>
      </c>
    </row>
    <row r="1070" customFormat="false" ht="15" hidden="false" customHeight="false" outlineLevel="0" collapsed="false">
      <c r="A1070" s="3" t="s">
        <v>1100</v>
      </c>
      <c r="B1070" s="3" t="n">
        <v>23</v>
      </c>
      <c r="C1070" s="3" t="s">
        <v>22</v>
      </c>
      <c r="D1070" s="3" t="s">
        <v>23</v>
      </c>
      <c r="E1070" s="3" t="s">
        <v>24</v>
      </c>
      <c r="F1070" s="3" t="n">
        <v>2</v>
      </c>
      <c r="G1070" s="3" t="n">
        <v>4407.65</v>
      </c>
      <c r="H1070" s="3" t="s">
        <v>20</v>
      </c>
      <c r="I1070" s="3" t="n">
        <v>3</v>
      </c>
      <c r="J1070" s="3" t="n">
        <v>3</v>
      </c>
      <c r="K1070" s="3" t="n">
        <v>1</v>
      </c>
      <c r="L1070" s="3" t="n">
        <v>1</v>
      </c>
      <c r="M1070" s="3" t="n">
        <v>3</v>
      </c>
      <c r="N1070" s="3" t="s">
        <v>19</v>
      </c>
    </row>
    <row r="1071" customFormat="false" ht="15" hidden="false" customHeight="false" outlineLevel="0" collapsed="false">
      <c r="A1071" s="3" t="s">
        <v>1101</v>
      </c>
      <c r="B1071" s="3" t="n">
        <v>23</v>
      </c>
      <c r="C1071" s="3" t="s">
        <v>26</v>
      </c>
      <c r="D1071" s="3" t="s">
        <v>23</v>
      </c>
      <c r="E1071" s="3" t="s">
        <v>41</v>
      </c>
      <c r="F1071" s="3" t="n">
        <v>2</v>
      </c>
      <c r="G1071" s="3" t="n">
        <v>5252.1</v>
      </c>
      <c r="H1071" s="3" t="s">
        <v>19</v>
      </c>
      <c r="I1071" s="3" t="n">
        <v>4</v>
      </c>
      <c r="J1071" s="3" t="n">
        <v>4</v>
      </c>
      <c r="K1071" s="3" t="n">
        <v>13</v>
      </c>
      <c r="L1071" s="3" t="n">
        <v>0</v>
      </c>
      <c r="M1071" s="3" t="n">
        <v>0</v>
      </c>
      <c r="N1071" s="3" t="s">
        <v>20</v>
      </c>
    </row>
    <row r="1072" customFormat="false" ht="15" hidden="false" customHeight="false" outlineLevel="0" collapsed="false">
      <c r="A1072" s="3" t="s">
        <v>1102</v>
      </c>
      <c r="B1072" s="3" t="n">
        <v>29</v>
      </c>
      <c r="C1072" s="3" t="s">
        <v>45</v>
      </c>
      <c r="D1072" s="3" t="s">
        <v>17</v>
      </c>
      <c r="E1072" s="3" t="s">
        <v>28</v>
      </c>
      <c r="F1072" s="3" t="n">
        <v>6.5</v>
      </c>
      <c r="G1072" s="3" t="n">
        <v>3178.32</v>
      </c>
      <c r="H1072" s="3" t="s">
        <v>19</v>
      </c>
      <c r="I1072" s="3" t="n">
        <v>3</v>
      </c>
      <c r="J1072" s="3" t="n">
        <v>4</v>
      </c>
      <c r="K1072" s="3" t="n">
        <v>7</v>
      </c>
      <c r="L1072" s="3" t="n">
        <v>0</v>
      </c>
      <c r="M1072" s="3" t="n">
        <v>1</v>
      </c>
      <c r="N1072" s="3" t="s">
        <v>19</v>
      </c>
    </row>
    <row r="1073" customFormat="false" ht="15" hidden="false" customHeight="false" outlineLevel="0" collapsed="false">
      <c r="A1073" s="3" t="s">
        <v>1103</v>
      </c>
      <c r="B1073" s="3" t="n">
        <v>37</v>
      </c>
      <c r="C1073" s="3" t="s">
        <v>32</v>
      </c>
      <c r="D1073" s="3" t="s">
        <v>27</v>
      </c>
      <c r="E1073" s="3" t="s">
        <v>24</v>
      </c>
      <c r="F1073" s="3" t="n">
        <v>2.2</v>
      </c>
      <c r="G1073" s="3" t="n">
        <v>6957.62</v>
      </c>
      <c r="H1073" s="3" t="s">
        <v>19</v>
      </c>
      <c r="I1073" s="3" t="n">
        <v>4</v>
      </c>
      <c r="J1073" s="3" t="n">
        <v>3</v>
      </c>
      <c r="K1073" s="3" t="n">
        <v>1</v>
      </c>
      <c r="L1073" s="3" t="n">
        <v>0</v>
      </c>
      <c r="M1073" s="3" t="n">
        <v>6</v>
      </c>
      <c r="N1073" s="3" t="s">
        <v>19</v>
      </c>
    </row>
    <row r="1074" customFormat="false" ht="15" hidden="false" customHeight="false" outlineLevel="0" collapsed="false">
      <c r="A1074" s="3" t="s">
        <v>1104</v>
      </c>
      <c r="B1074" s="3" t="n">
        <v>24</v>
      </c>
      <c r="C1074" s="3" t="s">
        <v>16</v>
      </c>
      <c r="D1074" s="3" t="s">
        <v>17</v>
      </c>
      <c r="E1074" s="3" t="s">
        <v>28</v>
      </c>
      <c r="F1074" s="3" t="n">
        <v>3</v>
      </c>
      <c r="G1074" s="3" t="n">
        <v>3440.01</v>
      </c>
      <c r="H1074" s="3" t="s">
        <v>19</v>
      </c>
      <c r="I1074" s="3" t="n">
        <v>4</v>
      </c>
      <c r="J1074" s="3" t="n">
        <v>4</v>
      </c>
      <c r="K1074" s="3" t="n">
        <v>14</v>
      </c>
      <c r="L1074" s="3" t="n">
        <v>3</v>
      </c>
      <c r="M1074" s="3" t="n">
        <v>0</v>
      </c>
      <c r="N1074" s="3" t="s">
        <v>20</v>
      </c>
    </row>
    <row r="1075" customFormat="false" ht="15" hidden="false" customHeight="false" outlineLevel="0" collapsed="false">
      <c r="A1075" s="3" t="s">
        <v>1105</v>
      </c>
      <c r="B1075" s="3" t="n">
        <v>28</v>
      </c>
      <c r="C1075" s="3" t="s">
        <v>26</v>
      </c>
      <c r="D1075" s="3" t="s">
        <v>23</v>
      </c>
      <c r="E1075" s="3" t="s">
        <v>41</v>
      </c>
      <c r="F1075" s="3" t="n">
        <v>1.7</v>
      </c>
      <c r="G1075" s="3" t="n">
        <v>4630.17</v>
      </c>
      <c r="H1075" s="3" t="s">
        <v>20</v>
      </c>
      <c r="I1075" s="3" t="n">
        <v>4</v>
      </c>
      <c r="J1075" s="3" t="n">
        <v>3</v>
      </c>
      <c r="K1075" s="3" t="n">
        <v>21</v>
      </c>
      <c r="L1075" s="3" t="n">
        <v>1</v>
      </c>
      <c r="M1075" s="3" t="n">
        <v>3</v>
      </c>
      <c r="N1075" s="3" t="s">
        <v>19</v>
      </c>
    </row>
    <row r="1076" customFormat="false" ht="15" hidden="false" customHeight="false" outlineLevel="0" collapsed="false">
      <c r="A1076" s="3" t="s">
        <v>1106</v>
      </c>
      <c r="B1076" s="3" t="n">
        <v>26</v>
      </c>
      <c r="C1076" s="3" t="s">
        <v>26</v>
      </c>
      <c r="D1076" s="3" t="s">
        <v>27</v>
      </c>
      <c r="E1076" s="3" t="s">
        <v>28</v>
      </c>
      <c r="F1076" s="3" t="n">
        <v>4.4</v>
      </c>
      <c r="G1076" s="3" t="n">
        <v>7568.1</v>
      </c>
      <c r="H1076" s="3" t="s">
        <v>20</v>
      </c>
      <c r="I1076" s="3" t="n">
        <v>3</v>
      </c>
      <c r="J1076" s="3" t="n">
        <v>3</v>
      </c>
      <c r="K1076" s="3" t="n">
        <v>4</v>
      </c>
      <c r="L1076" s="3" t="n">
        <v>2</v>
      </c>
      <c r="M1076" s="3" t="n">
        <v>2</v>
      </c>
      <c r="N1076" s="3" t="s">
        <v>19</v>
      </c>
    </row>
    <row r="1077" customFormat="false" ht="15" hidden="false" customHeight="false" outlineLevel="0" collapsed="false">
      <c r="A1077" s="3" t="s">
        <v>1107</v>
      </c>
      <c r="B1077" s="3" t="n">
        <v>50</v>
      </c>
      <c r="C1077" s="3" t="s">
        <v>16</v>
      </c>
      <c r="D1077" s="3" t="s">
        <v>27</v>
      </c>
      <c r="E1077" s="3" t="s">
        <v>28</v>
      </c>
      <c r="F1077" s="3" t="n">
        <v>1.5</v>
      </c>
      <c r="G1077" s="3" t="n">
        <v>7571.54</v>
      </c>
      <c r="H1077" s="3" t="s">
        <v>20</v>
      </c>
      <c r="I1077" s="3" t="n">
        <v>3</v>
      </c>
      <c r="J1077" s="3" t="n">
        <v>2</v>
      </c>
      <c r="K1077" s="3" t="n">
        <v>8</v>
      </c>
      <c r="L1077" s="3" t="n">
        <v>1</v>
      </c>
      <c r="M1077" s="3" t="n">
        <v>0</v>
      </c>
      <c r="N1077" s="3" t="s">
        <v>19</v>
      </c>
    </row>
    <row r="1078" customFormat="false" ht="15" hidden="false" customHeight="false" outlineLevel="0" collapsed="false">
      <c r="A1078" s="3" t="s">
        <v>1108</v>
      </c>
      <c r="B1078" s="3" t="n">
        <v>32</v>
      </c>
      <c r="C1078" s="3" t="s">
        <v>16</v>
      </c>
      <c r="D1078" s="3" t="s">
        <v>27</v>
      </c>
      <c r="E1078" s="3" t="s">
        <v>18</v>
      </c>
      <c r="F1078" s="3" t="n">
        <v>1.8</v>
      </c>
      <c r="G1078" s="3" t="n">
        <v>6248.26</v>
      </c>
      <c r="H1078" s="3" t="s">
        <v>19</v>
      </c>
      <c r="I1078" s="3" t="n">
        <v>1</v>
      </c>
      <c r="J1078" s="3" t="n">
        <v>2</v>
      </c>
      <c r="K1078" s="3" t="n">
        <v>5</v>
      </c>
      <c r="L1078" s="3" t="n">
        <v>1</v>
      </c>
      <c r="M1078" s="3" t="n">
        <v>4</v>
      </c>
      <c r="N1078" s="3" t="s">
        <v>19</v>
      </c>
    </row>
    <row r="1079" customFormat="false" ht="15" hidden="false" customHeight="false" outlineLevel="0" collapsed="false">
      <c r="A1079" s="3" t="s">
        <v>1109</v>
      </c>
      <c r="B1079" s="3" t="n">
        <v>26</v>
      </c>
      <c r="C1079" s="3" t="s">
        <v>45</v>
      </c>
      <c r="D1079" s="3" t="s">
        <v>17</v>
      </c>
      <c r="E1079" s="3" t="s">
        <v>18</v>
      </c>
      <c r="F1079" s="3" t="n">
        <v>2</v>
      </c>
      <c r="G1079" s="3" t="n">
        <v>3189.74</v>
      </c>
      <c r="H1079" s="3" t="s">
        <v>19</v>
      </c>
      <c r="I1079" s="3" t="n">
        <v>4</v>
      </c>
      <c r="J1079" s="3" t="n">
        <v>1</v>
      </c>
      <c r="K1079" s="3" t="n">
        <v>2</v>
      </c>
      <c r="L1079" s="3" t="n">
        <v>1</v>
      </c>
      <c r="M1079" s="3" t="n">
        <v>1</v>
      </c>
      <c r="N1079" s="3" t="s">
        <v>19</v>
      </c>
    </row>
    <row r="1080" customFormat="false" ht="15" hidden="false" customHeight="false" outlineLevel="0" collapsed="false">
      <c r="A1080" s="3" t="s">
        <v>1110</v>
      </c>
      <c r="B1080" s="3" t="n">
        <v>40</v>
      </c>
      <c r="C1080" s="3" t="s">
        <v>16</v>
      </c>
      <c r="D1080" s="3" t="s">
        <v>23</v>
      </c>
      <c r="E1080" s="3" t="s">
        <v>24</v>
      </c>
      <c r="F1080" s="3" t="n">
        <v>3.3</v>
      </c>
      <c r="G1080" s="3" t="n">
        <v>4638.08</v>
      </c>
      <c r="H1080" s="3" t="s">
        <v>19</v>
      </c>
      <c r="I1080" s="3" t="n">
        <v>4</v>
      </c>
      <c r="J1080" s="3" t="n">
        <v>3</v>
      </c>
      <c r="K1080" s="3" t="n">
        <v>6</v>
      </c>
      <c r="L1080" s="3" t="n">
        <v>2</v>
      </c>
      <c r="M1080" s="3" t="n">
        <v>2</v>
      </c>
      <c r="N1080" s="3" t="s">
        <v>19</v>
      </c>
    </row>
    <row r="1081" customFormat="false" ht="15" hidden="false" customHeight="false" outlineLevel="0" collapsed="false">
      <c r="A1081" s="3" t="s">
        <v>1111</v>
      </c>
      <c r="B1081" s="3" t="n">
        <v>38</v>
      </c>
      <c r="C1081" s="3" t="s">
        <v>22</v>
      </c>
      <c r="D1081" s="3" t="s">
        <v>17</v>
      </c>
      <c r="E1081" s="3" t="s">
        <v>41</v>
      </c>
      <c r="F1081" s="3" t="n">
        <v>4.3</v>
      </c>
      <c r="G1081" s="3" t="n">
        <v>2962.39</v>
      </c>
      <c r="H1081" s="3" t="s">
        <v>19</v>
      </c>
      <c r="I1081" s="3" t="n">
        <v>2</v>
      </c>
      <c r="J1081" s="3" t="n">
        <v>3</v>
      </c>
      <c r="K1081" s="3" t="n">
        <v>7</v>
      </c>
      <c r="L1081" s="3" t="n">
        <v>1</v>
      </c>
      <c r="M1081" s="3" t="n">
        <v>3</v>
      </c>
      <c r="N1081" s="3" t="s">
        <v>20</v>
      </c>
    </row>
    <row r="1082" customFormat="false" ht="15" hidden="false" customHeight="false" outlineLevel="0" collapsed="false">
      <c r="A1082" s="3" t="s">
        <v>1112</v>
      </c>
      <c r="B1082" s="3" t="n">
        <v>37</v>
      </c>
      <c r="C1082" s="3" t="s">
        <v>16</v>
      </c>
      <c r="D1082" s="3" t="s">
        <v>27</v>
      </c>
      <c r="E1082" s="3" t="s">
        <v>41</v>
      </c>
      <c r="F1082" s="3" t="n">
        <v>3.5</v>
      </c>
      <c r="G1082" s="3" t="n">
        <v>6447.91</v>
      </c>
      <c r="H1082" s="3" t="s">
        <v>19</v>
      </c>
      <c r="I1082" s="3" t="n">
        <v>4</v>
      </c>
      <c r="J1082" s="3" t="n">
        <v>2</v>
      </c>
      <c r="K1082" s="3" t="n">
        <v>6</v>
      </c>
      <c r="L1082" s="3" t="n">
        <v>3</v>
      </c>
      <c r="M1082" s="3" t="n">
        <v>1</v>
      </c>
      <c r="N1082" s="3" t="s">
        <v>20</v>
      </c>
    </row>
    <row r="1083" customFormat="false" ht="15" hidden="false" customHeight="false" outlineLevel="0" collapsed="false">
      <c r="A1083" s="3" t="s">
        <v>1113</v>
      </c>
      <c r="B1083" s="3" t="n">
        <v>23</v>
      </c>
      <c r="C1083" s="3" t="s">
        <v>16</v>
      </c>
      <c r="D1083" s="3" t="s">
        <v>27</v>
      </c>
      <c r="E1083" s="3" t="s">
        <v>28</v>
      </c>
      <c r="F1083" s="3" t="n">
        <v>1</v>
      </c>
      <c r="G1083" s="3" t="n">
        <v>6176.98</v>
      </c>
      <c r="H1083" s="3" t="s">
        <v>19</v>
      </c>
      <c r="I1083" s="3" t="n">
        <v>3</v>
      </c>
      <c r="J1083" s="3" t="n">
        <v>4</v>
      </c>
      <c r="K1083" s="3" t="n">
        <v>20</v>
      </c>
      <c r="L1083" s="3" t="n">
        <v>0</v>
      </c>
      <c r="M1083" s="3" t="n">
        <v>0</v>
      </c>
      <c r="N1083" s="3" t="s">
        <v>19</v>
      </c>
    </row>
    <row r="1084" customFormat="false" ht="15" hidden="false" customHeight="false" outlineLevel="0" collapsed="false">
      <c r="A1084" s="3" t="s">
        <v>1114</v>
      </c>
      <c r="B1084" s="3" t="n">
        <v>35</v>
      </c>
      <c r="C1084" s="3" t="s">
        <v>24</v>
      </c>
      <c r="D1084" s="3" t="s">
        <v>17</v>
      </c>
      <c r="E1084" s="3" t="s">
        <v>41</v>
      </c>
      <c r="F1084" s="3" t="n">
        <v>2.2</v>
      </c>
      <c r="G1084" s="3" t="n">
        <v>3521.21</v>
      </c>
      <c r="H1084" s="3" t="s">
        <v>20</v>
      </c>
      <c r="I1084" s="3" t="n">
        <v>1</v>
      </c>
      <c r="J1084" s="3" t="n">
        <v>4</v>
      </c>
      <c r="K1084" s="3" t="n">
        <v>13</v>
      </c>
      <c r="L1084" s="3" t="n">
        <v>2</v>
      </c>
      <c r="M1084" s="3" t="n">
        <v>3</v>
      </c>
      <c r="N1084" s="3" t="s">
        <v>19</v>
      </c>
    </row>
    <row r="1085" customFormat="false" ht="15" hidden="false" customHeight="false" outlineLevel="0" collapsed="false">
      <c r="A1085" s="3" t="s">
        <v>1115</v>
      </c>
      <c r="B1085" s="3" t="n">
        <v>21</v>
      </c>
      <c r="C1085" s="3" t="s">
        <v>32</v>
      </c>
      <c r="D1085" s="3" t="s">
        <v>17</v>
      </c>
      <c r="E1085" s="3" t="s">
        <v>28</v>
      </c>
      <c r="F1085" s="3" t="n">
        <v>0</v>
      </c>
      <c r="G1085" s="4"/>
      <c r="H1085" s="3" t="s">
        <v>19</v>
      </c>
      <c r="I1085" s="3" t="n">
        <v>4</v>
      </c>
      <c r="J1085" s="3" t="n">
        <v>3</v>
      </c>
      <c r="K1085" s="3" t="n">
        <v>6</v>
      </c>
      <c r="L1085" s="3" t="n">
        <v>0</v>
      </c>
      <c r="M1085" s="3" t="n">
        <v>2</v>
      </c>
      <c r="N1085" s="3" t="s">
        <v>19</v>
      </c>
    </row>
    <row r="1086" customFormat="false" ht="15" hidden="false" customHeight="false" outlineLevel="0" collapsed="false">
      <c r="A1086" s="3" t="s">
        <v>1116</v>
      </c>
      <c r="B1086" s="3" t="n">
        <v>27</v>
      </c>
      <c r="C1086" s="3" t="s">
        <v>32</v>
      </c>
      <c r="D1086" s="3" t="s">
        <v>17</v>
      </c>
      <c r="E1086" s="3" t="s">
        <v>41</v>
      </c>
      <c r="F1086" s="3" t="n">
        <v>6</v>
      </c>
      <c r="G1086" s="3" t="n">
        <v>2872.48</v>
      </c>
      <c r="H1086" s="3" t="s">
        <v>20</v>
      </c>
      <c r="I1086" s="3" t="n">
        <v>2</v>
      </c>
      <c r="J1086" s="3" t="n">
        <v>4</v>
      </c>
      <c r="K1086" s="3" t="n">
        <v>6</v>
      </c>
      <c r="L1086" s="3" t="n">
        <v>1</v>
      </c>
      <c r="M1086" s="3" t="n">
        <v>2</v>
      </c>
      <c r="N1086" s="3" t="s">
        <v>20</v>
      </c>
    </row>
    <row r="1087" customFormat="false" ht="15" hidden="false" customHeight="false" outlineLevel="0" collapsed="false">
      <c r="A1087" s="3" t="s">
        <v>1117</v>
      </c>
      <c r="B1087" s="3" t="n">
        <v>35</v>
      </c>
      <c r="C1087" s="3" t="s">
        <v>22</v>
      </c>
      <c r="D1087" s="3" t="s">
        <v>48</v>
      </c>
      <c r="E1087" s="3" t="s">
        <v>28</v>
      </c>
      <c r="F1087" s="3" t="n">
        <v>3</v>
      </c>
      <c r="G1087" s="3" t="n">
        <v>11221.09</v>
      </c>
      <c r="H1087" s="3" t="s">
        <v>19</v>
      </c>
      <c r="I1087" s="3" t="n">
        <v>3</v>
      </c>
      <c r="J1087" s="3" t="n">
        <v>4</v>
      </c>
      <c r="K1087" s="3" t="n">
        <v>1</v>
      </c>
      <c r="L1087" s="3" t="n">
        <v>0</v>
      </c>
      <c r="M1087" s="3" t="n">
        <v>2</v>
      </c>
      <c r="N1087" s="3" t="s">
        <v>19</v>
      </c>
    </row>
    <row r="1088" customFormat="false" ht="15" hidden="false" customHeight="false" outlineLevel="0" collapsed="false">
      <c r="A1088" s="3" t="s">
        <v>1118</v>
      </c>
      <c r="B1088" s="3" t="n">
        <v>42</v>
      </c>
      <c r="C1088" s="3" t="s">
        <v>26</v>
      </c>
      <c r="D1088" s="3" t="s">
        <v>23</v>
      </c>
      <c r="E1088" s="3" t="s">
        <v>24</v>
      </c>
      <c r="F1088" s="3" t="n">
        <v>1.8</v>
      </c>
      <c r="G1088" s="3" t="n">
        <v>4902.86</v>
      </c>
      <c r="H1088" s="3" t="s">
        <v>20</v>
      </c>
      <c r="I1088" s="3" t="n">
        <v>3</v>
      </c>
      <c r="J1088" s="3" t="n">
        <v>2</v>
      </c>
      <c r="K1088" s="3" t="n">
        <v>4</v>
      </c>
      <c r="L1088" s="3" t="n">
        <v>0</v>
      </c>
      <c r="M1088" s="3" t="n">
        <v>3</v>
      </c>
      <c r="N1088" s="3" t="s">
        <v>19</v>
      </c>
    </row>
    <row r="1089" customFormat="false" ht="15" hidden="false" customHeight="false" outlineLevel="0" collapsed="false">
      <c r="A1089" s="3" t="s">
        <v>1119</v>
      </c>
      <c r="B1089" s="3" t="n">
        <v>39</v>
      </c>
      <c r="C1089" s="3" t="s">
        <v>32</v>
      </c>
      <c r="D1089" s="3" t="s">
        <v>23</v>
      </c>
      <c r="E1089" s="3" t="s">
        <v>28</v>
      </c>
      <c r="F1089" s="3" t="n">
        <v>3.9</v>
      </c>
      <c r="G1089" s="3" t="n">
        <v>4129.59</v>
      </c>
      <c r="H1089" s="3" t="s">
        <v>19</v>
      </c>
      <c r="I1089" s="3" t="n">
        <v>2</v>
      </c>
      <c r="J1089" s="3" t="n">
        <v>2</v>
      </c>
      <c r="K1089" s="3" t="n">
        <v>4</v>
      </c>
      <c r="L1089" s="3" t="n">
        <v>1</v>
      </c>
      <c r="M1089" s="3" t="n">
        <v>1</v>
      </c>
      <c r="N1089" s="3" t="s">
        <v>19</v>
      </c>
    </row>
    <row r="1090" customFormat="false" ht="15" hidden="false" customHeight="false" outlineLevel="0" collapsed="false">
      <c r="A1090" s="3" t="s">
        <v>1120</v>
      </c>
      <c r="B1090" s="3" t="n">
        <v>38</v>
      </c>
      <c r="C1090" s="3" t="s">
        <v>22</v>
      </c>
      <c r="D1090" s="3" t="s">
        <v>27</v>
      </c>
      <c r="E1090" s="3" t="s">
        <v>28</v>
      </c>
      <c r="F1090" s="3" t="n">
        <v>5.6</v>
      </c>
      <c r="G1090" s="3" t="n">
        <v>8370.83</v>
      </c>
      <c r="H1090" s="3" t="s">
        <v>20</v>
      </c>
      <c r="I1090" s="3" t="n">
        <v>3</v>
      </c>
      <c r="J1090" s="3" t="n">
        <v>1</v>
      </c>
      <c r="K1090" s="3" t="n">
        <v>2</v>
      </c>
      <c r="L1090" s="3" t="n">
        <v>0</v>
      </c>
      <c r="M1090" s="3" t="n">
        <v>2</v>
      </c>
      <c r="N1090" s="3" t="s">
        <v>19</v>
      </c>
    </row>
    <row r="1091" customFormat="false" ht="15" hidden="false" customHeight="false" outlineLevel="0" collapsed="false">
      <c r="A1091" s="3" t="s">
        <v>1121</v>
      </c>
      <c r="B1091" s="3" t="n">
        <v>21</v>
      </c>
      <c r="C1091" s="3" t="s">
        <v>26</v>
      </c>
      <c r="D1091" s="3" t="s">
        <v>23</v>
      </c>
      <c r="E1091" s="3" t="s">
        <v>28</v>
      </c>
      <c r="F1091" s="3" t="n">
        <v>0</v>
      </c>
      <c r="G1091" s="3" t="n">
        <v>5152.75</v>
      </c>
      <c r="H1091" s="3" t="s">
        <v>20</v>
      </c>
      <c r="I1091" s="3" t="n">
        <v>3</v>
      </c>
      <c r="J1091" s="3" t="n">
        <v>4</v>
      </c>
      <c r="K1091" s="3" t="n">
        <v>6</v>
      </c>
      <c r="L1091" s="3" t="n">
        <v>0</v>
      </c>
      <c r="M1091" s="3" t="n">
        <v>3</v>
      </c>
      <c r="N1091" s="3" t="s">
        <v>20</v>
      </c>
    </row>
    <row r="1092" customFormat="false" ht="15" hidden="false" customHeight="false" outlineLevel="0" collapsed="false">
      <c r="A1092" s="3" t="s">
        <v>1122</v>
      </c>
      <c r="B1092" s="3" t="n">
        <v>24</v>
      </c>
      <c r="C1092" s="3" t="s">
        <v>32</v>
      </c>
      <c r="D1092" s="3" t="s">
        <v>48</v>
      </c>
      <c r="E1092" s="3" t="s">
        <v>41</v>
      </c>
      <c r="F1092" s="3" t="n">
        <v>3</v>
      </c>
      <c r="G1092" s="3" t="n">
        <v>8463.48</v>
      </c>
      <c r="H1092" s="3" t="s">
        <v>20</v>
      </c>
      <c r="I1092" s="3" t="n">
        <v>3</v>
      </c>
      <c r="J1092" s="3" t="n">
        <v>2</v>
      </c>
      <c r="K1092" s="3" t="n">
        <v>20</v>
      </c>
      <c r="L1092" s="3" t="n">
        <v>0</v>
      </c>
      <c r="M1092" s="3" t="n">
        <v>1</v>
      </c>
      <c r="N1092" s="3" t="s">
        <v>19</v>
      </c>
    </row>
    <row r="1093" customFormat="false" ht="15" hidden="false" customHeight="false" outlineLevel="0" collapsed="false">
      <c r="A1093" s="3" t="s">
        <v>1123</v>
      </c>
      <c r="B1093" s="3" t="n">
        <v>32</v>
      </c>
      <c r="C1093" s="3" t="s">
        <v>22</v>
      </c>
      <c r="D1093" s="3" t="s">
        <v>27</v>
      </c>
      <c r="E1093" s="3" t="s">
        <v>41</v>
      </c>
      <c r="F1093" s="3" t="n">
        <v>2.1</v>
      </c>
      <c r="G1093" s="3" t="n">
        <v>7006.67</v>
      </c>
      <c r="H1093" s="3" t="s">
        <v>20</v>
      </c>
      <c r="I1093" s="3" t="n">
        <v>3</v>
      </c>
      <c r="J1093" s="3" t="n">
        <v>2</v>
      </c>
      <c r="K1093" s="3" t="n">
        <v>19</v>
      </c>
      <c r="L1093" s="3" t="n">
        <v>0</v>
      </c>
      <c r="M1093" s="3" t="n">
        <v>3</v>
      </c>
      <c r="N1093" s="3" t="s">
        <v>20</v>
      </c>
    </row>
    <row r="1094" customFormat="false" ht="15" hidden="false" customHeight="false" outlineLevel="0" collapsed="false">
      <c r="A1094" s="3" t="s">
        <v>1124</v>
      </c>
      <c r="B1094" s="3" t="n">
        <v>29</v>
      </c>
      <c r="C1094" s="3" t="s">
        <v>45</v>
      </c>
      <c r="D1094" s="3" t="s">
        <v>17</v>
      </c>
      <c r="E1094" s="3" t="s">
        <v>18</v>
      </c>
      <c r="F1094" s="3" t="n">
        <v>0.8</v>
      </c>
      <c r="G1094" s="3" t="n">
        <v>3597.11</v>
      </c>
      <c r="H1094" s="3" t="s">
        <v>19</v>
      </c>
      <c r="I1094" s="3" t="n">
        <v>3</v>
      </c>
      <c r="J1094" s="3" t="n">
        <v>4</v>
      </c>
      <c r="K1094" s="3" t="n">
        <v>4</v>
      </c>
      <c r="L1094" s="3" t="n">
        <v>0</v>
      </c>
      <c r="M1094" s="3" t="n">
        <v>1</v>
      </c>
      <c r="N1094" s="3" t="s">
        <v>19</v>
      </c>
    </row>
    <row r="1095" customFormat="false" ht="15" hidden="false" customHeight="false" outlineLevel="0" collapsed="false">
      <c r="A1095" s="3" t="s">
        <v>1125</v>
      </c>
      <c r="B1095" s="3" t="n">
        <v>37</v>
      </c>
      <c r="C1095" s="3" t="s">
        <v>24</v>
      </c>
      <c r="D1095" s="3" t="s">
        <v>17</v>
      </c>
      <c r="E1095" s="3" t="s">
        <v>28</v>
      </c>
      <c r="F1095" s="3" t="n">
        <v>4.3</v>
      </c>
      <c r="G1095" s="3" t="n">
        <v>2830.84</v>
      </c>
      <c r="H1095" s="3" t="s">
        <v>20</v>
      </c>
      <c r="I1095" s="3" t="n">
        <v>3</v>
      </c>
      <c r="J1095" s="3" t="n">
        <v>3</v>
      </c>
      <c r="K1095" s="3" t="n">
        <v>8</v>
      </c>
      <c r="L1095" s="3" t="n">
        <v>0</v>
      </c>
      <c r="M1095" s="3" t="n">
        <v>2</v>
      </c>
      <c r="N1095" s="3" t="s">
        <v>20</v>
      </c>
    </row>
    <row r="1096" customFormat="false" ht="15" hidden="false" customHeight="false" outlineLevel="0" collapsed="false">
      <c r="A1096" s="3" t="s">
        <v>1126</v>
      </c>
      <c r="B1096" s="3" t="n">
        <v>23</v>
      </c>
      <c r="C1096" s="3" t="s">
        <v>32</v>
      </c>
      <c r="D1096" s="3" t="s">
        <v>17</v>
      </c>
      <c r="E1096" s="3" t="s">
        <v>28</v>
      </c>
      <c r="F1096" s="3" t="n">
        <v>0.1</v>
      </c>
      <c r="G1096" s="3" t="n">
        <v>3562.75</v>
      </c>
      <c r="H1096" s="3" t="s">
        <v>19</v>
      </c>
      <c r="I1096" s="3" t="n">
        <v>1</v>
      </c>
      <c r="J1096" s="3" t="n">
        <v>3</v>
      </c>
      <c r="K1096" s="3" t="n">
        <v>6</v>
      </c>
      <c r="L1096" s="3" t="n">
        <v>0</v>
      </c>
      <c r="M1096" s="3" t="n">
        <v>1</v>
      </c>
      <c r="N1096" s="3" t="s">
        <v>20</v>
      </c>
    </row>
    <row r="1097" customFormat="false" ht="15" hidden="false" customHeight="false" outlineLevel="0" collapsed="false">
      <c r="A1097" s="3" t="s">
        <v>1127</v>
      </c>
      <c r="B1097" s="3" t="n">
        <v>35</v>
      </c>
      <c r="C1097" s="3" t="s">
        <v>24</v>
      </c>
      <c r="D1097" s="3" t="s">
        <v>27</v>
      </c>
      <c r="E1097" s="3" t="s">
        <v>28</v>
      </c>
      <c r="F1097" s="3" t="n">
        <v>3.3</v>
      </c>
      <c r="G1097" s="3" t="n">
        <v>7892.78</v>
      </c>
      <c r="H1097" s="3" t="s">
        <v>19</v>
      </c>
      <c r="I1097" s="3" t="n">
        <v>4</v>
      </c>
      <c r="J1097" s="3" t="n">
        <v>2</v>
      </c>
      <c r="K1097" s="3" t="n">
        <v>6</v>
      </c>
      <c r="L1097" s="3" t="n">
        <v>1</v>
      </c>
      <c r="M1097" s="3" t="n">
        <v>0</v>
      </c>
      <c r="N1097" s="3" t="s">
        <v>19</v>
      </c>
    </row>
    <row r="1098" customFormat="false" ht="15" hidden="false" customHeight="false" outlineLevel="0" collapsed="false">
      <c r="A1098" s="3" t="s">
        <v>1128</v>
      </c>
      <c r="B1098" s="3" t="n">
        <v>37</v>
      </c>
      <c r="C1098" s="3" t="s">
        <v>16</v>
      </c>
      <c r="D1098" s="3" t="s">
        <v>17</v>
      </c>
      <c r="E1098" s="3" t="s">
        <v>28</v>
      </c>
      <c r="F1098" s="3" t="n">
        <v>1.1</v>
      </c>
      <c r="G1098" s="3" t="n">
        <v>3075.32</v>
      </c>
      <c r="H1098" s="3" t="s">
        <v>19</v>
      </c>
      <c r="I1098" s="3" t="n">
        <v>1</v>
      </c>
      <c r="J1098" s="3" t="n">
        <v>4</v>
      </c>
      <c r="K1098" s="3" t="n">
        <v>1</v>
      </c>
      <c r="L1098" s="3" t="n">
        <v>1</v>
      </c>
      <c r="M1098" s="3" t="n">
        <v>6</v>
      </c>
      <c r="N1098" s="3" t="s">
        <v>19</v>
      </c>
    </row>
    <row r="1099" customFormat="false" ht="15" hidden="false" customHeight="false" outlineLevel="0" collapsed="false">
      <c r="A1099" s="3" t="s">
        <v>1129</v>
      </c>
      <c r="B1099" s="3" t="n">
        <v>36</v>
      </c>
      <c r="C1099" s="3" t="s">
        <v>22</v>
      </c>
      <c r="D1099" s="3" t="s">
        <v>27</v>
      </c>
      <c r="E1099" s="3" t="s">
        <v>28</v>
      </c>
      <c r="F1099" s="3" t="n">
        <v>1.7</v>
      </c>
      <c r="G1099" s="3" t="n">
        <v>6710.15</v>
      </c>
      <c r="H1099" s="3" t="s">
        <v>19</v>
      </c>
      <c r="I1099" s="3" t="n">
        <v>1</v>
      </c>
      <c r="J1099" s="3" t="n">
        <v>4</v>
      </c>
      <c r="K1099" s="3" t="n">
        <v>10</v>
      </c>
      <c r="L1099" s="3" t="n">
        <v>1</v>
      </c>
      <c r="M1099" s="3" t="n">
        <v>2</v>
      </c>
      <c r="N1099" s="3" t="s">
        <v>19</v>
      </c>
    </row>
    <row r="1100" customFormat="false" ht="15" hidden="false" customHeight="false" outlineLevel="0" collapsed="false">
      <c r="A1100" s="3" t="s">
        <v>1130</v>
      </c>
      <c r="B1100" s="3" t="n">
        <v>33</v>
      </c>
      <c r="C1100" s="3" t="s">
        <v>16</v>
      </c>
      <c r="D1100" s="3" t="s">
        <v>17</v>
      </c>
      <c r="E1100" s="3" t="s">
        <v>41</v>
      </c>
      <c r="F1100" s="3" t="n">
        <v>0.3</v>
      </c>
      <c r="G1100" s="3" t="n">
        <v>3498.78</v>
      </c>
      <c r="H1100" s="3" t="s">
        <v>19</v>
      </c>
      <c r="I1100" s="3" t="n">
        <v>1</v>
      </c>
      <c r="J1100" s="3" t="n">
        <v>4</v>
      </c>
      <c r="K1100" s="3" t="n">
        <v>12</v>
      </c>
      <c r="L1100" s="3" t="n">
        <v>0</v>
      </c>
      <c r="M1100" s="3" t="n">
        <v>1</v>
      </c>
      <c r="N1100" s="3" t="s">
        <v>19</v>
      </c>
    </row>
    <row r="1101" customFormat="false" ht="15" hidden="false" customHeight="false" outlineLevel="0" collapsed="false">
      <c r="A1101" s="3" t="s">
        <v>1131</v>
      </c>
      <c r="B1101" s="3" t="n">
        <v>46</v>
      </c>
      <c r="C1101" s="3" t="s">
        <v>22</v>
      </c>
      <c r="D1101" s="3" t="s">
        <v>17</v>
      </c>
      <c r="E1101" s="3" t="s">
        <v>18</v>
      </c>
      <c r="F1101" s="3" t="n">
        <v>2.1</v>
      </c>
      <c r="G1101" s="3" t="n">
        <v>2928.3</v>
      </c>
      <c r="H1101" s="3" t="s">
        <v>20</v>
      </c>
      <c r="I1101" s="3" t="n">
        <v>2</v>
      </c>
      <c r="J1101" s="3" t="n">
        <v>4</v>
      </c>
      <c r="K1101" s="3" t="n">
        <v>6</v>
      </c>
      <c r="L1101" s="3" t="n">
        <v>0</v>
      </c>
      <c r="M1101" s="3" t="n">
        <v>2</v>
      </c>
      <c r="N1101" s="3" t="s">
        <v>19</v>
      </c>
    </row>
    <row r="1102" customFormat="false" ht="15" hidden="false" customHeight="false" outlineLevel="0" collapsed="false">
      <c r="A1102" s="3" t="s">
        <v>1132</v>
      </c>
      <c r="B1102" s="3" t="n">
        <v>35</v>
      </c>
      <c r="C1102" s="3" t="s">
        <v>22</v>
      </c>
      <c r="D1102" s="3" t="s">
        <v>17</v>
      </c>
      <c r="E1102" s="3" t="s">
        <v>28</v>
      </c>
      <c r="F1102" s="3" t="n">
        <v>6.6</v>
      </c>
      <c r="G1102" s="3" t="n">
        <v>3104.3</v>
      </c>
      <c r="H1102" s="3" t="s">
        <v>19</v>
      </c>
      <c r="I1102" s="3" t="n">
        <v>4</v>
      </c>
      <c r="J1102" s="3" t="n">
        <v>3</v>
      </c>
      <c r="K1102" s="3" t="n">
        <v>1</v>
      </c>
      <c r="L1102" s="3" t="n">
        <v>0</v>
      </c>
      <c r="M1102" s="3" t="n">
        <v>1</v>
      </c>
      <c r="N1102" s="3" t="s">
        <v>19</v>
      </c>
    </row>
    <row r="1103" customFormat="false" ht="15" hidden="false" customHeight="false" outlineLevel="0" collapsed="false">
      <c r="A1103" s="3" t="s">
        <v>1133</v>
      </c>
      <c r="B1103" s="3" t="n">
        <v>28</v>
      </c>
      <c r="C1103" s="3" t="s">
        <v>16</v>
      </c>
      <c r="D1103" s="3" t="s">
        <v>23</v>
      </c>
      <c r="E1103" s="3" t="s">
        <v>18</v>
      </c>
      <c r="F1103" s="3" t="n">
        <v>7</v>
      </c>
      <c r="G1103" s="3" t="n">
        <v>4276.58</v>
      </c>
      <c r="H1103" s="3" t="s">
        <v>19</v>
      </c>
      <c r="I1103" s="3" t="n">
        <v>4</v>
      </c>
      <c r="J1103" s="3" t="n">
        <v>1</v>
      </c>
      <c r="K1103" s="3" t="n">
        <v>7</v>
      </c>
      <c r="L1103" s="3" t="n">
        <v>2</v>
      </c>
      <c r="M1103" s="3" t="n">
        <v>2</v>
      </c>
      <c r="N1103" s="3" t="s">
        <v>19</v>
      </c>
    </row>
    <row r="1104" customFormat="false" ht="15" hidden="false" customHeight="false" outlineLevel="0" collapsed="false">
      <c r="A1104" s="3" t="s">
        <v>1134</v>
      </c>
      <c r="B1104" s="3" t="n">
        <v>37</v>
      </c>
      <c r="C1104" s="3" t="s">
        <v>22</v>
      </c>
      <c r="D1104" s="3" t="s">
        <v>23</v>
      </c>
      <c r="E1104" s="3" t="s">
        <v>28</v>
      </c>
      <c r="F1104" s="3" t="n">
        <v>7.2</v>
      </c>
      <c r="G1104" s="3" t="n">
        <v>4520.2</v>
      </c>
      <c r="H1104" s="3" t="s">
        <v>20</v>
      </c>
      <c r="I1104" s="3" t="n">
        <v>2</v>
      </c>
      <c r="J1104" s="3" t="n">
        <v>2</v>
      </c>
      <c r="K1104" s="3" t="n">
        <v>7</v>
      </c>
      <c r="L1104" s="3" t="n">
        <v>2</v>
      </c>
      <c r="M1104" s="3" t="n">
        <v>0</v>
      </c>
      <c r="N1104" s="3" t="s">
        <v>19</v>
      </c>
    </row>
    <row r="1105" customFormat="false" ht="15" hidden="false" customHeight="false" outlineLevel="0" collapsed="false">
      <c r="A1105" s="3" t="s">
        <v>1135</v>
      </c>
      <c r="B1105" s="3" t="n">
        <v>36</v>
      </c>
      <c r="C1105" s="3" t="s">
        <v>24</v>
      </c>
      <c r="D1105" s="3" t="s">
        <v>48</v>
      </c>
      <c r="E1105" s="3" t="s">
        <v>18</v>
      </c>
      <c r="F1105" s="3" t="n">
        <v>5</v>
      </c>
      <c r="G1105" s="3" t="n">
        <v>11244.08</v>
      </c>
      <c r="H1105" s="3" t="s">
        <v>19</v>
      </c>
      <c r="I1105" s="3" t="n">
        <v>4</v>
      </c>
      <c r="J1105" s="3" t="n">
        <v>3</v>
      </c>
      <c r="K1105" s="3" t="n">
        <v>10</v>
      </c>
      <c r="L1105" s="3" t="n">
        <v>1</v>
      </c>
      <c r="M1105" s="3" t="n">
        <v>0</v>
      </c>
      <c r="N1105" s="3" t="s">
        <v>19</v>
      </c>
    </row>
    <row r="1106" customFormat="false" ht="15" hidden="false" customHeight="false" outlineLevel="0" collapsed="false">
      <c r="A1106" s="3" t="s">
        <v>1136</v>
      </c>
      <c r="B1106" s="3" t="n">
        <v>37</v>
      </c>
      <c r="C1106" s="3" t="s">
        <v>16</v>
      </c>
      <c r="D1106" s="3" t="s">
        <v>17</v>
      </c>
      <c r="E1106" s="3" t="s">
        <v>41</v>
      </c>
      <c r="F1106" s="3" t="n">
        <v>3</v>
      </c>
      <c r="G1106" s="3" t="n">
        <v>3654.3</v>
      </c>
      <c r="H1106" s="3" t="s">
        <v>20</v>
      </c>
      <c r="I1106" s="3" t="n">
        <v>4</v>
      </c>
      <c r="J1106" s="3" t="n">
        <v>1</v>
      </c>
      <c r="K1106" s="3" t="n">
        <v>32</v>
      </c>
      <c r="L1106" s="3" t="n">
        <v>1</v>
      </c>
      <c r="M1106" s="3" t="n">
        <v>1</v>
      </c>
      <c r="N1106" s="3" t="s">
        <v>20</v>
      </c>
    </row>
    <row r="1107" customFormat="false" ht="15" hidden="false" customHeight="false" outlineLevel="0" collapsed="false">
      <c r="A1107" s="3" t="s">
        <v>1137</v>
      </c>
      <c r="B1107" s="3" t="n">
        <v>26</v>
      </c>
      <c r="C1107" s="3" t="s">
        <v>24</v>
      </c>
      <c r="D1107" s="3" t="s">
        <v>27</v>
      </c>
      <c r="E1107" s="3" t="s">
        <v>28</v>
      </c>
      <c r="F1107" s="3" t="n">
        <v>5</v>
      </c>
      <c r="G1107" s="3" t="n">
        <v>8113.47</v>
      </c>
      <c r="H1107" s="3" t="s">
        <v>20</v>
      </c>
      <c r="I1107" s="3" t="n">
        <v>3</v>
      </c>
      <c r="J1107" s="3" t="n">
        <v>2</v>
      </c>
      <c r="K1107" s="3" t="n">
        <v>1</v>
      </c>
      <c r="L1107" s="3" t="n">
        <v>0</v>
      </c>
      <c r="M1107" s="3" t="n">
        <v>2</v>
      </c>
      <c r="N1107" s="3" t="s">
        <v>20</v>
      </c>
    </row>
    <row r="1108" customFormat="false" ht="15" hidden="false" customHeight="false" outlineLevel="0" collapsed="false">
      <c r="A1108" s="3" t="s">
        <v>1138</v>
      </c>
      <c r="B1108" s="3" t="n">
        <v>34</v>
      </c>
      <c r="C1108" s="3" t="s">
        <v>26</v>
      </c>
      <c r="D1108" s="3" t="s">
        <v>27</v>
      </c>
      <c r="E1108" s="3" t="s">
        <v>18</v>
      </c>
      <c r="F1108" s="3" t="n">
        <v>1.1</v>
      </c>
      <c r="G1108" s="3" t="n">
        <v>6251</v>
      </c>
      <c r="H1108" s="3" t="s">
        <v>20</v>
      </c>
      <c r="I1108" s="3" t="n">
        <v>3</v>
      </c>
      <c r="J1108" s="3" t="n">
        <v>1</v>
      </c>
      <c r="K1108" s="3" t="n">
        <v>8</v>
      </c>
      <c r="L1108" s="3" t="n">
        <v>1</v>
      </c>
      <c r="M1108" s="3" t="n">
        <v>0</v>
      </c>
      <c r="N1108" s="3" t="s">
        <v>20</v>
      </c>
    </row>
    <row r="1109" customFormat="false" ht="15" hidden="false" customHeight="false" outlineLevel="0" collapsed="false">
      <c r="A1109" s="3" t="s">
        <v>1139</v>
      </c>
      <c r="B1109" s="3" t="n">
        <v>25</v>
      </c>
      <c r="C1109" s="3" t="s">
        <v>22</v>
      </c>
      <c r="D1109" s="3" t="s">
        <v>23</v>
      </c>
      <c r="E1109" s="3" t="s">
        <v>28</v>
      </c>
      <c r="F1109" s="3" t="n">
        <v>0.3</v>
      </c>
      <c r="G1109" s="3" t="n">
        <v>4459.06</v>
      </c>
      <c r="H1109" s="3" t="s">
        <v>19</v>
      </c>
      <c r="I1109" s="3" t="n">
        <v>3</v>
      </c>
      <c r="J1109" s="3" t="n">
        <v>2</v>
      </c>
      <c r="K1109" s="3" t="n">
        <v>11</v>
      </c>
      <c r="L1109" s="3" t="n">
        <v>0</v>
      </c>
      <c r="M1109" s="3" t="n">
        <v>4</v>
      </c>
      <c r="N1109" s="3" t="s">
        <v>19</v>
      </c>
    </row>
    <row r="1110" customFormat="false" ht="15" hidden="false" customHeight="false" outlineLevel="0" collapsed="false">
      <c r="A1110" s="3" t="s">
        <v>1140</v>
      </c>
      <c r="B1110" s="3" t="n">
        <v>26</v>
      </c>
      <c r="C1110" s="3" t="s">
        <v>26</v>
      </c>
      <c r="D1110" s="3" t="s">
        <v>17</v>
      </c>
      <c r="E1110" s="3" t="s">
        <v>18</v>
      </c>
      <c r="F1110" s="3" t="n">
        <v>5</v>
      </c>
      <c r="G1110" s="3" t="n">
        <v>2917.49</v>
      </c>
      <c r="H1110" s="3" t="s">
        <v>20</v>
      </c>
      <c r="I1110" s="3" t="n">
        <v>3</v>
      </c>
      <c r="J1110" s="3" t="n">
        <v>4</v>
      </c>
      <c r="K1110" s="3" t="n">
        <v>1</v>
      </c>
      <c r="L1110" s="3" t="n">
        <v>5</v>
      </c>
      <c r="M1110" s="3" t="n">
        <v>1</v>
      </c>
      <c r="N1110" s="3" t="s">
        <v>19</v>
      </c>
    </row>
    <row r="1111" customFormat="false" ht="15" hidden="false" customHeight="false" outlineLevel="0" collapsed="false">
      <c r="A1111" s="3" t="s">
        <v>1141</v>
      </c>
      <c r="B1111" s="3" t="n">
        <v>44</v>
      </c>
      <c r="C1111" s="3" t="s">
        <v>24</v>
      </c>
      <c r="D1111" s="3" t="s">
        <v>17</v>
      </c>
      <c r="E1111" s="3" t="s">
        <v>28</v>
      </c>
      <c r="F1111" s="3" t="n">
        <v>7.9</v>
      </c>
      <c r="G1111" s="3" t="n">
        <v>2811.51</v>
      </c>
      <c r="H1111" s="3" t="s">
        <v>19</v>
      </c>
      <c r="I1111" s="3" t="n">
        <v>4</v>
      </c>
      <c r="J1111" s="3" t="n">
        <v>1</v>
      </c>
      <c r="K1111" s="3" t="n">
        <v>18</v>
      </c>
      <c r="L1111" s="3" t="n">
        <v>0</v>
      </c>
      <c r="M1111" s="3" t="n">
        <v>1</v>
      </c>
      <c r="N1111" s="3" t="s">
        <v>19</v>
      </c>
    </row>
    <row r="1112" customFormat="false" ht="15" hidden="false" customHeight="false" outlineLevel="0" collapsed="false">
      <c r="A1112" s="3" t="s">
        <v>1142</v>
      </c>
      <c r="B1112" s="3" t="n">
        <v>45</v>
      </c>
      <c r="C1112" s="3" t="s">
        <v>26</v>
      </c>
      <c r="D1112" s="3" t="s">
        <v>17</v>
      </c>
      <c r="E1112" s="3" t="s">
        <v>24</v>
      </c>
      <c r="F1112" s="3" t="n">
        <v>2.3</v>
      </c>
      <c r="G1112" s="3" t="n">
        <v>3621.43</v>
      </c>
      <c r="H1112" s="3" t="s">
        <v>20</v>
      </c>
      <c r="I1112" s="3" t="n">
        <v>1</v>
      </c>
      <c r="J1112" s="3" t="n">
        <v>2</v>
      </c>
      <c r="K1112" s="3" t="n">
        <v>6</v>
      </c>
      <c r="L1112" s="3" t="n">
        <v>0</v>
      </c>
      <c r="M1112" s="3" t="n">
        <v>2</v>
      </c>
      <c r="N1112" s="3" t="s">
        <v>20</v>
      </c>
    </row>
    <row r="1113" customFormat="false" ht="15" hidden="false" customHeight="false" outlineLevel="0" collapsed="false">
      <c r="A1113" s="3" t="s">
        <v>1143</v>
      </c>
      <c r="B1113" s="3" t="n">
        <v>40</v>
      </c>
      <c r="C1113" s="3" t="s">
        <v>16</v>
      </c>
      <c r="D1113" s="3" t="s">
        <v>23</v>
      </c>
      <c r="E1113" s="3" t="s">
        <v>24</v>
      </c>
      <c r="F1113" s="3" t="n">
        <v>4.9</v>
      </c>
      <c r="G1113" s="3" t="n">
        <v>4993.21</v>
      </c>
      <c r="H1113" s="3" t="s">
        <v>19</v>
      </c>
      <c r="I1113" s="3" t="n">
        <v>3</v>
      </c>
      <c r="J1113" s="3" t="n">
        <v>3</v>
      </c>
      <c r="K1113" s="3" t="n">
        <v>17</v>
      </c>
      <c r="L1113" s="3" t="n">
        <v>2</v>
      </c>
      <c r="M1113" s="3" t="n">
        <v>2</v>
      </c>
      <c r="N1113" s="3" t="s">
        <v>19</v>
      </c>
    </row>
    <row r="1114" customFormat="false" ht="15" hidden="false" customHeight="false" outlineLevel="0" collapsed="false">
      <c r="A1114" s="3" t="s">
        <v>1144</v>
      </c>
      <c r="B1114" s="3" t="n">
        <v>30</v>
      </c>
      <c r="C1114" s="3" t="s">
        <v>45</v>
      </c>
      <c r="D1114" s="3" t="s">
        <v>17</v>
      </c>
      <c r="E1114" s="3" t="s">
        <v>24</v>
      </c>
      <c r="F1114" s="3" t="n">
        <v>2.9</v>
      </c>
      <c r="G1114" s="3" t="n">
        <v>2907.59</v>
      </c>
      <c r="H1114" s="3" t="s">
        <v>19</v>
      </c>
      <c r="I1114" s="3" t="n">
        <v>1</v>
      </c>
      <c r="J1114" s="3" t="n">
        <v>1</v>
      </c>
      <c r="K1114" s="3" t="n">
        <v>13</v>
      </c>
      <c r="L1114" s="3" t="n">
        <v>0</v>
      </c>
      <c r="M1114" s="3" t="n">
        <v>0</v>
      </c>
      <c r="N1114" s="3" t="s">
        <v>19</v>
      </c>
    </row>
    <row r="1115" customFormat="false" ht="15" hidden="false" customHeight="false" outlineLevel="0" collapsed="false">
      <c r="A1115" s="3" t="s">
        <v>1145</v>
      </c>
      <c r="B1115" s="3" t="n">
        <v>27</v>
      </c>
      <c r="C1115" s="3" t="s">
        <v>32</v>
      </c>
      <c r="D1115" s="3" t="s">
        <v>27</v>
      </c>
      <c r="E1115" s="3" t="s">
        <v>41</v>
      </c>
      <c r="F1115" s="3" t="n">
        <v>6</v>
      </c>
      <c r="G1115" s="3" t="n">
        <v>7999.91</v>
      </c>
      <c r="H1115" s="3" t="s">
        <v>20</v>
      </c>
      <c r="I1115" s="3" t="n">
        <v>4</v>
      </c>
      <c r="J1115" s="3" t="n">
        <v>1</v>
      </c>
      <c r="K1115" s="3" t="n">
        <v>17</v>
      </c>
      <c r="L1115" s="3" t="n">
        <v>1</v>
      </c>
      <c r="M1115" s="3" t="n">
        <v>1</v>
      </c>
      <c r="N1115" s="3" t="s">
        <v>19</v>
      </c>
    </row>
    <row r="1116" customFormat="false" ht="15" hidden="false" customHeight="false" outlineLevel="0" collapsed="false">
      <c r="A1116" s="3" t="s">
        <v>1146</v>
      </c>
      <c r="B1116" s="3" t="n">
        <v>32</v>
      </c>
      <c r="C1116" s="3" t="s">
        <v>22</v>
      </c>
      <c r="D1116" s="3" t="s">
        <v>23</v>
      </c>
      <c r="E1116" s="3" t="s">
        <v>28</v>
      </c>
      <c r="F1116" s="3" t="n">
        <v>5.7</v>
      </c>
      <c r="G1116" s="3" t="n">
        <v>4980.11</v>
      </c>
      <c r="H1116" s="3" t="s">
        <v>19</v>
      </c>
      <c r="I1116" s="3" t="n">
        <v>2</v>
      </c>
      <c r="J1116" s="3" t="n">
        <v>4</v>
      </c>
      <c r="K1116" s="3" t="n">
        <v>5</v>
      </c>
      <c r="L1116" s="3" t="n">
        <v>1</v>
      </c>
      <c r="M1116" s="3" t="n">
        <v>0</v>
      </c>
      <c r="N1116" s="3" t="s">
        <v>19</v>
      </c>
    </row>
    <row r="1117" customFormat="false" ht="15" hidden="false" customHeight="false" outlineLevel="0" collapsed="false">
      <c r="A1117" s="3" t="s">
        <v>1147</v>
      </c>
      <c r="B1117" s="3" t="n">
        <v>31</v>
      </c>
      <c r="C1117" s="3" t="s">
        <v>26</v>
      </c>
      <c r="D1117" s="3" t="s">
        <v>23</v>
      </c>
      <c r="E1117" s="3" t="s">
        <v>18</v>
      </c>
      <c r="F1117" s="3" t="n">
        <v>7.7</v>
      </c>
      <c r="G1117" s="3" t="n">
        <v>4204.67</v>
      </c>
      <c r="H1117" s="3" t="s">
        <v>20</v>
      </c>
      <c r="I1117" s="3" t="n">
        <v>2</v>
      </c>
      <c r="J1117" s="3" t="n">
        <v>2</v>
      </c>
      <c r="K1117" s="3" t="n">
        <v>3</v>
      </c>
      <c r="L1117" s="3" t="n">
        <v>1</v>
      </c>
      <c r="M1117" s="3" t="n">
        <v>1</v>
      </c>
      <c r="N1117" s="3" t="s">
        <v>20</v>
      </c>
    </row>
    <row r="1118" customFormat="false" ht="15" hidden="false" customHeight="false" outlineLevel="0" collapsed="false">
      <c r="A1118" s="3" t="s">
        <v>1148</v>
      </c>
      <c r="B1118" s="3" t="n">
        <v>40</v>
      </c>
      <c r="C1118" s="3" t="s">
        <v>22</v>
      </c>
      <c r="D1118" s="3" t="s">
        <v>23</v>
      </c>
      <c r="E1118" s="3" t="s">
        <v>41</v>
      </c>
      <c r="F1118" s="3" t="n">
        <v>0.3</v>
      </c>
      <c r="G1118" s="3" t="n">
        <v>5245.69</v>
      </c>
      <c r="H1118" s="3" t="s">
        <v>19</v>
      </c>
      <c r="I1118" s="3" t="n">
        <v>3</v>
      </c>
      <c r="J1118" s="3" t="n">
        <v>2</v>
      </c>
      <c r="K1118" s="3" t="n">
        <v>1</v>
      </c>
      <c r="L1118" s="3" t="n">
        <v>0</v>
      </c>
      <c r="M1118" s="3" t="n">
        <v>1</v>
      </c>
      <c r="N1118" s="3" t="s">
        <v>19</v>
      </c>
    </row>
    <row r="1119" customFormat="false" ht="15" hidden="false" customHeight="false" outlineLevel="0" collapsed="false">
      <c r="A1119" s="3" t="s">
        <v>1149</v>
      </c>
      <c r="B1119" s="3" t="n">
        <v>37</v>
      </c>
      <c r="C1119" s="3" t="s">
        <v>26</v>
      </c>
      <c r="D1119" s="3" t="s">
        <v>17</v>
      </c>
      <c r="E1119" s="3" t="s">
        <v>24</v>
      </c>
      <c r="F1119" s="3" t="n">
        <v>0.2</v>
      </c>
      <c r="G1119" s="3" t="n">
        <v>3053.03</v>
      </c>
      <c r="H1119" s="3" t="s">
        <v>20</v>
      </c>
      <c r="I1119" s="3" t="n">
        <v>1</v>
      </c>
      <c r="J1119" s="3" t="n">
        <v>4</v>
      </c>
      <c r="K1119" s="3" t="n">
        <v>1</v>
      </c>
      <c r="L1119" s="3" t="n">
        <v>0</v>
      </c>
      <c r="M1119" s="3" t="n">
        <v>1</v>
      </c>
      <c r="N1119" s="3" t="s">
        <v>19</v>
      </c>
    </row>
    <row r="1120" customFormat="false" ht="15" hidden="false" customHeight="false" outlineLevel="0" collapsed="false">
      <c r="A1120" s="3" t="s">
        <v>1150</v>
      </c>
      <c r="B1120" s="3" t="n">
        <v>47</v>
      </c>
      <c r="C1120" s="3" t="s">
        <v>22</v>
      </c>
      <c r="D1120" s="3" t="s">
        <v>27</v>
      </c>
      <c r="E1120" s="3" t="s">
        <v>28</v>
      </c>
      <c r="F1120" s="3" t="n">
        <v>4.2</v>
      </c>
      <c r="G1120" s="3" t="n">
        <v>6516.61</v>
      </c>
      <c r="H1120" s="3" t="s">
        <v>19</v>
      </c>
      <c r="I1120" s="3" t="n">
        <v>3</v>
      </c>
      <c r="J1120" s="3" t="n">
        <v>3</v>
      </c>
      <c r="K1120" s="3" t="n">
        <v>3</v>
      </c>
      <c r="L1120" s="3" t="n">
        <v>0</v>
      </c>
      <c r="M1120" s="3" t="n">
        <v>4</v>
      </c>
      <c r="N1120" s="3" t="s">
        <v>19</v>
      </c>
    </row>
    <row r="1121" customFormat="false" ht="15" hidden="false" customHeight="false" outlineLevel="0" collapsed="false">
      <c r="A1121" s="3" t="s">
        <v>1151</v>
      </c>
      <c r="B1121" s="3" t="n">
        <v>30</v>
      </c>
      <c r="C1121" s="3" t="s">
        <v>16</v>
      </c>
      <c r="D1121" s="3" t="s">
        <v>23</v>
      </c>
      <c r="E1121" s="3" t="s">
        <v>18</v>
      </c>
      <c r="F1121" s="3" t="n">
        <v>1.8</v>
      </c>
      <c r="G1121" s="3" t="n">
        <v>4164.58</v>
      </c>
      <c r="H1121" s="3" t="s">
        <v>19</v>
      </c>
      <c r="I1121" s="3" t="n">
        <v>2</v>
      </c>
      <c r="J1121" s="3" t="n">
        <v>3</v>
      </c>
      <c r="K1121" s="3" t="n">
        <v>1</v>
      </c>
      <c r="L1121" s="3" t="n">
        <v>1</v>
      </c>
      <c r="M1121" s="3" t="n">
        <v>3</v>
      </c>
      <c r="N1121" s="3" t="s">
        <v>19</v>
      </c>
    </row>
    <row r="1122" customFormat="false" ht="15" hidden="false" customHeight="false" outlineLevel="0" collapsed="false">
      <c r="A1122" s="3" t="s">
        <v>1152</v>
      </c>
      <c r="B1122" s="3" t="n">
        <v>37</v>
      </c>
      <c r="C1122" s="3" t="s">
        <v>16</v>
      </c>
      <c r="D1122" s="3" t="s">
        <v>27</v>
      </c>
      <c r="E1122" s="3" t="s">
        <v>41</v>
      </c>
      <c r="F1122" s="3" t="n">
        <v>13</v>
      </c>
      <c r="G1122" s="3" t="n">
        <v>8150.35</v>
      </c>
      <c r="H1122" s="3" t="s">
        <v>19</v>
      </c>
      <c r="I1122" s="3" t="n">
        <v>4</v>
      </c>
      <c r="J1122" s="3" t="n">
        <v>3</v>
      </c>
      <c r="K1122" s="3" t="n">
        <v>2</v>
      </c>
      <c r="L1122" s="3" t="n">
        <v>0</v>
      </c>
      <c r="M1122" s="3" t="n">
        <v>2</v>
      </c>
      <c r="N1122" s="3" t="s">
        <v>19</v>
      </c>
    </row>
    <row r="1123" customFormat="false" ht="15" hidden="false" customHeight="false" outlineLevel="0" collapsed="false">
      <c r="A1123" s="3" t="s">
        <v>1153</v>
      </c>
      <c r="B1123" s="3" t="n">
        <v>29</v>
      </c>
      <c r="C1123" s="3" t="s">
        <v>16</v>
      </c>
      <c r="D1123" s="3" t="s">
        <v>17</v>
      </c>
      <c r="E1123" s="3" t="s">
        <v>18</v>
      </c>
      <c r="F1123" s="3" t="n">
        <v>0.8</v>
      </c>
      <c r="G1123" s="3" t="n">
        <v>3421.87</v>
      </c>
      <c r="H1123" s="3" t="s">
        <v>19</v>
      </c>
      <c r="I1123" s="3" t="n">
        <v>4</v>
      </c>
      <c r="J1123" s="3" t="n">
        <v>4</v>
      </c>
      <c r="K1123" s="3" t="n">
        <v>3</v>
      </c>
      <c r="L1123" s="3" t="n">
        <v>0</v>
      </c>
      <c r="M1123" s="3" t="n">
        <v>2</v>
      </c>
      <c r="N1123" s="3" t="s">
        <v>19</v>
      </c>
    </row>
    <row r="1124" customFormat="false" ht="15" hidden="false" customHeight="false" outlineLevel="0" collapsed="false">
      <c r="A1124" s="3" t="s">
        <v>1154</v>
      </c>
      <c r="B1124" s="3" t="n">
        <v>36</v>
      </c>
      <c r="C1124" s="3" t="s">
        <v>24</v>
      </c>
      <c r="D1124" s="3" t="s">
        <v>17</v>
      </c>
      <c r="E1124" s="3" t="s">
        <v>41</v>
      </c>
      <c r="F1124" s="3" t="n">
        <v>6.4</v>
      </c>
      <c r="G1124" s="3" t="n">
        <v>3336.96</v>
      </c>
      <c r="H1124" s="3" t="s">
        <v>19</v>
      </c>
      <c r="I1124" s="3" t="n">
        <v>1</v>
      </c>
      <c r="J1124" s="3" t="n">
        <v>2</v>
      </c>
      <c r="K1124" s="3" t="n">
        <v>1</v>
      </c>
      <c r="L1124" s="3" t="n">
        <v>3</v>
      </c>
      <c r="M1124" s="3" t="n">
        <v>2</v>
      </c>
      <c r="N1124" s="3" t="s">
        <v>20</v>
      </c>
    </row>
    <row r="1125" customFormat="false" ht="15" hidden="false" customHeight="false" outlineLevel="0" collapsed="false">
      <c r="A1125" s="3" t="s">
        <v>1155</v>
      </c>
      <c r="B1125" s="3" t="n">
        <v>37</v>
      </c>
      <c r="C1125" s="3" t="s">
        <v>16</v>
      </c>
      <c r="D1125" s="3" t="s">
        <v>23</v>
      </c>
      <c r="E1125" s="3" t="s">
        <v>24</v>
      </c>
      <c r="F1125" s="3" t="n">
        <v>0.6</v>
      </c>
      <c r="G1125" s="3" t="n">
        <v>4205.06</v>
      </c>
      <c r="H1125" s="3" t="s">
        <v>19</v>
      </c>
      <c r="I1125" s="3" t="n">
        <v>2</v>
      </c>
      <c r="J1125" s="3" t="n">
        <v>2</v>
      </c>
      <c r="K1125" s="3" t="n">
        <v>26</v>
      </c>
      <c r="L1125" s="3" t="n">
        <v>0</v>
      </c>
      <c r="M1125" s="3" t="n">
        <v>3</v>
      </c>
      <c r="N1125" s="3" t="s">
        <v>20</v>
      </c>
    </row>
    <row r="1126" customFormat="false" ht="15" hidden="false" customHeight="false" outlineLevel="0" collapsed="false">
      <c r="A1126" s="3" t="s">
        <v>1156</v>
      </c>
      <c r="B1126" s="3" t="n">
        <v>31</v>
      </c>
      <c r="C1126" s="3" t="s">
        <v>16</v>
      </c>
      <c r="D1126" s="3" t="s">
        <v>17</v>
      </c>
      <c r="E1126" s="3" t="s">
        <v>18</v>
      </c>
      <c r="F1126" s="3" t="n">
        <v>0.1</v>
      </c>
      <c r="G1126" s="3" t="n">
        <v>2873.56</v>
      </c>
      <c r="H1126" s="3" t="s">
        <v>20</v>
      </c>
      <c r="I1126" s="3" t="n">
        <v>3</v>
      </c>
      <c r="J1126" s="3" t="n">
        <v>2</v>
      </c>
      <c r="K1126" s="3" t="n">
        <v>6</v>
      </c>
      <c r="L1126" s="3" t="n">
        <v>0</v>
      </c>
      <c r="M1126" s="3" t="n">
        <v>3</v>
      </c>
      <c r="N1126" s="3" t="s">
        <v>19</v>
      </c>
    </row>
    <row r="1127" customFormat="false" ht="15" hidden="false" customHeight="false" outlineLevel="0" collapsed="false">
      <c r="A1127" s="3" t="s">
        <v>1157</v>
      </c>
      <c r="B1127" s="3" t="n">
        <v>26</v>
      </c>
      <c r="C1127" s="3" t="s">
        <v>26</v>
      </c>
      <c r="D1127" s="3" t="s">
        <v>23</v>
      </c>
      <c r="E1127" s="3" t="s">
        <v>28</v>
      </c>
      <c r="F1127" s="3" t="n">
        <v>5</v>
      </c>
      <c r="G1127" s="3" t="n">
        <v>5112.91</v>
      </c>
      <c r="H1127" s="3" t="s">
        <v>19</v>
      </c>
      <c r="I1127" s="3" t="n">
        <v>3</v>
      </c>
      <c r="J1127" s="3" t="n">
        <v>1</v>
      </c>
      <c r="K1127" s="3" t="n">
        <v>1</v>
      </c>
      <c r="L1127" s="3" t="n">
        <v>0</v>
      </c>
      <c r="M1127" s="3" t="n">
        <v>1</v>
      </c>
      <c r="N1127" s="3" t="s">
        <v>20</v>
      </c>
    </row>
    <row r="1128" customFormat="false" ht="15" hidden="false" customHeight="false" outlineLevel="0" collapsed="false">
      <c r="A1128" s="3" t="s">
        <v>1158</v>
      </c>
      <c r="B1128" s="3" t="n">
        <v>41</v>
      </c>
      <c r="C1128" s="3" t="s">
        <v>16</v>
      </c>
      <c r="D1128" s="3" t="s">
        <v>23</v>
      </c>
      <c r="E1128" s="3" t="s">
        <v>28</v>
      </c>
      <c r="F1128" s="3" t="n">
        <v>7.4</v>
      </c>
      <c r="G1128" s="3" t="n">
        <v>4254.18</v>
      </c>
      <c r="H1128" s="3" t="s">
        <v>19</v>
      </c>
      <c r="I1128" s="3" t="n">
        <v>1</v>
      </c>
      <c r="J1128" s="3" t="n">
        <v>3</v>
      </c>
      <c r="K1128" s="3" t="n">
        <v>7</v>
      </c>
      <c r="L1128" s="3" t="n">
        <v>0</v>
      </c>
      <c r="M1128" s="3" t="n">
        <v>4</v>
      </c>
      <c r="N1128" s="3" t="s">
        <v>19</v>
      </c>
    </row>
    <row r="1129" customFormat="false" ht="15" hidden="false" customHeight="false" outlineLevel="0" collapsed="false">
      <c r="A1129" s="3" t="s">
        <v>1159</v>
      </c>
      <c r="B1129" s="3" t="n">
        <v>41</v>
      </c>
      <c r="C1129" s="3" t="s">
        <v>24</v>
      </c>
      <c r="D1129" s="3" t="s">
        <v>27</v>
      </c>
      <c r="E1129" s="3" t="s">
        <v>28</v>
      </c>
      <c r="F1129" s="3" t="n">
        <v>2.3</v>
      </c>
      <c r="G1129" s="3" t="n">
        <v>6817.04</v>
      </c>
      <c r="H1129" s="3" t="s">
        <v>20</v>
      </c>
      <c r="I1129" s="3" t="n">
        <v>2</v>
      </c>
      <c r="J1129" s="3" t="n">
        <v>3</v>
      </c>
      <c r="K1129" s="3" t="n">
        <v>4</v>
      </c>
      <c r="L1129" s="3" t="n">
        <v>1</v>
      </c>
      <c r="M1129" s="3" t="n">
        <v>3</v>
      </c>
      <c r="N1129" s="3" t="s">
        <v>20</v>
      </c>
    </row>
    <row r="1130" customFormat="false" ht="15" hidden="false" customHeight="false" outlineLevel="0" collapsed="false">
      <c r="A1130" s="3" t="s">
        <v>1160</v>
      </c>
      <c r="B1130" s="3" t="n">
        <v>33</v>
      </c>
      <c r="C1130" s="3" t="s">
        <v>24</v>
      </c>
      <c r="D1130" s="3" t="s">
        <v>17</v>
      </c>
      <c r="E1130" s="3" t="s">
        <v>18</v>
      </c>
      <c r="F1130" s="3" t="n">
        <v>0.6</v>
      </c>
      <c r="G1130" s="3" t="n">
        <v>3274.89</v>
      </c>
      <c r="H1130" s="3" t="s">
        <v>19</v>
      </c>
      <c r="I1130" s="3" t="n">
        <v>4</v>
      </c>
      <c r="J1130" s="3" t="n">
        <v>3</v>
      </c>
      <c r="K1130" s="3" t="n">
        <v>4</v>
      </c>
      <c r="L1130" s="3" t="n">
        <v>0</v>
      </c>
      <c r="M1130" s="3" t="n">
        <v>3</v>
      </c>
      <c r="N1130" s="3" t="s">
        <v>19</v>
      </c>
    </row>
    <row r="1131" customFormat="false" ht="15" hidden="false" customHeight="false" outlineLevel="0" collapsed="false">
      <c r="A1131" s="3" t="s">
        <v>1161</v>
      </c>
      <c r="B1131" s="3" t="n">
        <v>35</v>
      </c>
      <c r="C1131" s="3" t="s">
        <v>26</v>
      </c>
      <c r="D1131" s="3" t="s">
        <v>27</v>
      </c>
      <c r="E1131" s="3" t="s">
        <v>28</v>
      </c>
      <c r="F1131" s="3" t="n">
        <v>2.2</v>
      </c>
      <c r="G1131" s="3" t="n">
        <v>6729.7</v>
      </c>
      <c r="H1131" s="3" t="s">
        <v>20</v>
      </c>
      <c r="I1131" s="3" t="n">
        <v>3</v>
      </c>
      <c r="J1131" s="3" t="n">
        <v>3</v>
      </c>
      <c r="K1131" s="3" t="n">
        <v>1</v>
      </c>
      <c r="L1131" s="3" t="n">
        <v>0</v>
      </c>
      <c r="M1131" s="3" t="n">
        <v>2</v>
      </c>
      <c r="N1131" s="3" t="s">
        <v>19</v>
      </c>
    </row>
    <row r="1132" customFormat="false" ht="15" hidden="false" customHeight="false" outlineLevel="0" collapsed="false">
      <c r="A1132" s="3" t="s">
        <v>1162</v>
      </c>
      <c r="B1132" s="3" t="n">
        <v>31</v>
      </c>
      <c r="C1132" s="3" t="s">
        <v>45</v>
      </c>
      <c r="D1132" s="3" t="s">
        <v>17</v>
      </c>
      <c r="E1132" s="3" t="s">
        <v>28</v>
      </c>
      <c r="F1132" s="3" t="n">
        <v>10</v>
      </c>
      <c r="G1132" s="3" t="n">
        <v>3457.2</v>
      </c>
      <c r="H1132" s="3" t="s">
        <v>19</v>
      </c>
      <c r="I1132" s="3" t="n">
        <v>4</v>
      </c>
      <c r="J1132" s="3" t="n">
        <v>2</v>
      </c>
      <c r="K1132" s="3" t="n">
        <v>1</v>
      </c>
      <c r="L1132" s="3" t="n">
        <v>4</v>
      </c>
      <c r="M1132" s="3" t="n">
        <v>1</v>
      </c>
      <c r="N1132" s="3" t="s">
        <v>20</v>
      </c>
    </row>
    <row r="1133" customFormat="false" ht="15" hidden="false" customHeight="false" outlineLevel="0" collapsed="false">
      <c r="A1133" s="3" t="s">
        <v>1163</v>
      </c>
      <c r="B1133" s="3" t="n">
        <v>37</v>
      </c>
      <c r="C1133" s="3" t="s">
        <v>22</v>
      </c>
      <c r="D1133" s="3" t="s">
        <v>17</v>
      </c>
      <c r="E1133" s="3" t="s">
        <v>18</v>
      </c>
      <c r="F1133" s="3" t="n">
        <v>3.2</v>
      </c>
      <c r="G1133" s="3" t="n">
        <v>3107.22</v>
      </c>
      <c r="H1133" s="3" t="s">
        <v>19</v>
      </c>
      <c r="I1133" s="3" t="n">
        <v>4</v>
      </c>
      <c r="J1133" s="3" t="n">
        <v>2</v>
      </c>
      <c r="K1133" s="3" t="n">
        <v>17</v>
      </c>
      <c r="L1133" s="3" t="n">
        <v>1</v>
      </c>
      <c r="M1133" s="3" t="n">
        <v>2</v>
      </c>
      <c r="N1133" s="3" t="s">
        <v>19</v>
      </c>
    </row>
    <row r="1134" customFormat="false" ht="15" hidden="false" customHeight="false" outlineLevel="0" collapsed="false">
      <c r="A1134" s="3" t="s">
        <v>1164</v>
      </c>
      <c r="B1134" s="3" t="n">
        <v>21</v>
      </c>
      <c r="C1134" s="3" t="s">
        <v>16</v>
      </c>
      <c r="D1134" s="3" t="s">
        <v>23</v>
      </c>
      <c r="E1134" s="3" t="s">
        <v>18</v>
      </c>
      <c r="F1134" s="3" t="n">
        <v>0</v>
      </c>
      <c r="G1134" s="3" t="n">
        <v>4943.83</v>
      </c>
      <c r="H1134" s="3" t="s">
        <v>19</v>
      </c>
      <c r="I1134" s="3" t="n">
        <v>2</v>
      </c>
      <c r="J1134" s="3" t="n">
        <v>3</v>
      </c>
      <c r="K1134" s="3" t="n">
        <v>5</v>
      </c>
      <c r="L1134" s="3" t="n">
        <v>0</v>
      </c>
      <c r="M1134" s="3" t="n">
        <v>1</v>
      </c>
      <c r="N1134" s="3" t="s">
        <v>19</v>
      </c>
    </row>
    <row r="1135" customFormat="false" ht="15" hidden="false" customHeight="false" outlineLevel="0" collapsed="false">
      <c r="A1135" s="3" t="s">
        <v>1165</v>
      </c>
      <c r="B1135" s="3" t="n">
        <v>36</v>
      </c>
      <c r="C1135" s="3" t="s">
        <v>16</v>
      </c>
      <c r="D1135" s="3" t="s">
        <v>27</v>
      </c>
      <c r="E1135" s="3" t="s">
        <v>18</v>
      </c>
      <c r="F1135" s="3" t="n">
        <v>0.3</v>
      </c>
      <c r="G1135" s="3" t="n">
        <v>7294.86</v>
      </c>
      <c r="H1135" s="3" t="s">
        <v>19</v>
      </c>
      <c r="I1135" s="3" t="n">
        <v>4</v>
      </c>
      <c r="J1135" s="3" t="n">
        <v>2</v>
      </c>
      <c r="K1135" s="3" t="n">
        <v>7</v>
      </c>
      <c r="L1135" s="3" t="n">
        <v>0</v>
      </c>
      <c r="M1135" s="3" t="n">
        <v>4</v>
      </c>
      <c r="N1135" s="3" t="s">
        <v>19</v>
      </c>
    </row>
    <row r="1136" customFormat="false" ht="15" hidden="false" customHeight="false" outlineLevel="0" collapsed="false">
      <c r="A1136" s="3" t="s">
        <v>1166</v>
      </c>
      <c r="B1136" s="3" t="n">
        <v>36</v>
      </c>
      <c r="C1136" s="3" t="s">
        <v>26</v>
      </c>
      <c r="D1136" s="3" t="s">
        <v>17</v>
      </c>
      <c r="E1136" s="3" t="s">
        <v>28</v>
      </c>
      <c r="F1136" s="3" t="n">
        <v>5.2</v>
      </c>
      <c r="G1136" s="3" t="n">
        <v>3016.69</v>
      </c>
      <c r="H1136" s="3" t="s">
        <v>20</v>
      </c>
      <c r="I1136" s="3" t="n">
        <v>4</v>
      </c>
      <c r="J1136" s="3" t="n">
        <v>2</v>
      </c>
      <c r="K1136" s="3" t="n">
        <v>4</v>
      </c>
      <c r="L1136" s="3" t="n">
        <v>2</v>
      </c>
      <c r="M1136" s="3" t="n">
        <v>0</v>
      </c>
      <c r="N1136" s="3" t="s">
        <v>19</v>
      </c>
    </row>
    <row r="1137" customFormat="false" ht="15" hidden="false" customHeight="false" outlineLevel="0" collapsed="false">
      <c r="A1137" s="3" t="s">
        <v>1167</v>
      </c>
      <c r="B1137" s="3" t="n">
        <v>37</v>
      </c>
      <c r="C1137" s="3" t="s">
        <v>26</v>
      </c>
      <c r="D1137" s="3" t="s">
        <v>27</v>
      </c>
      <c r="E1137" s="3" t="s">
        <v>18</v>
      </c>
      <c r="F1137" s="3" t="n">
        <v>0.1</v>
      </c>
      <c r="G1137" s="3" t="n">
        <v>7118.26</v>
      </c>
      <c r="H1137" s="3" t="s">
        <v>20</v>
      </c>
      <c r="I1137" s="3" t="n">
        <v>1</v>
      </c>
      <c r="J1137" s="3" t="n">
        <v>4</v>
      </c>
      <c r="K1137" s="3" t="n">
        <v>1</v>
      </c>
      <c r="L1137" s="3" t="n">
        <v>0</v>
      </c>
      <c r="M1137" s="3" t="n">
        <v>0</v>
      </c>
      <c r="N1137" s="3" t="s">
        <v>19</v>
      </c>
    </row>
    <row r="1138" customFormat="false" ht="15" hidden="false" customHeight="false" outlineLevel="0" collapsed="false">
      <c r="A1138" s="3" t="s">
        <v>1168</v>
      </c>
      <c r="B1138" s="3" t="n">
        <v>24</v>
      </c>
      <c r="C1138" s="3" t="s">
        <v>32</v>
      </c>
      <c r="D1138" s="3" t="s">
        <v>17</v>
      </c>
      <c r="E1138" s="3" t="s">
        <v>24</v>
      </c>
      <c r="F1138" s="3" t="n">
        <v>0.8</v>
      </c>
      <c r="G1138" s="3" t="n">
        <v>3498.82</v>
      </c>
      <c r="H1138" s="3" t="s">
        <v>19</v>
      </c>
      <c r="I1138" s="3" t="n">
        <v>4</v>
      </c>
      <c r="J1138" s="3" t="n">
        <v>4</v>
      </c>
      <c r="K1138" s="3" t="n">
        <v>1</v>
      </c>
      <c r="L1138" s="3" t="n">
        <v>0</v>
      </c>
      <c r="M1138" s="3" t="n">
        <v>4</v>
      </c>
      <c r="N1138" s="3" t="s">
        <v>19</v>
      </c>
    </row>
    <row r="1139" customFormat="false" ht="15" hidden="false" customHeight="false" outlineLevel="0" collapsed="false">
      <c r="A1139" s="3" t="s">
        <v>1169</v>
      </c>
      <c r="B1139" s="3" t="n">
        <v>29</v>
      </c>
      <c r="C1139" s="3" t="s">
        <v>24</v>
      </c>
      <c r="D1139" s="3" t="s">
        <v>17</v>
      </c>
      <c r="E1139" s="3" t="s">
        <v>28</v>
      </c>
      <c r="F1139" s="3" t="n">
        <v>0.9</v>
      </c>
      <c r="G1139" s="3" t="n">
        <v>3827.87</v>
      </c>
      <c r="H1139" s="3" t="s">
        <v>19</v>
      </c>
      <c r="I1139" s="3" t="n">
        <v>4</v>
      </c>
      <c r="J1139" s="3" t="n">
        <v>2</v>
      </c>
      <c r="K1139" s="3" t="n">
        <v>13</v>
      </c>
      <c r="L1139" s="3" t="n">
        <v>0</v>
      </c>
      <c r="M1139" s="3" t="n">
        <v>2</v>
      </c>
      <c r="N1139" s="3" t="s">
        <v>19</v>
      </c>
    </row>
    <row r="1140" customFormat="false" ht="15" hidden="false" customHeight="false" outlineLevel="0" collapsed="false">
      <c r="A1140" s="3" t="s">
        <v>1170</v>
      </c>
      <c r="B1140" s="3" t="n">
        <v>26</v>
      </c>
      <c r="C1140" s="3" t="s">
        <v>32</v>
      </c>
      <c r="D1140" s="3" t="s">
        <v>17</v>
      </c>
      <c r="E1140" s="3" t="s">
        <v>41</v>
      </c>
      <c r="F1140" s="3" t="n">
        <v>1.8</v>
      </c>
      <c r="G1140" s="3" t="n">
        <v>3361.68</v>
      </c>
      <c r="H1140" s="3" t="s">
        <v>20</v>
      </c>
      <c r="I1140" s="3" t="n">
        <v>2</v>
      </c>
      <c r="J1140" s="3" t="n">
        <v>3</v>
      </c>
      <c r="K1140" s="3" t="n">
        <v>1</v>
      </c>
      <c r="L1140" s="3" t="n">
        <v>1</v>
      </c>
      <c r="M1140" s="3" t="n">
        <v>1</v>
      </c>
      <c r="N1140" s="3" t="s">
        <v>19</v>
      </c>
    </row>
    <row r="1141" customFormat="false" ht="15" hidden="false" customHeight="false" outlineLevel="0" collapsed="false">
      <c r="A1141" s="3" t="s">
        <v>1171</v>
      </c>
      <c r="B1141" s="3" t="n">
        <v>35</v>
      </c>
      <c r="C1141" s="3" t="s">
        <v>26</v>
      </c>
      <c r="D1141" s="3" t="s">
        <v>17</v>
      </c>
      <c r="E1141" s="3" t="s">
        <v>24</v>
      </c>
      <c r="F1141" s="3" t="n">
        <v>1</v>
      </c>
      <c r="G1141" s="3" t="n">
        <v>2769.45</v>
      </c>
      <c r="H1141" s="3" t="s">
        <v>19</v>
      </c>
      <c r="I1141" s="3" t="n">
        <v>3</v>
      </c>
      <c r="J1141" s="3" t="n">
        <v>3</v>
      </c>
      <c r="K1141" s="3" t="n">
        <v>33</v>
      </c>
      <c r="L1141" s="3" t="n">
        <v>0</v>
      </c>
      <c r="M1141" s="3" t="n">
        <v>4</v>
      </c>
      <c r="N1141" s="3" t="s">
        <v>20</v>
      </c>
    </row>
    <row r="1142" customFormat="false" ht="15" hidden="false" customHeight="false" outlineLevel="0" collapsed="false">
      <c r="A1142" s="3" t="s">
        <v>1172</v>
      </c>
      <c r="B1142" s="3" t="n">
        <v>25</v>
      </c>
      <c r="C1142" s="3" t="s">
        <v>24</v>
      </c>
      <c r="D1142" s="3" t="s">
        <v>23</v>
      </c>
      <c r="E1142" s="3" t="s">
        <v>41</v>
      </c>
      <c r="F1142" s="3" t="n">
        <v>1.9</v>
      </c>
      <c r="G1142" s="3" t="n">
        <v>4335.26</v>
      </c>
      <c r="H1142" s="3" t="s">
        <v>19</v>
      </c>
      <c r="I1142" s="3" t="n">
        <v>3</v>
      </c>
      <c r="J1142" s="3" t="n">
        <v>4</v>
      </c>
      <c r="K1142" s="3" t="n">
        <v>33</v>
      </c>
      <c r="L1142" s="3" t="n">
        <v>0</v>
      </c>
      <c r="M1142" s="3" t="n">
        <v>1</v>
      </c>
      <c r="N1142" s="3" t="s">
        <v>19</v>
      </c>
    </row>
    <row r="1143" customFormat="false" ht="15" hidden="false" customHeight="false" outlineLevel="0" collapsed="false">
      <c r="A1143" s="3" t="s">
        <v>1173</v>
      </c>
      <c r="B1143" s="3" t="n">
        <v>42</v>
      </c>
      <c r="C1143" s="3" t="s">
        <v>22</v>
      </c>
      <c r="D1143" s="3" t="s">
        <v>27</v>
      </c>
      <c r="E1143" s="3" t="s">
        <v>28</v>
      </c>
      <c r="F1143" s="3" t="n">
        <v>5.3</v>
      </c>
      <c r="G1143" s="3" t="n">
        <v>7238.34</v>
      </c>
      <c r="H1143" s="3" t="s">
        <v>19</v>
      </c>
      <c r="I1143" s="3" t="n">
        <v>4</v>
      </c>
      <c r="J1143" s="3" t="n">
        <v>4</v>
      </c>
      <c r="K1143" s="3" t="n">
        <v>10</v>
      </c>
      <c r="L1143" s="3" t="n">
        <v>0</v>
      </c>
      <c r="M1143" s="3" t="n">
        <v>0</v>
      </c>
      <c r="N1143" s="3" t="s">
        <v>19</v>
      </c>
    </row>
    <row r="1144" customFormat="false" ht="15" hidden="false" customHeight="false" outlineLevel="0" collapsed="false">
      <c r="A1144" s="3" t="s">
        <v>1174</v>
      </c>
      <c r="B1144" s="3" t="n">
        <v>38</v>
      </c>
      <c r="C1144" s="3" t="s">
        <v>45</v>
      </c>
      <c r="D1144" s="3" t="s">
        <v>23</v>
      </c>
      <c r="E1144" s="3" t="s">
        <v>28</v>
      </c>
      <c r="F1144" s="3" t="n">
        <v>1.4</v>
      </c>
      <c r="G1144" s="3" t="n">
        <v>5231.15</v>
      </c>
      <c r="H1144" s="3" t="s">
        <v>19</v>
      </c>
      <c r="I1144" s="3" t="n">
        <v>3</v>
      </c>
      <c r="J1144" s="3" t="n">
        <v>2</v>
      </c>
      <c r="K1144" s="3" t="n">
        <v>1</v>
      </c>
      <c r="L1144" s="3" t="n">
        <v>1</v>
      </c>
      <c r="M1144" s="3" t="n">
        <v>1</v>
      </c>
      <c r="N1144" s="3" t="s">
        <v>19</v>
      </c>
    </row>
    <row r="1145" customFormat="false" ht="15" hidden="false" customHeight="false" outlineLevel="0" collapsed="false">
      <c r="A1145" s="3" t="s">
        <v>1175</v>
      </c>
      <c r="B1145" s="3" t="n">
        <v>34</v>
      </c>
      <c r="C1145" s="3" t="s">
        <v>32</v>
      </c>
      <c r="D1145" s="3" t="s">
        <v>27</v>
      </c>
      <c r="E1145" s="3" t="s">
        <v>28</v>
      </c>
      <c r="F1145" s="3" t="n">
        <v>3.1</v>
      </c>
      <c r="G1145" s="3" t="n">
        <v>7179.75</v>
      </c>
      <c r="H1145" s="3" t="s">
        <v>19</v>
      </c>
      <c r="I1145" s="3" t="n">
        <v>2</v>
      </c>
      <c r="J1145" s="3" t="n">
        <v>3</v>
      </c>
      <c r="K1145" s="3" t="n">
        <v>16</v>
      </c>
      <c r="L1145" s="3" t="n">
        <v>3</v>
      </c>
      <c r="M1145" s="3" t="n">
        <v>1</v>
      </c>
      <c r="N1145" s="3" t="s">
        <v>19</v>
      </c>
    </row>
    <row r="1146" customFormat="false" ht="15" hidden="false" customHeight="false" outlineLevel="0" collapsed="false">
      <c r="A1146" s="3" t="s">
        <v>1176</v>
      </c>
      <c r="B1146" s="3" t="n">
        <v>39</v>
      </c>
      <c r="C1146" s="3" t="s">
        <v>22</v>
      </c>
      <c r="D1146" s="3" t="s">
        <v>17</v>
      </c>
      <c r="E1146" s="3" t="s">
        <v>24</v>
      </c>
      <c r="F1146" s="3" t="n">
        <v>3.4</v>
      </c>
      <c r="G1146" s="3" t="n">
        <v>2773.17</v>
      </c>
      <c r="H1146" s="3" t="s">
        <v>20</v>
      </c>
      <c r="I1146" s="3" t="n">
        <v>4</v>
      </c>
      <c r="J1146" s="3" t="n">
        <v>3</v>
      </c>
      <c r="K1146" s="3" t="n">
        <v>1</v>
      </c>
      <c r="L1146" s="3" t="n">
        <v>0</v>
      </c>
      <c r="M1146" s="3" t="n">
        <v>1</v>
      </c>
      <c r="N1146" s="3" t="s">
        <v>19</v>
      </c>
    </row>
    <row r="1147" customFormat="false" ht="15" hidden="false" customHeight="false" outlineLevel="0" collapsed="false">
      <c r="A1147" s="3" t="s">
        <v>1177</v>
      </c>
      <c r="B1147" s="3" t="n">
        <v>25</v>
      </c>
      <c r="C1147" s="3" t="s">
        <v>45</v>
      </c>
      <c r="D1147" s="3" t="s">
        <v>17</v>
      </c>
      <c r="E1147" s="3" t="s">
        <v>18</v>
      </c>
      <c r="F1147" s="3" t="n">
        <v>1.3</v>
      </c>
      <c r="G1147" s="3" t="n">
        <v>3147.49</v>
      </c>
      <c r="H1147" s="3" t="s">
        <v>19</v>
      </c>
      <c r="I1147" s="3" t="n">
        <v>4</v>
      </c>
      <c r="J1147" s="3" t="n">
        <v>3</v>
      </c>
      <c r="K1147" s="3" t="n">
        <v>19</v>
      </c>
      <c r="L1147" s="3" t="n">
        <v>1</v>
      </c>
      <c r="M1147" s="3" t="n">
        <v>1</v>
      </c>
      <c r="N1147" s="3" t="s">
        <v>19</v>
      </c>
    </row>
    <row r="1148" customFormat="false" ht="15" hidden="false" customHeight="false" outlineLevel="0" collapsed="false">
      <c r="A1148" s="3" t="s">
        <v>1178</v>
      </c>
      <c r="B1148" s="3" t="n">
        <v>39</v>
      </c>
      <c r="C1148" s="3" t="s">
        <v>32</v>
      </c>
      <c r="D1148" s="3" t="s">
        <v>23</v>
      </c>
      <c r="E1148" s="3" t="s">
        <v>41</v>
      </c>
      <c r="F1148" s="3" t="n">
        <v>1.1</v>
      </c>
      <c r="G1148" s="4"/>
      <c r="H1148" s="3" t="s">
        <v>19</v>
      </c>
      <c r="I1148" s="3" t="n">
        <v>3</v>
      </c>
      <c r="J1148" s="3" t="n">
        <v>4</v>
      </c>
      <c r="K1148" s="3" t="n">
        <v>1</v>
      </c>
      <c r="L1148" s="3" t="n">
        <v>0</v>
      </c>
      <c r="M1148" s="3" t="n">
        <v>5</v>
      </c>
      <c r="N1148" s="3" t="s">
        <v>19</v>
      </c>
    </row>
    <row r="1149" customFormat="false" ht="15" hidden="false" customHeight="false" outlineLevel="0" collapsed="false">
      <c r="A1149" s="3" t="s">
        <v>1179</v>
      </c>
      <c r="B1149" s="3" t="n">
        <v>43</v>
      </c>
      <c r="C1149" s="3" t="s">
        <v>26</v>
      </c>
      <c r="D1149" s="3" t="s">
        <v>17</v>
      </c>
      <c r="E1149" s="3" t="s">
        <v>18</v>
      </c>
      <c r="F1149" s="3" t="n">
        <v>2.6</v>
      </c>
      <c r="G1149" s="3" t="n">
        <v>2863.9</v>
      </c>
      <c r="H1149" s="3" t="s">
        <v>19</v>
      </c>
      <c r="I1149" s="3" t="n">
        <v>4</v>
      </c>
      <c r="J1149" s="3" t="n">
        <v>4</v>
      </c>
      <c r="K1149" s="3" t="n">
        <v>3</v>
      </c>
      <c r="L1149" s="3" t="n">
        <v>2</v>
      </c>
      <c r="M1149" s="3" t="n">
        <v>2</v>
      </c>
      <c r="N1149" s="3" t="s">
        <v>19</v>
      </c>
    </row>
    <row r="1150" customFormat="false" ht="15" hidden="false" customHeight="false" outlineLevel="0" collapsed="false">
      <c r="A1150" s="3" t="s">
        <v>1180</v>
      </c>
      <c r="B1150" s="3" t="n">
        <v>34</v>
      </c>
      <c r="C1150" s="3" t="s">
        <v>32</v>
      </c>
      <c r="D1150" s="3" t="s">
        <v>23</v>
      </c>
      <c r="E1150" s="3" t="s">
        <v>28</v>
      </c>
      <c r="F1150" s="3" t="n">
        <v>0</v>
      </c>
      <c r="G1150" s="3" t="n">
        <v>5087.5</v>
      </c>
      <c r="H1150" s="3" t="s">
        <v>19</v>
      </c>
      <c r="I1150" s="3" t="n">
        <v>4</v>
      </c>
      <c r="J1150" s="3" t="n">
        <v>4</v>
      </c>
      <c r="K1150" s="3" t="n">
        <v>7</v>
      </c>
      <c r="L1150" s="3" t="n">
        <v>0</v>
      </c>
      <c r="M1150" s="3" t="n">
        <v>2</v>
      </c>
      <c r="N1150" s="3" t="s">
        <v>19</v>
      </c>
    </row>
    <row r="1151" customFormat="false" ht="15" hidden="false" customHeight="false" outlineLevel="0" collapsed="false">
      <c r="A1151" s="3" t="s">
        <v>1181</v>
      </c>
      <c r="B1151" s="3" t="n">
        <v>37</v>
      </c>
      <c r="C1151" s="3" t="s">
        <v>32</v>
      </c>
      <c r="D1151" s="3" t="s">
        <v>17</v>
      </c>
      <c r="E1151" s="3" t="s">
        <v>24</v>
      </c>
      <c r="F1151" s="3" t="n">
        <v>0.1</v>
      </c>
      <c r="G1151" s="3" t="n">
        <v>2828.19</v>
      </c>
      <c r="H1151" s="3" t="s">
        <v>19</v>
      </c>
      <c r="I1151" s="3" t="n">
        <v>2</v>
      </c>
      <c r="J1151" s="3" t="n">
        <v>3</v>
      </c>
      <c r="K1151" s="3" t="n">
        <v>4</v>
      </c>
      <c r="L1151" s="3" t="n">
        <v>0</v>
      </c>
      <c r="M1151" s="3" t="n">
        <v>0</v>
      </c>
      <c r="N1151" s="3" t="s">
        <v>19</v>
      </c>
    </row>
    <row r="1152" customFormat="false" ht="15" hidden="false" customHeight="false" outlineLevel="0" collapsed="false">
      <c r="A1152" s="3" t="s">
        <v>1182</v>
      </c>
      <c r="B1152" s="3" t="n">
        <v>33</v>
      </c>
      <c r="C1152" s="3" t="s">
        <v>32</v>
      </c>
      <c r="D1152" s="3" t="s">
        <v>17</v>
      </c>
      <c r="E1152" s="3" t="s">
        <v>24</v>
      </c>
      <c r="F1152" s="3" t="n">
        <v>3</v>
      </c>
      <c r="G1152" s="3" t="n">
        <v>3626.88</v>
      </c>
      <c r="H1152" s="3" t="s">
        <v>20</v>
      </c>
      <c r="I1152" s="3" t="n">
        <v>4</v>
      </c>
      <c r="J1152" s="3" t="n">
        <v>3</v>
      </c>
      <c r="K1152" s="3" t="n">
        <v>2</v>
      </c>
      <c r="L1152" s="3" t="n">
        <v>3</v>
      </c>
      <c r="M1152" s="3" t="n">
        <v>1</v>
      </c>
      <c r="N1152" s="3" t="s">
        <v>19</v>
      </c>
    </row>
    <row r="1153" customFormat="false" ht="15" hidden="false" customHeight="false" outlineLevel="0" collapsed="false">
      <c r="A1153" s="3" t="s">
        <v>1183</v>
      </c>
      <c r="B1153" s="3" t="n">
        <v>31</v>
      </c>
      <c r="C1153" s="3" t="s">
        <v>26</v>
      </c>
      <c r="D1153" s="3" t="s">
        <v>27</v>
      </c>
      <c r="E1153" s="3" t="s">
        <v>41</v>
      </c>
      <c r="F1153" s="3" t="n">
        <v>1.8</v>
      </c>
      <c r="G1153" s="3" t="n">
        <v>7786.19</v>
      </c>
      <c r="H1153" s="3" t="s">
        <v>20</v>
      </c>
      <c r="I1153" s="3" t="n">
        <v>3</v>
      </c>
      <c r="J1153" s="3" t="n">
        <v>2</v>
      </c>
      <c r="K1153" s="3" t="n">
        <v>5</v>
      </c>
      <c r="L1153" s="3" t="n">
        <v>1</v>
      </c>
      <c r="M1153" s="3" t="n">
        <v>3</v>
      </c>
      <c r="N1153" s="3" t="s">
        <v>19</v>
      </c>
    </row>
    <row r="1154" customFormat="false" ht="15" hidden="false" customHeight="false" outlineLevel="0" collapsed="false">
      <c r="A1154" s="3" t="s">
        <v>1184</v>
      </c>
      <c r="B1154" s="3" t="n">
        <v>39</v>
      </c>
      <c r="C1154" s="3" t="s">
        <v>45</v>
      </c>
      <c r="D1154" s="3" t="s">
        <v>27</v>
      </c>
      <c r="E1154" s="3" t="s">
        <v>28</v>
      </c>
      <c r="F1154" s="3" t="n">
        <v>4.3</v>
      </c>
      <c r="G1154" s="3" t="n">
        <v>8108.01</v>
      </c>
      <c r="H1154" s="3" t="s">
        <v>19</v>
      </c>
      <c r="I1154" s="3" t="n">
        <v>3</v>
      </c>
      <c r="J1154" s="3" t="n">
        <v>4</v>
      </c>
      <c r="K1154" s="3" t="n">
        <v>2</v>
      </c>
      <c r="L1154" s="3" t="n">
        <v>0</v>
      </c>
      <c r="M1154" s="3" t="n">
        <v>0</v>
      </c>
      <c r="N1154" s="3" t="s">
        <v>19</v>
      </c>
    </row>
    <row r="1155" customFormat="false" ht="15" hidden="false" customHeight="false" outlineLevel="0" collapsed="false">
      <c r="A1155" s="3" t="s">
        <v>1185</v>
      </c>
      <c r="B1155" s="3" t="n">
        <v>36</v>
      </c>
      <c r="C1155" s="3" t="s">
        <v>16</v>
      </c>
      <c r="D1155" s="3" t="s">
        <v>23</v>
      </c>
      <c r="E1155" s="3" t="s">
        <v>24</v>
      </c>
      <c r="F1155" s="3" t="n">
        <v>3.3</v>
      </c>
      <c r="G1155" s="3" t="n">
        <v>5227.76</v>
      </c>
      <c r="H1155" s="3" t="s">
        <v>19</v>
      </c>
      <c r="I1155" s="3" t="n">
        <v>3</v>
      </c>
      <c r="J1155" s="3" t="n">
        <v>3</v>
      </c>
      <c r="K1155" s="3" t="n">
        <v>10</v>
      </c>
      <c r="L1155" s="3" t="n">
        <v>0</v>
      </c>
      <c r="M1155" s="3" t="n">
        <v>2</v>
      </c>
      <c r="N1155" s="3" t="s">
        <v>19</v>
      </c>
    </row>
    <row r="1156" customFormat="false" ht="15" hidden="false" customHeight="false" outlineLevel="0" collapsed="false">
      <c r="A1156" s="3" t="s">
        <v>1186</v>
      </c>
      <c r="B1156" s="3" t="n">
        <v>37</v>
      </c>
      <c r="C1156" s="3" t="s">
        <v>24</v>
      </c>
      <c r="D1156" s="3" t="s">
        <v>27</v>
      </c>
      <c r="E1156" s="3" t="s">
        <v>28</v>
      </c>
      <c r="F1156" s="3" t="n">
        <v>0.6</v>
      </c>
      <c r="G1156" s="3" t="n">
        <v>6499.37</v>
      </c>
      <c r="H1156" s="3" t="s">
        <v>19</v>
      </c>
      <c r="I1156" s="3" t="n">
        <v>2</v>
      </c>
      <c r="J1156" s="3" t="n">
        <v>3</v>
      </c>
      <c r="K1156" s="3" t="n">
        <v>11</v>
      </c>
      <c r="L1156" s="3" t="n">
        <v>0</v>
      </c>
      <c r="M1156" s="3" t="n">
        <v>1</v>
      </c>
      <c r="N1156" s="3" t="s">
        <v>19</v>
      </c>
    </row>
    <row r="1157" customFormat="false" ht="15" hidden="false" customHeight="false" outlineLevel="0" collapsed="false">
      <c r="A1157" s="3" t="s">
        <v>1187</v>
      </c>
      <c r="B1157" s="3" t="n">
        <v>40</v>
      </c>
      <c r="C1157" s="3" t="s">
        <v>16</v>
      </c>
      <c r="D1157" s="3" t="s">
        <v>27</v>
      </c>
      <c r="E1157" s="3" t="s">
        <v>24</v>
      </c>
      <c r="F1157" s="3" t="n">
        <v>0.7</v>
      </c>
      <c r="G1157" s="3" t="n">
        <v>7029.37</v>
      </c>
      <c r="H1157" s="3" t="s">
        <v>19</v>
      </c>
      <c r="I1157" s="3" t="n">
        <v>4</v>
      </c>
      <c r="J1157" s="3" t="n">
        <v>2</v>
      </c>
      <c r="K1157" s="3" t="n">
        <v>6</v>
      </c>
      <c r="L1157" s="3" t="n">
        <v>0</v>
      </c>
      <c r="M1157" s="3" t="n">
        <v>4</v>
      </c>
      <c r="N1157" s="3" t="s">
        <v>19</v>
      </c>
    </row>
    <row r="1158" customFormat="false" ht="15" hidden="false" customHeight="false" outlineLevel="0" collapsed="false">
      <c r="A1158" s="3" t="s">
        <v>1188</v>
      </c>
      <c r="B1158" s="3" t="n">
        <v>38</v>
      </c>
      <c r="C1158" s="3" t="s">
        <v>45</v>
      </c>
      <c r="D1158" s="3" t="s">
        <v>23</v>
      </c>
      <c r="E1158" s="3" t="s">
        <v>18</v>
      </c>
      <c r="F1158" s="3" t="n">
        <v>5.3</v>
      </c>
      <c r="G1158" s="3" t="n">
        <v>4247.04</v>
      </c>
      <c r="H1158" s="3" t="s">
        <v>19</v>
      </c>
      <c r="I1158" s="3" t="n">
        <v>4</v>
      </c>
      <c r="J1158" s="3" t="n">
        <v>4</v>
      </c>
      <c r="K1158" s="3" t="n">
        <v>3</v>
      </c>
      <c r="L1158" s="3" t="n">
        <v>5</v>
      </c>
      <c r="M1158" s="3" t="n">
        <v>2</v>
      </c>
      <c r="N1158" s="3" t="s">
        <v>19</v>
      </c>
    </row>
    <row r="1159" customFormat="false" ht="15" hidden="false" customHeight="false" outlineLevel="0" collapsed="false">
      <c r="A1159" s="3" t="s">
        <v>1189</v>
      </c>
      <c r="B1159" s="3" t="n">
        <v>39</v>
      </c>
      <c r="C1159" s="3" t="s">
        <v>22</v>
      </c>
      <c r="D1159" s="3" t="s">
        <v>27</v>
      </c>
      <c r="E1159" s="3" t="s">
        <v>24</v>
      </c>
      <c r="F1159" s="3" t="n">
        <v>3.5</v>
      </c>
      <c r="G1159" s="3" t="n">
        <v>8244.19</v>
      </c>
      <c r="H1159" s="3" t="s">
        <v>19</v>
      </c>
      <c r="I1159" s="3" t="n">
        <v>1</v>
      </c>
      <c r="J1159" s="3" t="n">
        <v>3</v>
      </c>
      <c r="K1159" s="3" t="n">
        <v>3</v>
      </c>
      <c r="L1159" s="3" t="n">
        <v>2</v>
      </c>
      <c r="M1159" s="3" t="n">
        <v>0</v>
      </c>
      <c r="N1159" s="3" t="s">
        <v>20</v>
      </c>
    </row>
    <row r="1160" customFormat="false" ht="15" hidden="false" customHeight="false" outlineLevel="0" collapsed="false">
      <c r="A1160" s="3" t="s">
        <v>1190</v>
      </c>
      <c r="B1160" s="3" t="n">
        <v>47</v>
      </c>
      <c r="C1160" s="3" t="s">
        <v>32</v>
      </c>
      <c r="D1160" s="3" t="s">
        <v>27</v>
      </c>
      <c r="E1160" s="3" t="s">
        <v>28</v>
      </c>
      <c r="F1160" s="3" t="n">
        <v>0.2</v>
      </c>
      <c r="G1160" s="3" t="n">
        <v>6757.23</v>
      </c>
      <c r="H1160" s="3" t="s">
        <v>19</v>
      </c>
      <c r="I1160" s="3" t="n">
        <v>2</v>
      </c>
      <c r="J1160" s="3" t="n">
        <v>3</v>
      </c>
      <c r="K1160" s="3" t="n">
        <v>25</v>
      </c>
      <c r="L1160" s="3" t="n">
        <v>0</v>
      </c>
      <c r="M1160" s="3" t="n">
        <v>4</v>
      </c>
      <c r="N1160" s="3" t="s">
        <v>19</v>
      </c>
    </row>
    <row r="1161" customFormat="false" ht="15" hidden="false" customHeight="false" outlineLevel="0" collapsed="false">
      <c r="A1161" s="3" t="s">
        <v>1191</v>
      </c>
      <c r="B1161" s="3" t="n">
        <v>42</v>
      </c>
      <c r="C1161" s="3" t="s">
        <v>22</v>
      </c>
      <c r="D1161" s="3" t="s">
        <v>23</v>
      </c>
      <c r="E1161" s="3" t="s">
        <v>28</v>
      </c>
      <c r="F1161" s="3" t="n">
        <v>1.9</v>
      </c>
      <c r="G1161" s="3" t="n">
        <v>5327.27</v>
      </c>
      <c r="H1161" s="3" t="s">
        <v>19</v>
      </c>
      <c r="I1161" s="3" t="n">
        <v>4</v>
      </c>
      <c r="J1161" s="3" t="n">
        <v>1</v>
      </c>
      <c r="K1161" s="3" t="n">
        <v>21</v>
      </c>
      <c r="L1161" s="3" t="n">
        <v>0</v>
      </c>
      <c r="M1161" s="3" t="n">
        <v>1</v>
      </c>
      <c r="N1161" s="3" t="s">
        <v>19</v>
      </c>
    </row>
    <row r="1162" customFormat="false" ht="15" hidden="false" customHeight="false" outlineLevel="0" collapsed="false">
      <c r="A1162" s="3" t="s">
        <v>1192</v>
      </c>
      <c r="B1162" s="3" t="n">
        <v>27</v>
      </c>
      <c r="C1162" s="3" t="s">
        <v>24</v>
      </c>
      <c r="D1162" s="3" t="s">
        <v>23</v>
      </c>
      <c r="E1162" s="3" t="s">
        <v>18</v>
      </c>
      <c r="F1162" s="3" t="n">
        <v>4.7</v>
      </c>
      <c r="G1162" s="3" t="n">
        <v>4156.89</v>
      </c>
      <c r="H1162" s="3" t="s">
        <v>19</v>
      </c>
      <c r="I1162" s="3" t="n">
        <v>2</v>
      </c>
      <c r="J1162" s="3" t="n">
        <v>4</v>
      </c>
      <c r="K1162" s="3" t="n">
        <v>18</v>
      </c>
      <c r="L1162" s="3" t="n">
        <v>1</v>
      </c>
      <c r="M1162" s="3" t="n">
        <v>3</v>
      </c>
      <c r="N1162" s="3" t="s">
        <v>19</v>
      </c>
    </row>
    <row r="1163" customFormat="false" ht="15" hidden="false" customHeight="false" outlineLevel="0" collapsed="false">
      <c r="A1163" s="3" t="s">
        <v>1193</v>
      </c>
      <c r="B1163" s="3" t="n">
        <v>27</v>
      </c>
      <c r="C1163" s="3" t="s">
        <v>16</v>
      </c>
      <c r="D1163" s="3" t="s">
        <v>27</v>
      </c>
      <c r="E1163" s="3" t="s">
        <v>24</v>
      </c>
      <c r="F1163" s="3" t="n">
        <v>2.7</v>
      </c>
      <c r="G1163" s="3" t="n">
        <v>6477.97</v>
      </c>
      <c r="H1163" s="3" t="s">
        <v>20</v>
      </c>
      <c r="I1163" s="3" t="n">
        <v>3</v>
      </c>
      <c r="J1163" s="3" t="n">
        <v>4</v>
      </c>
      <c r="K1163" s="3" t="n">
        <v>3</v>
      </c>
      <c r="L1163" s="3" t="n">
        <v>0</v>
      </c>
      <c r="M1163" s="3" t="n">
        <v>1</v>
      </c>
      <c r="N1163" s="3" t="s">
        <v>19</v>
      </c>
    </row>
    <row r="1164" customFormat="false" ht="15" hidden="false" customHeight="false" outlineLevel="0" collapsed="false">
      <c r="A1164" s="3" t="s">
        <v>1194</v>
      </c>
      <c r="B1164" s="3" t="n">
        <v>35</v>
      </c>
      <c r="C1164" s="3" t="s">
        <v>32</v>
      </c>
      <c r="D1164" s="3" t="s">
        <v>23</v>
      </c>
      <c r="E1164" s="3" t="s">
        <v>18</v>
      </c>
      <c r="F1164" s="3" t="n">
        <v>5.4</v>
      </c>
      <c r="G1164" s="3" t="n">
        <v>4614.07</v>
      </c>
      <c r="H1164" s="3" t="s">
        <v>19</v>
      </c>
      <c r="I1164" s="3" t="n">
        <v>3</v>
      </c>
      <c r="J1164" s="3" t="n">
        <v>3</v>
      </c>
      <c r="K1164" s="3" t="n">
        <v>9</v>
      </c>
      <c r="L1164" s="3" t="n">
        <v>3</v>
      </c>
      <c r="M1164" s="3" t="n">
        <v>3</v>
      </c>
      <c r="N1164" s="3" t="s">
        <v>19</v>
      </c>
    </row>
    <row r="1165" customFormat="false" ht="15" hidden="false" customHeight="false" outlineLevel="0" collapsed="false">
      <c r="A1165" s="3" t="s">
        <v>1195</v>
      </c>
      <c r="B1165" s="3" t="n">
        <v>46</v>
      </c>
      <c r="C1165" s="3" t="s">
        <v>22</v>
      </c>
      <c r="D1165" s="3" t="s">
        <v>23</v>
      </c>
      <c r="E1165" s="3" t="s">
        <v>24</v>
      </c>
      <c r="F1165" s="3" t="n">
        <v>1.6</v>
      </c>
      <c r="G1165" s="3" t="n">
        <v>4277.43</v>
      </c>
      <c r="H1165" s="3" t="s">
        <v>19</v>
      </c>
      <c r="I1165" s="3" t="n">
        <v>4</v>
      </c>
      <c r="J1165" s="3" t="n">
        <v>4</v>
      </c>
      <c r="K1165" s="3" t="n">
        <v>1</v>
      </c>
      <c r="L1165" s="3" t="n">
        <v>1</v>
      </c>
      <c r="M1165" s="3" t="n">
        <v>0</v>
      </c>
      <c r="N1165" s="3" t="s">
        <v>19</v>
      </c>
    </row>
    <row r="1166" customFormat="false" ht="15" hidden="false" customHeight="false" outlineLevel="0" collapsed="false">
      <c r="A1166" s="3" t="s">
        <v>1196</v>
      </c>
      <c r="B1166" s="3" t="n">
        <v>35</v>
      </c>
      <c r="C1166" s="3" t="s">
        <v>26</v>
      </c>
      <c r="D1166" s="3" t="s">
        <v>27</v>
      </c>
      <c r="E1166" s="3" t="s">
        <v>41</v>
      </c>
      <c r="F1166" s="3" t="n">
        <v>0.7</v>
      </c>
      <c r="G1166" s="3" t="n">
        <v>7295.87</v>
      </c>
      <c r="H1166" s="3" t="s">
        <v>19</v>
      </c>
      <c r="I1166" s="3" t="n">
        <v>4</v>
      </c>
      <c r="J1166" s="3" t="n">
        <v>3</v>
      </c>
      <c r="K1166" s="3" t="n">
        <v>18</v>
      </c>
      <c r="L1166" s="3" t="n">
        <v>0</v>
      </c>
      <c r="M1166" s="3" t="n">
        <v>5</v>
      </c>
      <c r="N1166" s="3" t="s">
        <v>19</v>
      </c>
    </row>
    <row r="1167" customFormat="false" ht="15" hidden="false" customHeight="false" outlineLevel="0" collapsed="false">
      <c r="A1167" s="3" t="s">
        <v>1197</v>
      </c>
      <c r="B1167" s="3" t="n">
        <v>32</v>
      </c>
      <c r="C1167" s="3" t="s">
        <v>32</v>
      </c>
      <c r="D1167" s="3" t="s">
        <v>17</v>
      </c>
      <c r="E1167" s="3" t="s">
        <v>41</v>
      </c>
      <c r="F1167" s="3" t="n">
        <v>3.3</v>
      </c>
      <c r="G1167" s="3" t="n">
        <v>2823.41</v>
      </c>
      <c r="H1167" s="3" t="s">
        <v>20</v>
      </c>
      <c r="I1167" s="3" t="n">
        <v>3</v>
      </c>
      <c r="J1167" s="3" t="n">
        <v>3</v>
      </c>
      <c r="K1167" s="3" t="n">
        <v>15</v>
      </c>
      <c r="L1167" s="3" t="n">
        <v>0</v>
      </c>
      <c r="M1167" s="3" t="n">
        <v>2</v>
      </c>
      <c r="N1167" s="3" t="s">
        <v>19</v>
      </c>
    </row>
    <row r="1168" customFormat="false" ht="15" hidden="false" customHeight="false" outlineLevel="0" collapsed="false">
      <c r="A1168" s="3" t="s">
        <v>1198</v>
      </c>
      <c r="B1168" s="3" t="n">
        <v>40</v>
      </c>
      <c r="C1168" s="3" t="s">
        <v>26</v>
      </c>
      <c r="D1168" s="3" t="s">
        <v>48</v>
      </c>
      <c r="E1168" s="3" t="s">
        <v>41</v>
      </c>
      <c r="F1168" s="3" t="n">
        <v>0.6</v>
      </c>
      <c r="G1168" s="3" t="n">
        <v>10986.14</v>
      </c>
      <c r="H1168" s="3" t="s">
        <v>20</v>
      </c>
      <c r="I1168" s="3" t="n">
        <v>3</v>
      </c>
      <c r="J1168" s="3" t="n">
        <v>2</v>
      </c>
      <c r="K1168" s="3" t="n">
        <v>4</v>
      </c>
      <c r="L1168" s="3" t="n">
        <v>0</v>
      </c>
      <c r="M1168" s="3" t="n">
        <v>2</v>
      </c>
      <c r="N1168" s="3" t="s">
        <v>19</v>
      </c>
    </row>
    <row r="1169" customFormat="false" ht="15" hidden="false" customHeight="false" outlineLevel="0" collapsed="false">
      <c r="A1169" s="3" t="s">
        <v>1199</v>
      </c>
      <c r="B1169" s="3" t="n">
        <v>22</v>
      </c>
      <c r="C1169" s="3" t="s">
        <v>16</v>
      </c>
      <c r="D1169" s="3" t="s">
        <v>23</v>
      </c>
      <c r="E1169" s="3" t="s">
        <v>41</v>
      </c>
      <c r="F1169" s="3" t="n">
        <v>1</v>
      </c>
      <c r="G1169" s="3" t="n">
        <v>5672.41</v>
      </c>
      <c r="H1169" s="3" t="s">
        <v>20</v>
      </c>
      <c r="I1169" s="3" t="n">
        <v>4</v>
      </c>
      <c r="J1169" s="3" t="n">
        <v>3</v>
      </c>
      <c r="K1169" s="3" t="n">
        <v>5</v>
      </c>
      <c r="L1169" s="3" t="n">
        <v>0</v>
      </c>
      <c r="M1169" s="3" t="n">
        <v>0</v>
      </c>
      <c r="N1169" s="3" t="s">
        <v>20</v>
      </c>
    </row>
    <row r="1170" customFormat="false" ht="15" hidden="false" customHeight="false" outlineLevel="0" collapsed="false">
      <c r="A1170" s="3" t="s">
        <v>1200</v>
      </c>
      <c r="B1170" s="3" t="n">
        <v>38</v>
      </c>
      <c r="C1170" s="3" t="s">
        <v>22</v>
      </c>
      <c r="D1170" s="3" t="s">
        <v>23</v>
      </c>
      <c r="E1170" s="3" t="s">
        <v>18</v>
      </c>
      <c r="F1170" s="3" t="n">
        <v>2.5</v>
      </c>
      <c r="G1170" s="3" t="n">
        <v>5556.86</v>
      </c>
      <c r="H1170" s="3" t="s">
        <v>20</v>
      </c>
      <c r="I1170" s="3" t="n">
        <v>2</v>
      </c>
      <c r="J1170" s="3" t="n">
        <v>3</v>
      </c>
      <c r="K1170" s="3" t="n">
        <v>13</v>
      </c>
      <c r="L1170" s="3" t="n">
        <v>0</v>
      </c>
      <c r="M1170" s="3" t="n">
        <v>2</v>
      </c>
      <c r="N1170" s="3" t="s">
        <v>19</v>
      </c>
    </row>
    <row r="1171" customFormat="false" ht="15" hidden="false" customHeight="false" outlineLevel="0" collapsed="false">
      <c r="A1171" s="3" t="s">
        <v>1201</v>
      </c>
      <c r="B1171" s="3" t="n">
        <v>32</v>
      </c>
      <c r="C1171" s="3" t="s">
        <v>16</v>
      </c>
      <c r="D1171" s="3" t="s">
        <v>27</v>
      </c>
      <c r="E1171" s="3" t="s">
        <v>18</v>
      </c>
      <c r="F1171" s="3" t="n">
        <v>3.2</v>
      </c>
      <c r="G1171" s="3" t="n">
        <v>7754.85</v>
      </c>
      <c r="H1171" s="3" t="s">
        <v>19</v>
      </c>
      <c r="I1171" s="3" t="n">
        <v>4</v>
      </c>
      <c r="J1171" s="3" t="n">
        <v>4</v>
      </c>
      <c r="K1171" s="3" t="n">
        <v>1</v>
      </c>
      <c r="L1171" s="3" t="n">
        <v>1</v>
      </c>
      <c r="M1171" s="3" t="n">
        <v>2</v>
      </c>
      <c r="N1171" s="3" t="s">
        <v>19</v>
      </c>
    </row>
    <row r="1172" customFormat="false" ht="15" hidden="false" customHeight="false" outlineLevel="0" collapsed="false">
      <c r="A1172" s="3" t="s">
        <v>1202</v>
      </c>
      <c r="B1172" s="3" t="n">
        <v>42</v>
      </c>
      <c r="C1172" s="3" t="s">
        <v>16</v>
      </c>
      <c r="D1172" s="3" t="s">
        <v>17</v>
      </c>
      <c r="E1172" s="3" t="s">
        <v>24</v>
      </c>
      <c r="F1172" s="3" t="n">
        <v>0.3</v>
      </c>
      <c r="G1172" s="3" t="n">
        <v>2917.68</v>
      </c>
      <c r="H1172" s="3" t="s">
        <v>19</v>
      </c>
      <c r="I1172" s="3" t="n">
        <v>3</v>
      </c>
      <c r="J1172" s="3" t="n">
        <v>3</v>
      </c>
      <c r="K1172" s="3" t="n">
        <v>2</v>
      </c>
      <c r="L1172" s="3" t="n">
        <v>0</v>
      </c>
      <c r="M1172" s="3" t="n">
        <v>2</v>
      </c>
      <c r="N1172" s="3" t="s">
        <v>19</v>
      </c>
    </row>
    <row r="1173" customFormat="false" ht="15" hidden="false" customHeight="false" outlineLevel="0" collapsed="false">
      <c r="A1173" s="3" t="s">
        <v>1203</v>
      </c>
      <c r="B1173" s="3" t="n">
        <v>35</v>
      </c>
      <c r="C1173" s="3" t="s">
        <v>22</v>
      </c>
      <c r="D1173" s="3" t="s">
        <v>27</v>
      </c>
      <c r="E1173" s="3" t="s">
        <v>41</v>
      </c>
      <c r="F1173" s="3" t="n">
        <v>4.7</v>
      </c>
      <c r="G1173" s="3" t="n">
        <v>8419.38</v>
      </c>
      <c r="H1173" s="3" t="s">
        <v>19</v>
      </c>
      <c r="I1173" s="3" t="n">
        <v>3</v>
      </c>
      <c r="J1173" s="3" t="n">
        <v>1</v>
      </c>
      <c r="K1173" s="3" t="n">
        <v>1</v>
      </c>
      <c r="L1173" s="3" t="n">
        <v>0</v>
      </c>
      <c r="M1173" s="3" t="n">
        <v>3</v>
      </c>
      <c r="N1173" s="3" t="s">
        <v>19</v>
      </c>
    </row>
    <row r="1174" customFormat="false" ht="15" hidden="false" customHeight="false" outlineLevel="0" collapsed="false">
      <c r="A1174" s="3" t="s">
        <v>1204</v>
      </c>
      <c r="B1174" s="3" t="n">
        <v>30</v>
      </c>
      <c r="C1174" s="3" t="s">
        <v>26</v>
      </c>
      <c r="D1174" s="3" t="s">
        <v>27</v>
      </c>
      <c r="E1174" s="3" t="s">
        <v>18</v>
      </c>
      <c r="F1174" s="3" t="n">
        <v>5.1</v>
      </c>
      <c r="G1174" s="3" t="n">
        <v>7665.62</v>
      </c>
      <c r="H1174" s="3" t="s">
        <v>19</v>
      </c>
      <c r="I1174" s="3" t="n">
        <v>3</v>
      </c>
      <c r="J1174" s="3" t="n">
        <v>3</v>
      </c>
      <c r="K1174" s="3" t="n">
        <v>1</v>
      </c>
      <c r="L1174" s="3" t="n">
        <v>1</v>
      </c>
      <c r="M1174" s="3" t="n">
        <v>3</v>
      </c>
      <c r="N1174" s="3" t="s">
        <v>19</v>
      </c>
    </row>
    <row r="1175" customFormat="false" ht="15" hidden="false" customHeight="false" outlineLevel="0" collapsed="false">
      <c r="A1175" s="3" t="s">
        <v>1205</v>
      </c>
      <c r="B1175" s="3" t="n">
        <v>21</v>
      </c>
      <c r="C1175" s="3" t="s">
        <v>22</v>
      </c>
      <c r="D1175" s="3" t="s">
        <v>23</v>
      </c>
      <c r="E1175" s="3" t="s">
        <v>41</v>
      </c>
      <c r="F1175" s="3" t="n">
        <v>0</v>
      </c>
      <c r="G1175" s="3" t="n">
        <v>4239.15</v>
      </c>
      <c r="H1175" s="3" t="s">
        <v>20</v>
      </c>
      <c r="I1175" s="3" t="n">
        <v>3</v>
      </c>
      <c r="J1175" s="3" t="n">
        <v>4</v>
      </c>
      <c r="K1175" s="3" t="n">
        <v>1</v>
      </c>
      <c r="L1175" s="3" t="n">
        <v>0</v>
      </c>
      <c r="M1175" s="3" t="n">
        <v>2</v>
      </c>
      <c r="N1175" s="3" t="s">
        <v>19</v>
      </c>
    </row>
    <row r="1176" customFormat="false" ht="15" hidden="false" customHeight="false" outlineLevel="0" collapsed="false">
      <c r="A1176" s="3" t="s">
        <v>1206</v>
      </c>
      <c r="B1176" s="3" t="n">
        <v>28</v>
      </c>
      <c r="C1176" s="3" t="s">
        <v>32</v>
      </c>
      <c r="D1176" s="3" t="s">
        <v>17</v>
      </c>
      <c r="E1176" s="3" t="s">
        <v>24</v>
      </c>
      <c r="F1176" s="3" t="n">
        <v>1.8</v>
      </c>
      <c r="G1176" s="3" t="n">
        <v>3145.42</v>
      </c>
      <c r="H1176" s="3" t="s">
        <v>19</v>
      </c>
      <c r="I1176" s="3" t="n">
        <v>3</v>
      </c>
      <c r="J1176" s="3" t="n">
        <v>2</v>
      </c>
      <c r="K1176" s="3" t="n">
        <v>3</v>
      </c>
      <c r="L1176" s="3" t="n">
        <v>1</v>
      </c>
      <c r="M1176" s="3" t="n">
        <v>5</v>
      </c>
      <c r="N1176" s="3" t="s">
        <v>19</v>
      </c>
    </row>
    <row r="1177" customFormat="false" ht="15" hidden="false" customHeight="false" outlineLevel="0" collapsed="false">
      <c r="A1177" s="3" t="s">
        <v>1207</v>
      </c>
      <c r="B1177" s="3" t="n">
        <v>38</v>
      </c>
      <c r="C1177" s="3" t="s">
        <v>16</v>
      </c>
      <c r="D1177" s="3" t="s">
        <v>17</v>
      </c>
      <c r="E1177" s="3" t="s">
        <v>28</v>
      </c>
      <c r="F1177" s="3" t="n">
        <v>1.2</v>
      </c>
      <c r="G1177" s="3" t="n">
        <v>3405.63</v>
      </c>
      <c r="H1177" s="3" t="s">
        <v>19</v>
      </c>
      <c r="I1177" s="3" t="n">
        <v>1</v>
      </c>
      <c r="J1177" s="3" t="n">
        <v>1</v>
      </c>
      <c r="K1177" s="3" t="n">
        <v>6</v>
      </c>
      <c r="L1177" s="3" t="n">
        <v>1</v>
      </c>
      <c r="M1177" s="3" t="n">
        <v>3</v>
      </c>
      <c r="N1177" s="3" t="s">
        <v>19</v>
      </c>
    </row>
    <row r="1178" customFormat="false" ht="15" hidden="false" customHeight="false" outlineLevel="0" collapsed="false">
      <c r="A1178" s="3" t="s">
        <v>1208</v>
      </c>
      <c r="B1178" s="3" t="n">
        <v>43</v>
      </c>
      <c r="C1178" s="3" t="s">
        <v>22</v>
      </c>
      <c r="D1178" s="3" t="s">
        <v>27</v>
      </c>
      <c r="E1178" s="3" t="s">
        <v>41</v>
      </c>
      <c r="F1178" s="3" t="n">
        <v>4.4</v>
      </c>
      <c r="G1178" s="3" t="n">
        <v>8214.32</v>
      </c>
      <c r="H1178" s="3" t="s">
        <v>19</v>
      </c>
      <c r="I1178" s="3" t="n">
        <v>4</v>
      </c>
      <c r="J1178" s="3" t="n">
        <v>4</v>
      </c>
      <c r="K1178" s="3" t="n">
        <v>9</v>
      </c>
      <c r="L1178" s="3" t="n">
        <v>0</v>
      </c>
      <c r="M1178" s="3" t="n">
        <v>3</v>
      </c>
      <c r="N1178" s="3" t="s">
        <v>19</v>
      </c>
    </row>
    <row r="1179" customFormat="false" ht="15" hidden="false" customHeight="false" outlineLevel="0" collapsed="false">
      <c r="A1179" s="3" t="s">
        <v>1209</v>
      </c>
      <c r="B1179" s="3" t="n">
        <v>37</v>
      </c>
      <c r="C1179" s="3" t="s">
        <v>16</v>
      </c>
      <c r="D1179" s="3" t="s">
        <v>17</v>
      </c>
      <c r="E1179" s="3" t="s">
        <v>28</v>
      </c>
      <c r="F1179" s="3" t="n">
        <v>0.5</v>
      </c>
      <c r="G1179" s="3" t="n">
        <v>2903.85</v>
      </c>
      <c r="H1179" s="3" t="s">
        <v>20</v>
      </c>
      <c r="I1179" s="3" t="n">
        <v>4</v>
      </c>
      <c r="J1179" s="3" t="n">
        <v>4</v>
      </c>
      <c r="K1179" s="3" t="n">
        <v>4</v>
      </c>
      <c r="L1179" s="3" t="n">
        <v>0</v>
      </c>
      <c r="M1179" s="3" t="n">
        <v>1</v>
      </c>
      <c r="N1179" s="3" t="s">
        <v>20</v>
      </c>
    </row>
    <row r="1180" customFormat="false" ht="15" hidden="false" customHeight="false" outlineLevel="0" collapsed="false">
      <c r="A1180" s="3" t="s">
        <v>1210</v>
      </c>
      <c r="B1180" s="3" t="n">
        <v>47</v>
      </c>
      <c r="C1180" s="3" t="s">
        <v>32</v>
      </c>
      <c r="D1180" s="3" t="s">
        <v>48</v>
      </c>
      <c r="E1180" s="3" t="s">
        <v>41</v>
      </c>
      <c r="F1180" s="3" t="n">
        <v>3.8</v>
      </c>
      <c r="G1180" s="3" t="n">
        <v>10364.61</v>
      </c>
      <c r="H1180" s="3" t="s">
        <v>19</v>
      </c>
      <c r="I1180" s="3" t="n">
        <v>3</v>
      </c>
      <c r="J1180" s="3" t="n">
        <v>3</v>
      </c>
      <c r="K1180" s="3" t="n">
        <v>1</v>
      </c>
      <c r="L1180" s="3" t="n">
        <v>2</v>
      </c>
      <c r="M1180" s="3" t="n">
        <v>1</v>
      </c>
      <c r="N1180" s="3" t="s">
        <v>19</v>
      </c>
    </row>
    <row r="1181" customFormat="false" ht="15" hidden="false" customHeight="false" outlineLevel="0" collapsed="false">
      <c r="A1181" s="3" t="s">
        <v>1211</v>
      </c>
      <c r="B1181" s="3" t="n">
        <v>30</v>
      </c>
      <c r="C1181" s="3" t="s">
        <v>26</v>
      </c>
      <c r="D1181" s="3" t="s">
        <v>17</v>
      </c>
      <c r="E1181" s="3" t="s">
        <v>28</v>
      </c>
      <c r="F1181" s="3" t="n">
        <v>0.2</v>
      </c>
      <c r="G1181" s="3" t="n">
        <v>3215.71</v>
      </c>
      <c r="H1181" s="3" t="s">
        <v>20</v>
      </c>
      <c r="I1181" s="3" t="n">
        <v>4</v>
      </c>
      <c r="J1181" s="3" t="n">
        <v>1</v>
      </c>
      <c r="K1181" s="3" t="n">
        <v>16</v>
      </c>
      <c r="L1181" s="3" t="n">
        <v>0</v>
      </c>
      <c r="M1181" s="3" t="n">
        <v>1</v>
      </c>
      <c r="N1181" s="3" t="s">
        <v>20</v>
      </c>
    </row>
    <row r="1182" customFormat="false" ht="15" hidden="false" customHeight="false" outlineLevel="0" collapsed="false">
      <c r="A1182" s="3" t="s">
        <v>1212</v>
      </c>
      <c r="B1182" s="3" t="n">
        <v>35</v>
      </c>
      <c r="C1182" s="3" t="s">
        <v>22</v>
      </c>
      <c r="D1182" s="3" t="s">
        <v>17</v>
      </c>
      <c r="E1182" s="3" t="s">
        <v>24</v>
      </c>
      <c r="F1182" s="3" t="n">
        <v>1.6</v>
      </c>
      <c r="G1182" s="3" t="n">
        <v>3213.23</v>
      </c>
      <c r="H1182" s="3" t="s">
        <v>20</v>
      </c>
      <c r="I1182" s="3" t="n">
        <v>4</v>
      </c>
      <c r="J1182" s="3" t="n">
        <v>3</v>
      </c>
      <c r="K1182" s="3" t="n">
        <v>21</v>
      </c>
      <c r="L1182" s="3" t="n">
        <v>0</v>
      </c>
      <c r="M1182" s="3" t="n">
        <v>2</v>
      </c>
      <c r="N1182" s="3" t="s">
        <v>19</v>
      </c>
    </row>
    <row r="1183" customFormat="false" ht="15" hidden="false" customHeight="false" outlineLevel="0" collapsed="false">
      <c r="A1183" s="3" t="s">
        <v>1213</v>
      </c>
      <c r="B1183" s="3" t="n">
        <v>30</v>
      </c>
      <c r="C1183" s="3" t="s">
        <v>45</v>
      </c>
      <c r="D1183" s="3" t="s">
        <v>23</v>
      </c>
      <c r="E1183" s="3" t="s">
        <v>41</v>
      </c>
      <c r="F1183" s="3" t="n">
        <v>0.9</v>
      </c>
      <c r="G1183" s="3" t="n">
        <v>4213.79</v>
      </c>
      <c r="H1183" s="3" t="s">
        <v>19</v>
      </c>
      <c r="I1183" s="3" t="n">
        <v>4</v>
      </c>
      <c r="J1183" s="3" t="n">
        <v>2</v>
      </c>
      <c r="K1183" s="3" t="n">
        <v>8</v>
      </c>
      <c r="L1183" s="3" t="n">
        <v>0</v>
      </c>
      <c r="M1183" s="3" t="n">
        <v>3</v>
      </c>
      <c r="N1183" s="3" t="s">
        <v>19</v>
      </c>
    </row>
    <row r="1184" customFormat="false" ht="15" hidden="false" customHeight="false" outlineLevel="0" collapsed="false">
      <c r="A1184" s="3" t="s">
        <v>1214</v>
      </c>
      <c r="B1184" s="3" t="n">
        <v>27</v>
      </c>
      <c r="C1184" s="3" t="s">
        <v>22</v>
      </c>
      <c r="D1184" s="3" t="s">
        <v>27</v>
      </c>
      <c r="E1184" s="3" t="s">
        <v>24</v>
      </c>
      <c r="F1184" s="3" t="n">
        <v>2.5</v>
      </c>
      <c r="G1184" s="3" t="n">
        <v>6178.9</v>
      </c>
      <c r="H1184" s="3" t="s">
        <v>20</v>
      </c>
      <c r="I1184" s="3" t="n">
        <v>3</v>
      </c>
      <c r="J1184" s="3" t="n">
        <v>3</v>
      </c>
      <c r="K1184" s="3" t="n">
        <v>9</v>
      </c>
      <c r="L1184" s="3" t="n">
        <v>0</v>
      </c>
      <c r="M1184" s="3" t="n">
        <v>2</v>
      </c>
      <c r="N1184" s="3" t="s">
        <v>19</v>
      </c>
    </row>
    <row r="1185" customFormat="false" ht="15" hidden="false" customHeight="false" outlineLevel="0" collapsed="false">
      <c r="A1185" s="3" t="s">
        <v>1215</v>
      </c>
      <c r="B1185" s="3" t="n">
        <v>41</v>
      </c>
      <c r="C1185" s="3" t="s">
        <v>26</v>
      </c>
      <c r="D1185" s="3" t="s">
        <v>17</v>
      </c>
      <c r="E1185" s="3" t="s">
        <v>24</v>
      </c>
      <c r="F1185" s="3" t="n">
        <v>2.1</v>
      </c>
      <c r="G1185" s="3" t="n">
        <v>3605.34</v>
      </c>
      <c r="H1185" s="3" t="s">
        <v>20</v>
      </c>
      <c r="I1185" s="3" t="n">
        <v>4</v>
      </c>
      <c r="J1185" s="3" t="n">
        <v>3</v>
      </c>
      <c r="K1185" s="3" t="n">
        <v>1</v>
      </c>
      <c r="L1185" s="3" t="n">
        <v>0</v>
      </c>
      <c r="M1185" s="3" t="n">
        <v>2</v>
      </c>
      <c r="N1185" s="3" t="s">
        <v>20</v>
      </c>
    </row>
    <row r="1186" customFormat="false" ht="15" hidden="false" customHeight="false" outlineLevel="0" collapsed="false">
      <c r="A1186" s="3" t="s">
        <v>1216</v>
      </c>
      <c r="B1186" s="3" t="n">
        <v>38</v>
      </c>
      <c r="C1186" s="3" t="s">
        <v>16</v>
      </c>
      <c r="D1186" s="3" t="s">
        <v>48</v>
      </c>
      <c r="E1186" s="3" t="s">
        <v>24</v>
      </c>
      <c r="F1186" s="3" t="n">
        <v>8.9</v>
      </c>
      <c r="G1186" s="3" t="n">
        <v>8311.94</v>
      </c>
      <c r="H1186" s="3" t="s">
        <v>19</v>
      </c>
      <c r="I1186" s="3" t="n">
        <v>2</v>
      </c>
      <c r="J1186" s="3" t="n">
        <v>3</v>
      </c>
      <c r="K1186" s="3" t="n">
        <v>12</v>
      </c>
      <c r="L1186" s="3" t="n">
        <v>1</v>
      </c>
      <c r="M1186" s="3" t="n">
        <v>1</v>
      </c>
      <c r="N1186" s="3" t="s">
        <v>19</v>
      </c>
    </row>
    <row r="1187" customFormat="false" ht="15" hidden="false" customHeight="false" outlineLevel="0" collapsed="false">
      <c r="A1187" s="3" t="s">
        <v>1217</v>
      </c>
      <c r="B1187" s="3" t="n">
        <v>46</v>
      </c>
      <c r="C1187" s="3" t="s">
        <v>16</v>
      </c>
      <c r="D1187" s="3" t="s">
        <v>27</v>
      </c>
      <c r="E1187" s="3" t="s">
        <v>41</v>
      </c>
      <c r="F1187" s="3" t="n">
        <v>0.2</v>
      </c>
      <c r="G1187" s="3" t="n">
        <v>7254.34</v>
      </c>
      <c r="H1187" s="3" t="s">
        <v>19</v>
      </c>
      <c r="I1187" s="3" t="n">
        <v>1</v>
      </c>
      <c r="J1187" s="3" t="n">
        <v>4</v>
      </c>
      <c r="K1187" s="3" t="n">
        <v>6</v>
      </c>
      <c r="L1187" s="3" t="n">
        <v>0</v>
      </c>
      <c r="M1187" s="3" t="n">
        <v>3</v>
      </c>
      <c r="N1187" s="3" t="s">
        <v>19</v>
      </c>
    </row>
    <row r="1188" customFormat="false" ht="15" hidden="false" customHeight="false" outlineLevel="0" collapsed="false">
      <c r="A1188" s="3" t="s">
        <v>1218</v>
      </c>
      <c r="B1188" s="3" t="n">
        <v>43</v>
      </c>
      <c r="C1188" s="3" t="s">
        <v>24</v>
      </c>
      <c r="D1188" s="3" t="s">
        <v>27</v>
      </c>
      <c r="E1188" s="3" t="s">
        <v>18</v>
      </c>
      <c r="F1188" s="3" t="n">
        <v>2.2</v>
      </c>
      <c r="G1188" s="3" t="n">
        <v>7521.87</v>
      </c>
      <c r="H1188" s="3" t="s">
        <v>19</v>
      </c>
      <c r="I1188" s="3" t="n">
        <v>3</v>
      </c>
      <c r="J1188" s="3" t="n">
        <v>3</v>
      </c>
      <c r="K1188" s="3" t="n">
        <v>1</v>
      </c>
      <c r="L1188" s="3" t="n">
        <v>2</v>
      </c>
      <c r="M1188" s="3" t="n">
        <v>2</v>
      </c>
      <c r="N1188" s="3" t="s">
        <v>19</v>
      </c>
    </row>
    <row r="1189" customFormat="false" ht="15" hidden="false" customHeight="false" outlineLevel="0" collapsed="false">
      <c r="A1189" s="3" t="s">
        <v>1219</v>
      </c>
      <c r="B1189" s="3" t="n">
        <v>21</v>
      </c>
      <c r="C1189" s="3" t="s">
        <v>24</v>
      </c>
      <c r="D1189" s="3" t="s">
        <v>23</v>
      </c>
      <c r="E1189" s="3" t="s">
        <v>24</v>
      </c>
      <c r="F1189" s="3" t="n">
        <v>0</v>
      </c>
      <c r="G1189" s="3" t="n">
        <v>5496.45</v>
      </c>
      <c r="H1189" s="3" t="s">
        <v>19</v>
      </c>
      <c r="I1189" s="3" t="n">
        <v>2</v>
      </c>
      <c r="J1189" s="3" t="n">
        <v>3</v>
      </c>
      <c r="K1189" s="3" t="n">
        <v>14</v>
      </c>
      <c r="L1189" s="3" t="n">
        <v>0</v>
      </c>
      <c r="M1189" s="3" t="n">
        <v>1</v>
      </c>
      <c r="N1189" s="3" t="s">
        <v>19</v>
      </c>
    </row>
    <row r="1190" customFormat="false" ht="15" hidden="false" customHeight="false" outlineLevel="0" collapsed="false">
      <c r="A1190" s="3" t="s">
        <v>1220</v>
      </c>
      <c r="B1190" s="3" t="n">
        <v>21</v>
      </c>
      <c r="C1190" s="3" t="s">
        <v>45</v>
      </c>
      <c r="D1190" s="3" t="s">
        <v>17</v>
      </c>
      <c r="E1190" s="3" t="s">
        <v>18</v>
      </c>
      <c r="F1190" s="3" t="n">
        <v>0</v>
      </c>
      <c r="G1190" s="3" t="n">
        <v>3160.24</v>
      </c>
      <c r="H1190" s="3" t="s">
        <v>19</v>
      </c>
      <c r="I1190" s="3" t="n">
        <v>3</v>
      </c>
      <c r="J1190" s="3" t="n">
        <v>3</v>
      </c>
      <c r="K1190" s="3" t="n">
        <v>11</v>
      </c>
      <c r="L1190" s="3" t="n">
        <v>0</v>
      </c>
      <c r="M1190" s="3" t="n">
        <v>4</v>
      </c>
      <c r="N1190" s="3" t="s">
        <v>19</v>
      </c>
    </row>
    <row r="1191" customFormat="false" ht="15" hidden="false" customHeight="false" outlineLevel="0" collapsed="false">
      <c r="A1191" s="3" t="s">
        <v>1221</v>
      </c>
      <c r="B1191" s="3" t="n">
        <v>27</v>
      </c>
      <c r="C1191" s="3" t="s">
        <v>26</v>
      </c>
      <c r="D1191" s="3" t="s">
        <v>23</v>
      </c>
      <c r="E1191" s="3" t="s">
        <v>28</v>
      </c>
      <c r="F1191" s="3" t="n">
        <v>6</v>
      </c>
      <c r="G1191" s="3" t="n">
        <v>4392.63</v>
      </c>
      <c r="H1191" s="3" t="s">
        <v>19</v>
      </c>
      <c r="I1191" s="3" t="n">
        <v>3</v>
      </c>
      <c r="J1191" s="3" t="n">
        <v>2</v>
      </c>
      <c r="K1191" s="3" t="n">
        <v>8</v>
      </c>
      <c r="L1191" s="3" t="n">
        <v>0</v>
      </c>
      <c r="M1191" s="3" t="n">
        <v>1</v>
      </c>
      <c r="N1191" s="3" t="s">
        <v>20</v>
      </c>
    </row>
    <row r="1192" customFormat="false" ht="15" hidden="false" customHeight="false" outlineLevel="0" collapsed="false">
      <c r="A1192" s="3" t="s">
        <v>1222</v>
      </c>
      <c r="B1192" s="3" t="n">
        <v>32</v>
      </c>
      <c r="C1192" s="3" t="s">
        <v>45</v>
      </c>
      <c r="D1192" s="3" t="s">
        <v>27</v>
      </c>
      <c r="E1192" s="3" t="s">
        <v>18</v>
      </c>
      <c r="F1192" s="3" t="n">
        <v>0.8</v>
      </c>
      <c r="G1192" s="3" t="n">
        <v>6496.41</v>
      </c>
      <c r="H1192" s="3" t="s">
        <v>19</v>
      </c>
      <c r="I1192" s="3" t="n">
        <v>4</v>
      </c>
      <c r="J1192" s="3" t="n">
        <v>3</v>
      </c>
      <c r="K1192" s="3" t="n">
        <v>10</v>
      </c>
      <c r="L1192" s="3" t="n">
        <v>0</v>
      </c>
      <c r="M1192" s="3" t="n">
        <v>3</v>
      </c>
      <c r="N1192" s="3" t="s">
        <v>19</v>
      </c>
    </row>
    <row r="1193" customFormat="false" ht="15" hidden="false" customHeight="false" outlineLevel="0" collapsed="false">
      <c r="A1193" s="3" t="s">
        <v>1223</v>
      </c>
      <c r="B1193" s="3" t="n">
        <v>49</v>
      </c>
      <c r="C1193" s="3" t="s">
        <v>24</v>
      </c>
      <c r="D1193" s="3" t="s">
        <v>23</v>
      </c>
      <c r="E1193" s="3" t="s">
        <v>18</v>
      </c>
      <c r="F1193" s="3" t="n">
        <v>0.4</v>
      </c>
      <c r="G1193" s="3" t="n">
        <v>5506.39</v>
      </c>
      <c r="H1193" s="3" t="s">
        <v>20</v>
      </c>
      <c r="I1193" s="3" t="n">
        <v>2</v>
      </c>
      <c r="J1193" s="3" t="n">
        <v>3</v>
      </c>
      <c r="K1193" s="3" t="n">
        <v>3</v>
      </c>
      <c r="L1193" s="3" t="n">
        <v>0</v>
      </c>
      <c r="M1193" s="3" t="n">
        <v>2</v>
      </c>
      <c r="N1193" s="3" t="s">
        <v>20</v>
      </c>
    </row>
    <row r="1194" customFormat="false" ht="15" hidden="false" customHeight="false" outlineLevel="0" collapsed="false">
      <c r="A1194" s="3" t="s">
        <v>1224</v>
      </c>
      <c r="B1194" s="3" t="n">
        <v>34</v>
      </c>
      <c r="C1194" s="3" t="s">
        <v>24</v>
      </c>
      <c r="D1194" s="3" t="s">
        <v>27</v>
      </c>
      <c r="E1194" s="3" t="s">
        <v>28</v>
      </c>
      <c r="F1194" s="3" t="n">
        <v>0.9</v>
      </c>
      <c r="G1194" s="3" t="n">
        <v>7775.55</v>
      </c>
      <c r="H1194" s="3" t="s">
        <v>19</v>
      </c>
      <c r="I1194" s="3" t="n">
        <v>2</v>
      </c>
      <c r="J1194" s="3" t="n">
        <v>3</v>
      </c>
      <c r="K1194" s="3" t="n">
        <v>17</v>
      </c>
      <c r="L1194" s="3" t="n">
        <v>0</v>
      </c>
      <c r="M1194" s="3" t="n">
        <v>2</v>
      </c>
      <c r="N1194" s="3" t="s">
        <v>19</v>
      </c>
    </row>
    <row r="1195" customFormat="false" ht="15" hidden="false" customHeight="false" outlineLevel="0" collapsed="false">
      <c r="A1195" s="3" t="s">
        <v>1225</v>
      </c>
      <c r="B1195" s="3" t="n">
        <v>31</v>
      </c>
      <c r="C1195" s="3" t="s">
        <v>22</v>
      </c>
      <c r="D1195" s="3" t="s">
        <v>27</v>
      </c>
      <c r="E1195" s="3" t="s">
        <v>18</v>
      </c>
      <c r="F1195" s="3" t="n">
        <v>2.6</v>
      </c>
      <c r="G1195" s="3" t="n">
        <v>6594.23</v>
      </c>
      <c r="H1195" s="3" t="s">
        <v>19</v>
      </c>
      <c r="I1195" s="3" t="n">
        <v>3</v>
      </c>
      <c r="J1195" s="3" t="n">
        <v>1</v>
      </c>
      <c r="K1195" s="3" t="n">
        <v>9</v>
      </c>
      <c r="L1195" s="3" t="n">
        <v>0</v>
      </c>
      <c r="M1195" s="3" t="n">
        <v>3</v>
      </c>
      <c r="N1195" s="3" t="s">
        <v>20</v>
      </c>
    </row>
    <row r="1196" customFormat="false" ht="15" hidden="false" customHeight="false" outlineLevel="0" collapsed="false">
      <c r="A1196" s="3" t="s">
        <v>1226</v>
      </c>
      <c r="B1196" s="3" t="n">
        <v>27</v>
      </c>
      <c r="C1196" s="3" t="s">
        <v>24</v>
      </c>
      <c r="D1196" s="3" t="s">
        <v>17</v>
      </c>
      <c r="E1196" s="3" t="s">
        <v>24</v>
      </c>
      <c r="F1196" s="3" t="n">
        <v>1.1</v>
      </c>
      <c r="G1196" s="3" t="n">
        <v>3596.96</v>
      </c>
      <c r="H1196" s="3" t="s">
        <v>19</v>
      </c>
      <c r="I1196" s="3" t="n">
        <v>1</v>
      </c>
      <c r="J1196" s="3" t="n">
        <v>4</v>
      </c>
      <c r="K1196" s="3" t="n">
        <v>9</v>
      </c>
      <c r="L1196" s="3" t="n">
        <v>1</v>
      </c>
      <c r="M1196" s="3" t="n">
        <v>2</v>
      </c>
      <c r="N1196" s="3" t="s">
        <v>19</v>
      </c>
    </row>
    <row r="1197" customFormat="false" ht="15" hidden="false" customHeight="false" outlineLevel="0" collapsed="false">
      <c r="A1197" s="3" t="s">
        <v>1227</v>
      </c>
      <c r="B1197" s="3" t="n">
        <v>36</v>
      </c>
      <c r="C1197" s="3" t="s">
        <v>26</v>
      </c>
      <c r="D1197" s="3" t="s">
        <v>17</v>
      </c>
      <c r="E1197" s="3" t="s">
        <v>18</v>
      </c>
      <c r="F1197" s="3" t="n">
        <v>8.4</v>
      </c>
      <c r="G1197" s="3" t="n">
        <v>3640.91</v>
      </c>
      <c r="H1197" s="3" t="s">
        <v>19</v>
      </c>
      <c r="I1197" s="3" t="n">
        <v>4</v>
      </c>
      <c r="J1197" s="3" t="n">
        <v>4</v>
      </c>
      <c r="K1197" s="3" t="n">
        <v>2</v>
      </c>
      <c r="L1197" s="3" t="n">
        <v>0</v>
      </c>
      <c r="M1197" s="3" t="n">
        <v>3</v>
      </c>
      <c r="N1197" s="3" t="s">
        <v>19</v>
      </c>
    </row>
    <row r="1198" customFormat="false" ht="15" hidden="false" customHeight="false" outlineLevel="0" collapsed="false">
      <c r="A1198" s="3" t="s">
        <v>1228</v>
      </c>
      <c r="B1198" s="3" t="n">
        <v>35</v>
      </c>
      <c r="C1198" s="3" t="s">
        <v>16</v>
      </c>
      <c r="D1198" s="3" t="s">
        <v>48</v>
      </c>
      <c r="E1198" s="3" t="s">
        <v>18</v>
      </c>
      <c r="F1198" s="3" t="n">
        <v>2.6</v>
      </c>
      <c r="G1198" s="3" t="n">
        <v>10682.11</v>
      </c>
      <c r="H1198" s="3" t="s">
        <v>19</v>
      </c>
      <c r="I1198" s="3" t="n">
        <v>3</v>
      </c>
      <c r="J1198" s="3" t="n">
        <v>4</v>
      </c>
      <c r="K1198" s="3" t="n">
        <v>11</v>
      </c>
      <c r="L1198" s="3" t="n">
        <v>2</v>
      </c>
      <c r="M1198" s="3" t="n">
        <v>0</v>
      </c>
      <c r="N1198" s="3" t="s">
        <v>19</v>
      </c>
    </row>
    <row r="1199" customFormat="false" ht="15" hidden="false" customHeight="false" outlineLevel="0" collapsed="false">
      <c r="A1199" s="3" t="s">
        <v>1229</v>
      </c>
      <c r="B1199" s="3" t="n">
        <v>29</v>
      </c>
      <c r="C1199" s="3" t="s">
        <v>32</v>
      </c>
      <c r="D1199" s="3" t="s">
        <v>23</v>
      </c>
      <c r="E1199" s="3" t="s">
        <v>41</v>
      </c>
      <c r="F1199" s="3" t="n">
        <v>3.1</v>
      </c>
      <c r="G1199" s="3" t="n">
        <v>4450.87</v>
      </c>
      <c r="H1199" s="4" t="s">
        <v>100</v>
      </c>
      <c r="I1199" s="3" t="n">
        <v>3</v>
      </c>
      <c r="J1199" s="3" t="n">
        <v>3</v>
      </c>
      <c r="K1199" s="3" t="n">
        <v>7</v>
      </c>
      <c r="L1199" s="3" t="n">
        <v>1</v>
      </c>
      <c r="M1199" s="3" t="n">
        <v>2</v>
      </c>
      <c r="N1199" s="3" t="s">
        <v>20</v>
      </c>
    </row>
    <row r="1200" customFormat="false" ht="15" hidden="false" customHeight="false" outlineLevel="0" collapsed="false">
      <c r="A1200" s="3" t="s">
        <v>1230</v>
      </c>
      <c r="B1200" s="3" t="n">
        <v>40</v>
      </c>
      <c r="C1200" s="3" t="s">
        <v>26</v>
      </c>
      <c r="D1200" s="3" t="s">
        <v>48</v>
      </c>
      <c r="E1200" s="3" t="s">
        <v>24</v>
      </c>
      <c r="F1200" s="3" t="n">
        <v>4.9</v>
      </c>
      <c r="G1200" s="3" t="n">
        <v>11084.09</v>
      </c>
      <c r="H1200" s="3" t="s">
        <v>19</v>
      </c>
      <c r="I1200" s="3" t="n">
        <v>1</v>
      </c>
      <c r="J1200" s="3" t="n">
        <v>2</v>
      </c>
      <c r="K1200" s="3" t="n">
        <v>8</v>
      </c>
      <c r="L1200" s="3" t="n">
        <v>4</v>
      </c>
      <c r="M1200" s="3" t="n">
        <v>0</v>
      </c>
      <c r="N1200" s="3" t="s">
        <v>20</v>
      </c>
    </row>
    <row r="1201" customFormat="false" ht="15" hidden="false" customHeight="false" outlineLevel="0" collapsed="false">
      <c r="A1201" s="3" t="s">
        <v>1231</v>
      </c>
      <c r="B1201" s="3" t="n">
        <v>42</v>
      </c>
      <c r="C1201" s="3" t="s">
        <v>45</v>
      </c>
      <c r="D1201" s="3" t="s">
        <v>17</v>
      </c>
      <c r="E1201" s="3" t="s">
        <v>28</v>
      </c>
      <c r="F1201" s="3" t="n">
        <v>4.7</v>
      </c>
      <c r="G1201" s="3" t="n">
        <v>3699.48</v>
      </c>
      <c r="H1201" s="3" t="s">
        <v>20</v>
      </c>
      <c r="I1201" s="3" t="n">
        <v>3</v>
      </c>
      <c r="J1201" s="3" t="n">
        <v>2</v>
      </c>
      <c r="K1201" s="3" t="n">
        <v>1</v>
      </c>
      <c r="L1201" s="3" t="n">
        <v>1</v>
      </c>
      <c r="M1201" s="3" t="n">
        <v>1</v>
      </c>
      <c r="N120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20"/>
    <col collapsed="false" customWidth="true" hidden="false" outlineLevel="0" max="13" min="11" style="0" width="22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5" t="s">
        <v>1232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customFormat="false" ht="15" hidden="false" customHeight="false" outlineLevel="0" collapsed="false">
      <c r="A3" s="3" t="str">
        <f aca="false">'1. Raw Data'!A2</f>
        <v>EMP-0001</v>
      </c>
      <c r="B3" s="3" t="n">
        <f aca="false">'1. Raw Data'!B2</f>
        <v>47</v>
      </c>
      <c r="C3" s="3" t="str">
        <f aca="false">'1. Raw Data'!C2</f>
        <v>Engineering</v>
      </c>
      <c r="D3" s="3" t="str">
        <f aca="false">'1. Raw Data'!D2</f>
        <v>Junior</v>
      </c>
      <c r="E3" s="3" t="str">
        <f aca="false">'1. Raw Data'!E2</f>
        <v>Business</v>
      </c>
      <c r="F3" s="3" t="n">
        <f aca="false">'1. Raw Data'!F2</f>
        <v>11.4</v>
      </c>
      <c r="G3" s="3" t="n">
        <f aca="false">IF('1. Raw Data'!G2="",ROUND(IFERROR(AVERAGEIFS('1. Raw Data'!G2:G1201,'1. Raw Data'!C2:C1201,'1. Raw Data'!C2,'1. Raw Data'!D2:D1201,'1. Raw Data'!D2),0),2),'1. Raw Data'!G2)</f>
        <v>3323.12</v>
      </c>
      <c r="H3" s="3" t="str">
        <f aca="false">PROPER('1. Raw Data'!H2)</f>
        <v>No</v>
      </c>
      <c r="I3" s="3" t="n">
        <f aca="false">'1. Raw Data'!I2</f>
        <v>1</v>
      </c>
      <c r="J3" s="3" t="n">
        <f aca="false">'1. Raw Data'!J2</f>
        <v>2</v>
      </c>
      <c r="K3" s="3" t="n">
        <f aca="false">'1. Raw Data'!K2</f>
        <v>5</v>
      </c>
      <c r="L3" s="3" t="n">
        <f aca="false">'1. Raw Data'!L2</f>
        <v>2</v>
      </c>
      <c r="M3" s="3" t="n">
        <f aca="false">'1. Raw Data'!M2</f>
        <v>2</v>
      </c>
      <c r="N3" s="3" t="str">
        <f aca="false">'1. Raw Data'!N2</f>
        <v>Yes</v>
      </c>
    </row>
    <row r="4" customFormat="false" ht="15" hidden="false" customHeight="false" outlineLevel="0" collapsed="false">
      <c r="A4" s="3" t="str">
        <f aca="false">'1. Raw Data'!A3</f>
        <v>EMP-0002</v>
      </c>
      <c r="B4" s="3" t="n">
        <f aca="false">'1. Raw Data'!B3</f>
        <v>30</v>
      </c>
      <c r="C4" s="3" t="str">
        <f aca="false">'1. Raw Data'!C3</f>
        <v>Sales</v>
      </c>
      <c r="D4" s="3" t="str">
        <f aca="false">'1. Raw Data'!D3</f>
        <v>Mid</v>
      </c>
      <c r="E4" s="3" t="str">
        <f aca="false">'1. Raw Data'!E3</f>
        <v>Marketing</v>
      </c>
      <c r="F4" s="3" t="n">
        <f aca="false">'1. Raw Data'!F3</f>
        <v>7.2</v>
      </c>
      <c r="G4" s="3" t="n">
        <f aca="false">IF('1. Raw Data'!G3="",ROUND(IFERROR(AVERAGEIFS('1. Raw Data'!G2:G1201,'1. Raw Data'!C2:C1201,'1. Raw Data'!C3,'1. Raw Data'!D2:D1201,'1. Raw Data'!D3),0),2),'1. Raw Data'!G3)</f>
        <v>4438.49</v>
      </c>
      <c r="H4" s="3" t="str">
        <f aca="false">PROPER('1. Raw Data'!H3)</f>
        <v>No</v>
      </c>
      <c r="I4" s="3" t="n">
        <f aca="false">'1. Raw Data'!I3</f>
        <v>4</v>
      </c>
      <c r="J4" s="3" t="n">
        <f aca="false">'1. Raw Data'!J3</f>
        <v>1</v>
      </c>
      <c r="K4" s="3" t="n">
        <f aca="false">'1. Raw Data'!K3</f>
        <v>7</v>
      </c>
      <c r="L4" s="3" t="n">
        <f aca="false">'1. Raw Data'!L3</f>
        <v>5</v>
      </c>
      <c r="M4" s="3" t="n">
        <f aca="false">'1. Raw Data'!M3</f>
        <v>1</v>
      </c>
      <c r="N4" s="3" t="str">
        <f aca="false">'1. Raw Data'!N3</f>
        <v>No</v>
      </c>
    </row>
    <row r="5" customFormat="false" ht="15" hidden="false" customHeight="false" outlineLevel="0" collapsed="false">
      <c r="A5" s="3" t="str">
        <f aca="false">'1. Raw Data'!A4</f>
        <v>EMP-0003</v>
      </c>
      <c r="B5" s="3" t="n">
        <f aca="false">'1. Raw Data'!B4</f>
        <v>34</v>
      </c>
      <c r="C5" s="3" t="str">
        <f aca="false">'1. Raw Data'!C4</f>
        <v>Customer Support</v>
      </c>
      <c r="D5" s="3" t="str">
        <f aca="false">'1. Raw Data'!D4</f>
        <v>Senior</v>
      </c>
      <c r="E5" s="3" t="str">
        <f aca="false">'1. Raw Data'!E4</f>
        <v>Technical</v>
      </c>
      <c r="F5" s="3" t="n">
        <f aca="false">'1. Raw Data'!F4</f>
        <v>4.2</v>
      </c>
      <c r="G5" s="3" t="n">
        <f aca="false">IF('1. Raw Data'!G4="",ROUND(IFERROR(AVERAGEIFS('1. Raw Data'!G2:G1201,'1. Raw Data'!C2:C1201,'1. Raw Data'!C4,'1. Raw Data'!D2:D1201,'1. Raw Data'!D4),0),2),'1. Raw Data'!G4)</f>
        <v>7805.91</v>
      </c>
      <c r="H5" s="3" t="str">
        <f aca="false">PROPER('1. Raw Data'!H4)</f>
        <v>Yes</v>
      </c>
      <c r="I5" s="3" t="n">
        <f aca="false">'1. Raw Data'!I4</f>
        <v>2</v>
      </c>
      <c r="J5" s="3" t="n">
        <f aca="false">'1. Raw Data'!J4</f>
        <v>3</v>
      </c>
      <c r="K5" s="3" t="n">
        <f aca="false">'1. Raw Data'!K4</f>
        <v>3</v>
      </c>
      <c r="L5" s="3" t="n">
        <f aca="false">'1. Raw Data'!L4</f>
        <v>1</v>
      </c>
      <c r="M5" s="3" t="n">
        <f aca="false">'1. Raw Data'!M4</f>
        <v>3</v>
      </c>
      <c r="N5" s="3" t="str">
        <f aca="false">'1. Raw Data'!N4</f>
        <v>No</v>
      </c>
    </row>
    <row r="6" customFormat="false" ht="15" hidden="false" customHeight="false" outlineLevel="0" collapsed="false">
      <c r="A6" s="3" t="str">
        <f aca="false">'1. Raw Data'!A5</f>
        <v>EMP-0004</v>
      </c>
      <c r="B6" s="3" t="n">
        <f aca="false">'1. Raw Data'!B5</f>
        <v>25</v>
      </c>
      <c r="C6" s="3" t="str">
        <f aca="false">'1. Raw Data'!C5</f>
        <v>Sales</v>
      </c>
      <c r="D6" s="3" t="str">
        <f aca="false">'1. Raw Data'!D5</f>
        <v>Mid</v>
      </c>
      <c r="E6" s="3" t="str">
        <f aca="false">'1. Raw Data'!E5</f>
        <v>Business</v>
      </c>
      <c r="F6" s="3" t="n">
        <f aca="false">'1. Raw Data'!F5</f>
        <v>1</v>
      </c>
      <c r="G6" s="3" t="n">
        <f aca="false">IF('1. Raw Data'!G5="",ROUND(IFERROR(AVERAGEIFS('1. Raw Data'!G2:G1201,'1. Raw Data'!C2:C1201,'1. Raw Data'!C5,'1. Raw Data'!D2:D1201,'1. Raw Data'!D5),0),2),'1. Raw Data'!G5)</f>
        <v>4840.78</v>
      </c>
      <c r="H6" s="3" t="str">
        <f aca="false">PROPER('1. Raw Data'!H5)</f>
        <v>Yes</v>
      </c>
      <c r="I6" s="3" t="n">
        <f aca="false">'1. Raw Data'!I5</f>
        <v>3</v>
      </c>
      <c r="J6" s="3" t="n">
        <f aca="false">'1. Raw Data'!J5</f>
        <v>3</v>
      </c>
      <c r="K6" s="3" t="n">
        <f aca="false">'1. Raw Data'!K5</f>
        <v>4</v>
      </c>
      <c r="L6" s="3" t="n">
        <f aca="false">'1. Raw Data'!L5</f>
        <v>1</v>
      </c>
      <c r="M6" s="3" t="n">
        <f aca="false">'1. Raw Data'!M5</f>
        <v>2</v>
      </c>
      <c r="N6" s="3" t="str">
        <f aca="false">'1. Raw Data'!N5</f>
        <v>No</v>
      </c>
    </row>
    <row r="7" customFormat="false" ht="15" hidden="false" customHeight="false" outlineLevel="0" collapsed="false">
      <c r="A7" s="3" t="str">
        <f aca="false">'1. Raw Data'!A6</f>
        <v>EMP-0005</v>
      </c>
      <c r="B7" s="3" t="n">
        <f aca="false">'1. Raw Data'!B6</f>
        <v>21</v>
      </c>
      <c r="C7" s="3" t="str">
        <f aca="false">'1. Raw Data'!C6</f>
        <v>Sales</v>
      </c>
      <c r="D7" s="3" t="str">
        <f aca="false">'1. Raw Data'!D6</f>
        <v>Mid</v>
      </c>
      <c r="E7" s="3" t="str">
        <f aca="false">'1. Raw Data'!E6</f>
        <v>Business</v>
      </c>
      <c r="F7" s="3" t="n">
        <f aca="false">'1. Raw Data'!F6</f>
        <v>0</v>
      </c>
      <c r="G7" s="3" t="n">
        <f aca="false">IF('1. Raw Data'!G6="",ROUND(IFERROR(AVERAGEIFS('1. Raw Data'!G2:G1201,'1. Raw Data'!C2:C1201,'1. Raw Data'!C6,'1. Raw Data'!D2:D1201,'1. Raw Data'!D6),0),2),'1. Raw Data'!G6)</f>
        <v>4958.48</v>
      </c>
      <c r="H7" s="3" t="str">
        <f aca="false">PROPER('1. Raw Data'!H6)</f>
        <v>No</v>
      </c>
      <c r="I7" s="3" t="n">
        <f aca="false">'1. Raw Data'!I6</f>
        <v>1</v>
      </c>
      <c r="J7" s="3" t="n">
        <f aca="false">'1. Raw Data'!J6</f>
        <v>1</v>
      </c>
      <c r="K7" s="3" t="n">
        <f aca="false">'1. Raw Data'!K6</f>
        <v>9</v>
      </c>
      <c r="L7" s="3" t="n">
        <f aca="false">'1. Raw Data'!L6</f>
        <v>0</v>
      </c>
      <c r="M7" s="3" t="n">
        <f aca="false">'1. Raw Data'!M6</f>
        <v>3</v>
      </c>
      <c r="N7" s="3" t="str">
        <f aca="false">'1. Raw Data'!N6</f>
        <v>Yes</v>
      </c>
    </row>
    <row r="8" customFormat="false" ht="15" hidden="false" customHeight="false" outlineLevel="0" collapsed="false">
      <c r="A8" s="3" t="str">
        <f aca="false">'1. Raw Data'!A7</f>
        <v>EMP-0006</v>
      </c>
      <c r="B8" s="3" t="n">
        <f aca="false">'1. Raw Data'!B7</f>
        <v>21</v>
      </c>
      <c r="C8" s="3" t="str">
        <f aca="false">'1. Raw Data'!C7</f>
        <v>Finance</v>
      </c>
      <c r="D8" s="3" t="str">
        <f aca="false">'1. Raw Data'!D7</f>
        <v>Junior</v>
      </c>
      <c r="E8" s="3" t="str">
        <f aca="false">'1. Raw Data'!E7</f>
        <v>Technical</v>
      </c>
      <c r="F8" s="3" t="n">
        <f aca="false">'1. Raw Data'!F7</f>
        <v>0</v>
      </c>
      <c r="G8" s="3" t="n">
        <f aca="false">IF('1. Raw Data'!G7="",ROUND(IFERROR(AVERAGEIFS('1. Raw Data'!G2:G1201,'1. Raw Data'!C2:C1201,'1. Raw Data'!C7,'1. Raw Data'!D2:D1201,'1. Raw Data'!D7),0),2),'1. Raw Data'!G7)</f>
        <v>2983.33</v>
      </c>
      <c r="H8" s="3" t="str">
        <f aca="false">PROPER('1. Raw Data'!H7)</f>
        <v>No</v>
      </c>
      <c r="I8" s="3" t="n">
        <f aca="false">'1. Raw Data'!I7</f>
        <v>4</v>
      </c>
      <c r="J8" s="3" t="n">
        <f aca="false">'1. Raw Data'!J7</f>
        <v>4</v>
      </c>
      <c r="K8" s="3" t="n">
        <f aca="false">'1. Raw Data'!K7</f>
        <v>5</v>
      </c>
      <c r="L8" s="3" t="n">
        <f aca="false">'1. Raw Data'!L7</f>
        <v>0</v>
      </c>
      <c r="M8" s="3" t="n">
        <f aca="false">'1. Raw Data'!M7</f>
        <v>0</v>
      </c>
      <c r="N8" s="3" t="str">
        <f aca="false">'1. Raw Data'!N7</f>
        <v>No</v>
      </c>
    </row>
    <row r="9" customFormat="false" ht="15" hidden="false" customHeight="false" outlineLevel="0" collapsed="false">
      <c r="A9" s="3" t="str">
        <f aca="false">'1. Raw Data'!A8</f>
        <v>EMP-0007</v>
      </c>
      <c r="B9" s="3" t="n">
        <f aca="false">'1. Raw Data'!B8</f>
        <v>47</v>
      </c>
      <c r="C9" s="3" t="str">
        <f aca="false">'1. Raw Data'!C8</f>
        <v>Customer Support</v>
      </c>
      <c r="D9" s="3" t="str">
        <f aca="false">'1. Raw Data'!D8</f>
        <v>Mid</v>
      </c>
      <c r="E9" s="3" t="str">
        <f aca="false">'1. Raw Data'!E8</f>
        <v>Business</v>
      </c>
      <c r="F9" s="3" t="n">
        <f aca="false">'1. Raw Data'!F8</f>
        <v>2</v>
      </c>
      <c r="G9" s="3" t="n">
        <f aca="false">IF('1. Raw Data'!G8="",ROUND(IFERROR(AVERAGEIFS('1. Raw Data'!G2:G1201,'1. Raw Data'!C2:C1201,'1. Raw Data'!C8,'1. Raw Data'!D2:D1201,'1. Raw Data'!D8),0),2),'1. Raw Data'!G8)</f>
        <v>4309.95</v>
      </c>
      <c r="H9" s="3" t="str">
        <f aca="false">PROPER('1. Raw Data'!H8)</f>
        <v>Yes</v>
      </c>
      <c r="I9" s="3" t="n">
        <f aca="false">'1. Raw Data'!I8</f>
        <v>3</v>
      </c>
      <c r="J9" s="3" t="n">
        <f aca="false">'1. Raw Data'!J8</f>
        <v>2</v>
      </c>
      <c r="K9" s="3" t="n">
        <f aca="false">'1. Raw Data'!K8</f>
        <v>1</v>
      </c>
      <c r="L9" s="3" t="n">
        <f aca="false">'1. Raw Data'!L8</f>
        <v>1</v>
      </c>
      <c r="M9" s="3" t="n">
        <f aca="false">'1. Raw Data'!M8</f>
        <v>4</v>
      </c>
      <c r="N9" s="3" t="str">
        <f aca="false">'1. Raw Data'!N8</f>
        <v>No</v>
      </c>
    </row>
    <row r="10" customFormat="false" ht="15" hidden="false" customHeight="false" outlineLevel="0" collapsed="false">
      <c r="A10" s="3" t="str">
        <f aca="false">'1. Raw Data'!A9</f>
        <v>EMP-0008</v>
      </c>
      <c r="B10" s="3" t="n">
        <f aca="false">'1. Raw Data'!B9</f>
        <v>31</v>
      </c>
      <c r="C10" s="3" t="str">
        <f aca="false">'1. Raw Data'!C9</f>
        <v>Customer Support</v>
      </c>
      <c r="D10" s="3" t="str">
        <f aca="false">'1. Raw Data'!D9</f>
        <v>Mid</v>
      </c>
      <c r="E10" s="3" t="str">
        <f aca="false">'1. Raw Data'!E9</f>
        <v>Technical</v>
      </c>
      <c r="F10" s="3" t="n">
        <f aca="false">'1. Raw Data'!F9</f>
        <v>6.5</v>
      </c>
      <c r="G10" s="3" t="n">
        <f aca="false">IF('1. Raw Data'!G9="",ROUND(IFERROR(AVERAGEIFS('1. Raw Data'!G2:G1201,'1. Raw Data'!C2:C1201,'1. Raw Data'!C9,'1. Raw Data'!D2:D1201,'1. Raw Data'!D9),0),2),'1. Raw Data'!G9)</f>
        <v>5213.86</v>
      </c>
      <c r="H10" s="3" t="str">
        <f aca="false">PROPER('1. Raw Data'!H9)</f>
        <v>No</v>
      </c>
      <c r="I10" s="3" t="n">
        <f aca="false">'1. Raw Data'!I9</f>
        <v>4</v>
      </c>
      <c r="J10" s="3" t="n">
        <f aca="false">'1. Raw Data'!J9</f>
        <v>1</v>
      </c>
      <c r="K10" s="3" t="n">
        <f aca="false">'1. Raw Data'!K9</f>
        <v>16</v>
      </c>
      <c r="L10" s="3" t="n">
        <f aca="false">'1. Raw Data'!L9</f>
        <v>0</v>
      </c>
      <c r="M10" s="3" t="n">
        <f aca="false">'1. Raw Data'!M9</f>
        <v>3</v>
      </c>
      <c r="N10" s="3" t="str">
        <f aca="false">'1. Raw Data'!N9</f>
        <v>No</v>
      </c>
    </row>
    <row r="11" customFormat="false" ht="15" hidden="false" customHeight="false" outlineLevel="0" collapsed="false">
      <c r="A11" s="3" t="str">
        <f aca="false">'1. Raw Data'!A10</f>
        <v>EMP-0009</v>
      </c>
      <c r="B11" s="3" t="n">
        <f aca="false">'1. Raw Data'!B10</f>
        <v>32</v>
      </c>
      <c r="C11" s="3" t="str">
        <f aca="false">'1. Raw Data'!C10</f>
        <v>Sales</v>
      </c>
      <c r="D11" s="3" t="str">
        <f aca="false">'1. Raw Data'!D10</f>
        <v>Senior</v>
      </c>
      <c r="E11" s="3" t="str">
        <f aca="false">'1. Raw Data'!E10</f>
        <v>Marketing</v>
      </c>
      <c r="F11" s="3" t="n">
        <f aca="false">'1. Raw Data'!F10</f>
        <v>5</v>
      </c>
      <c r="G11" s="3" t="n">
        <f aca="false">IF('1. Raw Data'!G10="",ROUND(IFERROR(AVERAGEIFS('1. Raw Data'!G2:G1201,'1. Raw Data'!C2:C1201,'1. Raw Data'!C10,'1. Raw Data'!D2:D1201,'1. Raw Data'!D10),0),2),'1. Raw Data'!G10)</f>
        <v>7197.82</v>
      </c>
      <c r="H11" s="3" t="str">
        <f aca="false">PROPER('1. Raw Data'!H10)</f>
        <v>No</v>
      </c>
      <c r="I11" s="3" t="n">
        <f aca="false">'1. Raw Data'!I10</f>
        <v>4</v>
      </c>
      <c r="J11" s="3" t="n">
        <f aca="false">'1. Raw Data'!J10</f>
        <v>4</v>
      </c>
      <c r="K11" s="3" t="n">
        <f aca="false">'1. Raw Data'!K10</f>
        <v>11</v>
      </c>
      <c r="L11" s="3" t="n">
        <f aca="false">'1. Raw Data'!L10</f>
        <v>0</v>
      </c>
      <c r="M11" s="3" t="n">
        <f aca="false">'1. Raw Data'!M10</f>
        <v>2</v>
      </c>
      <c r="N11" s="3" t="str">
        <f aca="false">'1. Raw Data'!N10</f>
        <v>No</v>
      </c>
    </row>
    <row r="12" customFormat="false" ht="15" hidden="false" customHeight="false" outlineLevel="0" collapsed="false">
      <c r="A12" s="3" t="str">
        <f aca="false">'1. Raw Data'!A11</f>
        <v>EMP-0010</v>
      </c>
      <c r="B12" s="3" t="n">
        <f aca="false">'1. Raw Data'!B11</f>
        <v>29</v>
      </c>
      <c r="C12" s="3" t="str">
        <f aca="false">'1. Raw Data'!C11</f>
        <v>Engineering</v>
      </c>
      <c r="D12" s="3" t="str">
        <f aca="false">'1. Raw Data'!D11</f>
        <v>Mid</v>
      </c>
      <c r="E12" s="3" t="str">
        <f aca="false">'1. Raw Data'!E11</f>
        <v>Marketing</v>
      </c>
      <c r="F12" s="3" t="n">
        <f aca="false">'1. Raw Data'!F11</f>
        <v>2.8</v>
      </c>
      <c r="G12" s="3" t="n">
        <f aca="false">IF('1. Raw Data'!G11="",ROUND(IFERROR(AVERAGEIFS('1. Raw Data'!G2:G1201,'1. Raw Data'!C2:C1201,'1. Raw Data'!C11,'1. Raw Data'!D2:D1201,'1. Raw Data'!D11),0),2),'1. Raw Data'!G11)</f>
        <v>5471.8</v>
      </c>
      <c r="H12" s="3" t="str">
        <f aca="false">PROPER('1. Raw Data'!H11)</f>
        <v>No</v>
      </c>
      <c r="I12" s="3" t="n">
        <f aca="false">'1. Raw Data'!I11</f>
        <v>2</v>
      </c>
      <c r="J12" s="3" t="n">
        <f aca="false">'1. Raw Data'!J11</f>
        <v>2</v>
      </c>
      <c r="K12" s="3" t="n">
        <f aca="false">'1. Raw Data'!K11</f>
        <v>8</v>
      </c>
      <c r="L12" s="3" t="n">
        <f aca="false">'1. Raw Data'!L11</f>
        <v>0</v>
      </c>
      <c r="M12" s="3" t="n">
        <f aca="false">'1. Raw Data'!M11</f>
        <v>1</v>
      </c>
      <c r="N12" s="3" t="str">
        <f aca="false">'1. Raw Data'!N11</f>
        <v>Yes</v>
      </c>
    </row>
    <row r="13" customFormat="false" ht="15" hidden="false" customHeight="false" outlineLevel="0" collapsed="false">
      <c r="A13" s="3" t="str">
        <f aca="false">'1. Raw Data'!A12</f>
        <v>EMP-0011</v>
      </c>
      <c r="B13" s="3" t="n">
        <f aca="false">'1. Raw Data'!B12</f>
        <v>37</v>
      </c>
      <c r="C13" s="3" t="str">
        <f aca="false">'1. Raw Data'!C12</f>
        <v>Customer Support</v>
      </c>
      <c r="D13" s="3" t="str">
        <f aca="false">'1. Raw Data'!D12</f>
        <v>Mid</v>
      </c>
      <c r="E13" s="3" t="str">
        <f aca="false">'1. Raw Data'!E12</f>
        <v>Business</v>
      </c>
      <c r="F13" s="3" t="n">
        <f aca="false">'1. Raw Data'!F12</f>
        <v>0.1</v>
      </c>
      <c r="G13" s="3" t="n">
        <f aca="false">IF('1. Raw Data'!G12="",ROUND(IFERROR(AVERAGEIFS('1. Raw Data'!G2:G1201,'1. Raw Data'!C2:C1201,'1. Raw Data'!C12,'1. Raw Data'!D2:D1201,'1. Raw Data'!D12),0),2),'1. Raw Data'!G12)</f>
        <v>4974.84</v>
      </c>
      <c r="H13" s="3" t="str">
        <f aca="false">PROPER('1. Raw Data'!H12)</f>
        <v>No</v>
      </c>
      <c r="I13" s="3" t="n">
        <f aca="false">'1. Raw Data'!I12</f>
        <v>4</v>
      </c>
      <c r="J13" s="3" t="n">
        <f aca="false">'1. Raw Data'!J12</f>
        <v>2</v>
      </c>
      <c r="K13" s="3" t="n">
        <f aca="false">'1. Raw Data'!K12</f>
        <v>1</v>
      </c>
      <c r="L13" s="3" t="n">
        <f aca="false">'1. Raw Data'!L12</f>
        <v>0</v>
      </c>
      <c r="M13" s="3" t="n">
        <f aca="false">'1. Raw Data'!M12</f>
        <v>2</v>
      </c>
      <c r="N13" s="3" t="str">
        <f aca="false">'1. Raw Data'!N12</f>
        <v>No</v>
      </c>
    </row>
    <row r="14" customFormat="false" ht="15" hidden="false" customHeight="false" outlineLevel="0" collapsed="false">
      <c r="A14" s="3" t="str">
        <f aca="false">'1. Raw Data'!A13</f>
        <v>EMP-0012</v>
      </c>
      <c r="B14" s="3" t="n">
        <f aca="false">'1. Raw Data'!B13</f>
        <v>37</v>
      </c>
      <c r="C14" s="3" t="str">
        <f aca="false">'1. Raw Data'!C13</f>
        <v>Customer Support</v>
      </c>
      <c r="D14" s="3" t="str">
        <f aca="false">'1. Raw Data'!D13</f>
        <v>Mid</v>
      </c>
      <c r="E14" s="3" t="str">
        <f aca="false">'1. Raw Data'!E13</f>
        <v>Marketing</v>
      </c>
      <c r="F14" s="3" t="n">
        <f aca="false">'1. Raw Data'!F13</f>
        <v>5.6</v>
      </c>
      <c r="G14" s="3" t="n">
        <f aca="false">IF('1. Raw Data'!G13="",ROUND(IFERROR(AVERAGEIFS('1. Raw Data'!G2:G1201,'1. Raw Data'!C2:C1201,'1. Raw Data'!C13,'1. Raw Data'!D2:D1201,'1. Raw Data'!D13),0),2),'1. Raw Data'!G13)</f>
        <v>4362.7</v>
      </c>
      <c r="H14" s="3" t="str">
        <f aca="false">PROPER('1. Raw Data'!H13)</f>
        <v>No</v>
      </c>
      <c r="I14" s="3" t="n">
        <f aca="false">'1. Raw Data'!I13</f>
        <v>4</v>
      </c>
      <c r="J14" s="3" t="n">
        <f aca="false">'1. Raw Data'!J13</f>
        <v>3</v>
      </c>
      <c r="K14" s="3" t="n">
        <f aca="false">'1. Raw Data'!K13</f>
        <v>1</v>
      </c>
      <c r="L14" s="3" t="n">
        <f aca="false">'1. Raw Data'!L13</f>
        <v>0</v>
      </c>
      <c r="M14" s="3" t="n">
        <f aca="false">'1. Raw Data'!M13</f>
        <v>2</v>
      </c>
      <c r="N14" s="3" t="str">
        <f aca="false">'1. Raw Data'!N13</f>
        <v>Yes</v>
      </c>
    </row>
    <row r="15" customFormat="false" ht="15" hidden="false" customHeight="false" outlineLevel="0" collapsed="false">
      <c r="A15" s="3" t="str">
        <f aca="false">'1. Raw Data'!A14</f>
        <v>EMP-0013</v>
      </c>
      <c r="B15" s="3" t="n">
        <f aca="false">'1. Raw Data'!B14</f>
        <v>29</v>
      </c>
      <c r="C15" s="3" t="str">
        <f aca="false">'1. Raw Data'!C14</f>
        <v>Sales</v>
      </c>
      <c r="D15" s="3" t="str">
        <f aca="false">'1. Raw Data'!D14</f>
        <v>Senior</v>
      </c>
      <c r="E15" s="3" t="str">
        <f aca="false">'1. Raw Data'!E14</f>
        <v>Business</v>
      </c>
      <c r="F15" s="3" t="n">
        <f aca="false">'1. Raw Data'!F14</f>
        <v>0.5</v>
      </c>
      <c r="G15" s="3" t="n">
        <f aca="false">IF('1. Raw Data'!G14="",ROUND(IFERROR(AVERAGEIFS('1. Raw Data'!G2:G1201,'1. Raw Data'!C2:C1201,'1. Raw Data'!C14,'1. Raw Data'!D2:D1201,'1. Raw Data'!D14),0),2),'1. Raw Data'!G14)</f>
        <v>6178.44</v>
      </c>
      <c r="H15" s="3" t="str">
        <f aca="false">PROPER('1. Raw Data'!H14)</f>
        <v>No</v>
      </c>
      <c r="I15" s="3" t="n">
        <f aca="false">'1. Raw Data'!I14</f>
        <v>3</v>
      </c>
      <c r="J15" s="3" t="n">
        <f aca="false">'1. Raw Data'!J14</f>
        <v>3</v>
      </c>
      <c r="K15" s="3" t="n">
        <f aca="false">'1. Raw Data'!K14</f>
        <v>1</v>
      </c>
      <c r="L15" s="3" t="n">
        <f aca="false">'1. Raw Data'!L14</f>
        <v>0</v>
      </c>
      <c r="M15" s="3" t="n">
        <f aca="false">'1. Raw Data'!M14</f>
        <v>3</v>
      </c>
      <c r="N15" s="3" t="str">
        <f aca="false">'1. Raw Data'!N14</f>
        <v>Yes</v>
      </c>
    </row>
    <row r="16" customFormat="false" ht="15" hidden="false" customHeight="false" outlineLevel="0" collapsed="false">
      <c r="A16" s="3" t="str">
        <f aca="false">'1. Raw Data'!A15</f>
        <v>EMP-0014</v>
      </c>
      <c r="B16" s="3" t="n">
        <f aca="false">'1. Raw Data'!B15</f>
        <v>32</v>
      </c>
      <c r="C16" s="3" t="str">
        <f aca="false">'1. Raw Data'!C15</f>
        <v>Customer Support</v>
      </c>
      <c r="D16" s="3" t="str">
        <f aca="false">'1. Raw Data'!D15</f>
        <v>Mid</v>
      </c>
      <c r="E16" s="3" t="str">
        <f aca="false">'1. Raw Data'!E15</f>
        <v>Other</v>
      </c>
      <c r="F16" s="3" t="n">
        <f aca="false">'1. Raw Data'!F15</f>
        <v>5.3</v>
      </c>
      <c r="G16" s="3" t="n">
        <f aca="false">IF('1. Raw Data'!G15="",ROUND(IFERROR(AVERAGEIFS('1. Raw Data'!G2:G1201,'1. Raw Data'!C2:C1201,'1. Raw Data'!C15,'1. Raw Data'!D2:D1201,'1. Raw Data'!D15),0),2),'1. Raw Data'!G15)</f>
        <v>5636.71</v>
      </c>
      <c r="H16" s="3" t="str">
        <f aca="false">PROPER('1. Raw Data'!H15)</f>
        <v>Yes</v>
      </c>
      <c r="I16" s="3" t="n">
        <f aca="false">'1. Raw Data'!I15</f>
        <v>4</v>
      </c>
      <c r="J16" s="3" t="n">
        <f aca="false">'1. Raw Data'!J15</f>
        <v>4</v>
      </c>
      <c r="K16" s="3" t="n">
        <f aca="false">'1. Raw Data'!K15</f>
        <v>7</v>
      </c>
      <c r="L16" s="3" t="n">
        <f aca="false">'1. Raw Data'!L15</f>
        <v>4</v>
      </c>
      <c r="M16" s="3" t="n">
        <f aca="false">'1. Raw Data'!M15</f>
        <v>0</v>
      </c>
      <c r="N16" s="3" t="str">
        <f aca="false">'1. Raw Data'!N15</f>
        <v>Yes</v>
      </c>
    </row>
    <row r="17" customFormat="false" ht="15" hidden="false" customHeight="false" outlineLevel="0" collapsed="false">
      <c r="A17" s="3" t="str">
        <f aca="false">'1. Raw Data'!A16</f>
        <v>EMP-0015</v>
      </c>
      <c r="B17" s="3" t="n">
        <f aca="false">'1. Raw Data'!B16</f>
        <v>29</v>
      </c>
      <c r="C17" s="3" t="str">
        <f aca="false">'1. Raw Data'!C16</f>
        <v>Finance</v>
      </c>
      <c r="D17" s="3" t="str">
        <f aca="false">'1. Raw Data'!D16</f>
        <v>Mid</v>
      </c>
      <c r="E17" s="3" t="str">
        <f aca="false">'1. Raw Data'!E16</f>
        <v>Other</v>
      </c>
      <c r="F17" s="3" t="n">
        <f aca="false">'1. Raw Data'!F16</f>
        <v>7.2</v>
      </c>
      <c r="G17" s="3" t="n">
        <f aca="false">IF('1. Raw Data'!G16="",ROUND(IFERROR(AVERAGEIFS('1. Raw Data'!G2:G1201,'1. Raw Data'!C2:C1201,'1. Raw Data'!C16,'1. Raw Data'!D2:D1201,'1. Raw Data'!D16),0),2),'1. Raw Data'!G16)</f>
        <v>4131.14</v>
      </c>
      <c r="H17" s="3" t="str">
        <f aca="false">PROPER('1. Raw Data'!H16)</f>
        <v>No</v>
      </c>
      <c r="I17" s="3" t="n">
        <f aca="false">'1. Raw Data'!I16</f>
        <v>1</v>
      </c>
      <c r="J17" s="3" t="n">
        <f aca="false">'1. Raw Data'!J16</f>
        <v>3</v>
      </c>
      <c r="K17" s="3" t="n">
        <f aca="false">'1. Raw Data'!K16</f>
        <v>4</v>
      </c>
      <c r="L17" s="3" t="n">
        <f aca="false">'1. Raw Data'!L16</f>
        <v>0</v>
      </c>
      <c r="M17" s="3" t="n">
        <f aca="false">'1. Raw Data'!M16</f>
        <v>2</v>
      </c>
      <c r="N17" s="3" t="str">
        <f aca="false">'1. Raw Data'!N16</f>
        <v>No</v>
      </c>
    </row>
    <row r="18" customFormat="false" ht="15" hidden="false" customHeight="false" outlineLevel="0" collapsed="false">
      <c r="A18" s="3" t="str">
        <f aca="false">'1. Raw Data'!A17</f>
        <v>EMP-0016</v>
      </c>
      <c r="B18" s="3" t="n">
        <f aca="false">'1. Raw Data'!B17</f>
        <v>31</v>
      </c>
      <c r="C18" s="3" t="str">
        <f aca="false">'1. Raw Data'!C17</f>
        <v>Engineering</v>
      </c>
      <c r="D18" s="3" t="str">
        <f aca="false">'1. Raw Data'!D17</f>
        <v>Junior</v>
      </c>
      <c r="E18" s="3" t="str">
        <f aca="false">'1. Raw Data'!E17</f>
        <v>Technical</v>
      </c>
      <c r="F18" s="3" t="n">
        <f aca="false">'1. Raw Data'!F17</f>
        <v>0.5</v>
      </c>
      <c r="G18" s="3" t="n">
        <f aca="false">IF('1. Raw Data'!G17="",ROUND(IFERROR(AVERAGEIFS('1. Raw Data'!G2:G1201,'1. Raw Data'!C2:C1201,'1. Raw Data'!C17,'1. Raw Data'!D2:D1201,'1. Raw Data'!D17),0),2),'1. Raw Data'!G17)</f>
        <v>2935.61</v>
      </c>
      <c r="H18" s="3" t="str">
        <f aca="false">PROPER('1. Raw Data'!H17)</f>
        <v>No</v>
      </c>
      <c r="I18" s="3" t="n">
        <f aca="false">'1. Raw Data'!I17</f>
        <v>3</v>
      </c>
      <c r="J18" s="3" t="n">
        <f aca="false">'1. Raw Data'!J17</f>
        <v>2</v>
      </c>
      <c r="K18" s="3" t="n">
        <f aca="false">'1. Raw Data'!K17</f>
        <v>20</v>
      </c>
      <c r="L18" s="3" t="n">
        <f aca="false">'1. Raw Data'!L17</f>
        <v>0</v>
      </c>
      <c r="M18" s="3" t="n">
        <f aca="false">'1. Raw Data'!M17</f>
        <v>0</v>
      </c>
      <c r="N18" s="3" t="str">
        <f aca="false">'1. Raw Data'!N17</f>
        <v>No</v>
      </c>
    </row>
    <row r="19" customFormat="false" ht="15" hidden="false" customHeight="false" outlineLevel="0" collapsed="false">
      <c r="A19" s="3" t="str">
        <f aca="false">'1. Raw Data'!A18</f>
        <v>EMP-0017</v>
      </c>
      <c r="B19" s="3" t="n">
        <f aca="false">'1. Raw Data'!B18</f>
        <v>31</v>
      </c>
      <c r="C19" s="3" t="str">
        <f aca="false">'1. Raw Data'!C18</f>
        <v>HR</v>
      </c>
      <c r="D19" s="3" t="str">
        <f aca="false">'1. Raw Data'!D18</f>
        <v>Junior</v>
      </c>
      <c r="E19" s="3" t="str">
        <f aca="false">'1. Raw Data'!E18</f>
        <v>Marketing</v>
      </c>
      <c r="F19" s="3" t="n">
        <f aca="false">'1. Raw Data'!F18</f>
        <v>1</v>
      </c>
      <c r="G19" s="3" t="n">
        <f aca="false">IF('1. Raw Data'!G18="",ROUND(IFERROR(AVERAGEIFS('1. Raw Data'!G2:G1201,'1. Raw Data'!C2:C1201,'1. Raw Data'!C18,'1. Raw Data'!D2:D1201,'1. Raw Data'!D18),0),2),'1. Raw Data'!G18)</f>
        <v>3282.02</v>
      </c>
      <c r="H19" s="3" t="str">
        <f aca="false">PROPER('1. Raw Data'!H18)</f>
        <v>No</v>
      </c>
      <c r="I19" s="3" t="n">
        <f aca="false">'1. Raw Data'!I18</f>
        <v>3</v>
      </c>
      <c r="J19" s="3" t="n">
        <f aca="false">'1. Raw Data'!J18</f>
        <v>3</v>
      </c>
      <c r="K19" s="3" t="n">
        <f aca="false">'1. Raw Data'!K18</f>
        <v>7</v>
      </c>
      <c r="L19" s="3" t="n">
        <f aca="false">'1. Raw Data'!L18</f>
        <v>1</v>
      </c>
      <c r="M19" s="3" t="n">
        <f aca="false">'1. Raw Data'!M18</f>
        <v>0</v>
      </c>
      <c r="N19" s="3" t="str">
        <f aca="false">'1. Raw Data'!N18</f>
        <v>No</v>
      </c>
    </row>
    <row r="20" customFormat="false" ht="15" hidden="false" customHeight="false" outlineLevel="0" collapsed="false">
      <c r="A20" s="3" t="str">
        <f aca="false">'1. Raw Data'!A19</f>
        <v>EMP-0018</v>
      </c>
      <c r="B20" s="3" t="n">
        <f aca="false">'1. Raw Data'!B19</f>
        <v>21</v>
      </c>
      <c r="C20" s="3" t="str">
        <f aca="false">'1. Raw Data'!C19</f>
        <v>Customer Support</v>
      </c>
      <c r="D20" s="3" t="str">
        <f aca="false">'1. Raw Data'!D19</f>
        <v>Senior</v>
      </c>
      <c r="E20" s="3" t="str">
        <f aca="false">'1. Raw Data'!E19</f>
        <v>Other</v>
      </c>
      <c r="F20" s="3" t="n">
        <f aca="false">'1. Raw Data'!F19</f>
        <v>0</v>
      </c>
      <c r="G20" s="3" t="n">
        <f aca="false">IF('1. Raw Data'!G19="",ROUND(IFERROR(AVERAGEIFS('1. Raw Data'!G2:G1201,'1. Raw Data'!C2:C1201,'1. Raw Data'!C19,'1. Raw Data'!D2:D1201,'1. Raw Data'!D19),0),2),'1. Raw Data'!G19)</f>
        <v>7640.97</v>
      </c>
      <c r="H20" s="3" t="str">
        <f aca="false">PROPER('1. Raw Data'!H19)</f>
        <v>Yes</v>
      </c>
      <c r="I20" s="3" t="n">
        <f aca="false">'1. Raw Data'!I19</f>
        <v>3</v>
      </c>
      <c r="J20" s="3" t="n">
        <f aca="false">'1. Raw Data'!J19</f>
        <v>3</v>
      </c>
      <c r="K20" s="3" t="n">
        <f aca="false">'1. Raw Data'!K19</f>
        <v>8</v>
      </c>
      <c r="L20" s="3" t="n">
        <f aca="false">'1. Raw Data'!L19</f>
        <v>0</v>
      </c>
      <c r="M20" s="3" t="n">
        <f aca="false">'1. Raw Data'!M19</f>
        <v>4</v>
      </c>
      <c r="N20" s="3" t="str">
        <f aca="false">'1. Raw Data'!N19</f>
        <v>No</v>
      </c>
    </row>
    <row r="21" customFormat="false" ht="15" hidden="false" customHeight="false" outlineLevel="0" collapsed="false">
      <c r="A21" s="3" t="str">
        <f aca="false">'1. Raw Data'!A20</f>
        <v>EMP-0019</v>
      </c>
      <c r="B21" s="3" t="n">
        <f aca="false">'1. Raw Data'!B20</f>
        <v>37</v>
      </c>
      <c r="C21" s="3" t="str">
        <f aca="false">'1. Raw Data'!C20</f>
        <v>Engineering</v>
      </c>
      <c r="D21" s="3" t="str">
        <f aca="false">'1. Raw Data'!D20</f>
        <v>Lead</v>
      </c>
      <c r="E21" s="3" t="str">
        <f aca="false">'1. Raw Data'!E20</f>
        <v>Business</v>
      </c>
      <c r="F21" s="3" t="n">
        <f aca="false">'1. Raw Data'!F20</f>
        <v>4.3</v>
      </c>
      <c r="G21" s="3" t="n">
        <f aca="false">IF('1. Raw Data'!G20="",ROUND(IFERROR(AVERAGEIFS('1. Raw Data'!G2:G1201,'1. Raw Data'!C2:C1201,'1. Raw Data'!C20,'1. Raw Data'!D2:D1201,'1. Raw Data'!D20),0),2),'1. Raw Data'!G20)</f>
        <v>8700.2</v>
      </c>
      <c r="H21" s="3" t="str">
        <f aca="false">PROPER('1. Raw Data'!H20)</f>
        <v>No</v>
      </c>
      <c r="I21" s="3" t="n">
        <f aca="false">'1. Raw Data'!I20</f>
        <v>2</v>
      </c>
      <c r="J21" s="3" t="n">
        <f aca="false">'1. Raw Data'!J20</f>
        <v>3</v>
      </c>
      <c r="K21" s="3" t="n">
        <f aca="false">'1. Raw Data'!K20</f>
        <v>1</v>
      </c>
      <c r="L21" s="3" t="n">
        <f aca="false">'1. Raw Data'!L20</f>
        <v>4</v>
      </c>
      <c r="M21" s="3" t="n">
        <f aca="false">'1. Raw Data'!M20</f>
        <v>2</v>
      </c>
      <c r="N21" s="3" t="str">
        <f aca="false">'1. Raw Data'!N20</f>
        <v>No</v>
      </c>
    </row>
    <row r="22" customFormat="false" ht="15" hidden="false" customHeight="false" outlineLevel="0" collapsed="false">
      <c r="A22" s="3" t="str">
        <f aca="false">'1. Raw Data'!A21</f>
        <v>EMP-0020</v>
      </c>
      <c r="B22" s="3" t="n">
        <f aca="false">'1. Raw Data'!B21</f>
        <v>42</v>
      </c>
      <c r="C22" s="3" t="str">
        <f aca="false">'1. Raw Data'!C21</f>
        <v>Customer Support</v>
      </c>
      <c r="D22" s="3" t="str">
        <f aca="false">'1. Raw Data'!D21</f>
        <v>Junior</v>
      </c>
      <c r="E22" s="3" t="str">
        <f aca="false">'1. Raw Data'!E21</f>
        <v>Marketing</v>
      </c>
      <c r="F22" s="3" t="n">
        <f aca="false">'1. Raw Data'!F21</f>
        <v>5.1</v>
      </c>
      <c r="G22" s="3" t="n">
        <f aca="false">IF('1. Raw Data'!G21="",ROUND(IFERROR(AVERAGEIFS('1. Raw Data'!G2:G1201,'1. Raw Data'!C2:C1201,'1. Raw Data'!C21,'1. Raw Data'!D2:D1201,'1. Raw Data'!D21),0),2),'1. Raw Data'!G21)</f>
        <v>3425.1</v>
      </c>
      <c r="H22" s="3" t="str">
        <f aca="false">PROPER('1. Raw Data'!H21)</f>
        <v>Yes</v>
      </c>
      <c r="I22" s="3" t="n">
        <f aca="false">'1. Raw Data'!I21</f>
        <v>4</v>
      </c>
      <c r="J22" s="3" t="n">
        <f aca="false">'1. Raw Data'!J21</f>
        <v>2</v>
      </c>
      <c r="K22" s="3" t="n">
        <f aca="false">'1. Raw Data'!K21</f>
        <v>14</v>
      </c>
      <c r="L22" s="3" t="n">
        <f aca="false">'1. Raw Data'!L21</f>
        <v>1</v>
      </c>
      <c r="M22" s="3" t="n">
        <f aca="false">'1. Raw Data'!M21</f>
        <v>2</v>
      </c>
      <c r="N22" s="3" t="str">
        <f aca="false">'1. Raw Data'!N21</f>
        <v>Yes</v>
      </c>
    </row>
    <row r="23" customFormat="false" ht="15" hidden="false" customHeight="false" outlineLevel="0" collapsed="false">
      <c r="A23" s="3" t="str">
        <f aca="false">'1. Raw Data'!A22</f>
        <v>EMP-0021</v>
      </c>
      <c r="B23" s="3" t="n">
        <f aca="false">'1. Raw Data'!B22</f>
        <v>31</v>
      </c>
      <c r="C23" s="3" t="str">
        <f aca="false">'1. Raw Data'!C22</f>
        <v>Sales</v>
      </c>
      <c r="D23" s="3" t="str">
        <f aca="false">'1. Raw Data'!D22</f>
        <v>Mid</v>
      </c>
      <c r="E23" s="3" t="str">
        <f aca="false">'1. Raw Data'!E22</f>
        <v>Business</v>
      </c>
      <c r="F23" s="3" t="n">
        <f aca="false">'1. Raw Data'!F22</f>
        <v>6.7</v>
      </c>
      <c r="G23" s="3" t="n">
        <f aca="false">IF('1. Raw Data'!G22="",ROUND(IFERROR(AVERAGEIFS('1. Raw Data'!G2:G1201,'1. Raw Data'!C2:C1201,'1. Raw Data'!C22,'1. Raw Data'!D2:D1201,'1. Raw Data'!D22),0),2),'1. Raw Data'!G22)</f>
        <v>5483.59</v>
      </c>
      <c r="H23" s="3" t="str">
        <f aca="false">PROPER('1. Raw Data'!H22)</f>
        <v>Yes</v>
      </c>
      <c r="I23" s="3" t="n">
        <f aca="false">'1. Raw Data'!I22</f>
        <v>3</v>
      </c>
      <c r="J23" s="3" t="n">
        <f aca="false">'1. Raw Data'!J22</f>
        <v>2</v>
      </c>
      <c r="K23" s="3" t="n">
        <f aca="false">'1. Raw Data'!K22</f>
        <v>11</v>
      </c>
      <c r="L23" s="3" t="n">
        <f aca="false">'1. Raw Data'!L22</f>
        <v>1</v>
      </c>
      <c r="M23" s="3" t="n">
        <f aca="false">'1. Raw Data'!M22</f>
        <v>2</v>
      </c>
      <c r="N23" s="3" t="str">
        <f aca="false">'1. Raw Data'!N22</f>
        <v>No</v>
      </c>
    </row>
    <row r="24" customFormat="false" ht="15" hidden="false" customHeight="false" outlineLevel="0" collapsed="false">
      <c r="A24" s="3" t="str">
        <f aca="false">'1. Raw Data'!A23</f>
        <v>EMP-0022</v>
      </c>
      <c r="B24" s="3" t="n">
        <f aca="false">'1. Raw Data'!B23</f>
        <v>43</v>
      </c>
      <c r="C24" s="3" t="str">
        <f aca="false">'1. Raw Data'!C23</f>
        <v>Marketing</v>
      </c>
      <c r="D24" s="3" t="str">
        <f aca="false">'1. Raw Data'!D23</f>
        <v>Junior</v>
      </c>
      <c r="E24" s="3" t="str">
        <f aca="false">'1. Raw Data'!E23</f>
        <v>Marketing</v>
      </c>
      <c r="F24" s="3" t="n">
        <f aca="false">'1. Raw Data'!F23</f>
        <v>1.2</v>
      </c>
      <c r="G24" s="3" t="n">
        <f aca="false">IF('1. Raw Data'!G23="",ROUND(IFERROR(AVERAGEIFS('1. Raw Data'!G2:G1201,'1. Raw Data'!C2:C1201,'1. Raw Data'!C23,'1. Raw Data'!D2:D1201,'1. Raw Data'!D23),0),2),'1. Raw Data'!G23)</f>
        <v>2759.51</v>
      </c>
      <c r="H24" s="3" t="str">
        <f aca="false">PROPER('1. Raw Data'!H23)</f>
        <v>No</v>
      </c>
      <c r="I24" s="3" t="n">
        <f aca="false">'1. Raw Data'!I23</f>
        <v>3</v>
      </c>
      <c r="J24" s="3" t="n">
        <f aca="false">'1. Raw Data'!J23</f>
        <v>4</v>
      </c>
      <c r="K24" s="3" t="n">
        <f aca="false">'1. Raw Data'!K23</f>
        <v>7</v>
      </c>
      <c r="L24" s="3" t="n">
        <f aca="false">'1. Raw Data'!L23</f>
        <v>0</v>
      </c>
      <c r="M24" s="3" t="n">
        <f aca="false">'1. Raw Data'!M23</f>
        <v>1</v>
      </c>
      <c r="N24" s="3" t="str">
        <f aca="false">'1. Raw Data'!N23</f>
        <v>Yes</v>
      </c>
    </row>
    <row r="25" customFormat="false" ht="15" hidden="false" customHeight="false" outlineLevel="0" collapsed="false">
      <c r="A25" s="3" t="str">
        <f aca="false">'1. Raw Data'!A24</f>
        <v>EMP-0023</v>
      </c>
      <c r="B25" s="3" t="n">
        <f aca="false">'1. Raw Data'!B24</f>
        <v>27</v>
      </c>
      <c r="C25" s="3" t="str">
        <f aca="false">'1. Raw Data'!C24</f>
        <v>Engineering</v>
      </c>
      <c r="D25" s="3" t="str">
        <f aca="false">'1. Raw Data'!D24</f>
        <v>Mid</v>
      </c>
      <c r="E25" s="3" t="str">
        <f aca="false">'1. Raw Data'!E24</f>
        <v>Other</v>
      </c>
      <c r="F25" s="3" t="n">
        <f aca="false">'1. Raw Data'!F24</f>
        <v>1.3</v>
      </c>
      <c r="G25" s="3" t="n">
        <f aca="false">IF('1. Raw Data'!G24="",ROUND(IFERROR(AVERAGEIFS('1. Raw Data'!G2:G1201,'1. Raw Data'!C2:C1201,'1. Raw Data'!C24,'1. Raw Data'!D2:D1201,'1. Raw Data'!D24),0),2),'1. Raw Data'!G24)</f>
        <v>5552.57</v>
      </c>
      <c r="H25" s="3" t="str">
        <f aca="false">PROPER('1. Raw Data'!H24)</f>
        <v>No</v>
      </c>
      <c r="I25" s="3" t="n">
        <f aca="false">'1. Raw Data'!I24</f>
        <v>4</v>
      </c>
      <c r="J25" s="3" t="n">
        <f aca="false">'1. Raw Data'!J24</f>
        <v>3</v>
      </c>
      <c r="K25" s="3" t="n">
        <f aca="false">'1. Raw Data'!K24</f>
        <v>3</v>
      </c>
      <c r="L25" s="3" t="n">
        <f aca="false">'1. Raw Data'!L24</f>
        <v>0</v>
      </c>
      <c r="M25" s="3" t="n">
        <f aca="false">'1. Raw Data'!M24</f>
        <v>2</v>
      </c>
      <c r="N25" s="3" t="str">
        <f aca="false">'1. Raw Data'!N24</f>
        <v>No</v>
      </c>
    </row>
    <row r="26" customFormat="false" ht="15" hidden="false" customHeight="false" outlineLevel="0" collapsed="false">
      <c r="A26" s="3" t="str">
        <f aca="false">'1. Raw Data'!A25</f>
        <v>EMP-0024</v>
      </c>
      <c r="B26" s="3" t="n">
        <f aca="false">'1. Raw Data'!B25</f>
        <v>45</v>
      </c>
      <c r="C26" s="3" t="str">
        <f aca="false">'1. Raw Data'!C25</f>
        <v>Customer Support</v>
      </c>
      <c r="D26" s="3" t="str">
        <f aca="false">'1. Raw Data'!D25</f>
        <v>Mid</v>
      </c>
      <c r="E26" s="3" t="str">
        <f aca="false">'1. Raw Data'!E25</f>
        <v>Business</v>
      </c>
      <c r="F26" s="3" t="n">
        <f aca="false">'1. Raw Data'!F25</f>
        <v>1.1</v>
      </c>
      <c r="G26" s="3" t="n">
        <f aca="false">IF('1. Raw Data'!G25="",ROUND(IFERROR(AVERAGEIFS('1. Raw Data'!G2:G1201,'1. Raw Data'!C2:C1201,'1. Raw Data'!C25,'1. Raw Data'!D2:D1201,'1. Raw Data'!D25),0),2),'1. Raw Data'!G25)</f>
        <v>5591.29</v>
      </c>
      <c r="H26" s="3" t="str">
        <f aca="false">PROPER('1. Raw Data'!H25)</f>
        <v>Yes</v>
      </c>
      <c r="I26" s="3" t="n">
        <f aca="false">'1. Raw Data'!I25</f>
        <v>4</v>
      </c>
      <c r="J26" s="3" t="n">
        <f aca="false">'1. Raw Data'!J25</f>
        <v>2</v>
      </c>
      <c r="K26" s="3" t="n">
        <f aca="false">'1. Raw Data'!K25</f>
        <v>26</v>
      </c>
      <c r="L26" s="3" t="n">
        <f aca="false">'1. Raw Data'!L25</f>
        <v>1</v>
      </c>
      <c r="M26" s="3" t="n">
        <f aca="false">'1. Raw Data'!M25</f>
        <v>0</v>
      </c>
      <c r="N26" s="3" t="str">
        <f aca="false">'1. Raw Data'!N25</f>
        <v>No</v>
      </c>
    </row>
    <row r="27" customFormat="false" ht="15" hidden="false" customHeight="false" outlineLevel="0" collapsed="false">
      <c r="A27" s="3" t="str">
        <f aca="false">'1. Raw Data'!A26</f>
        <v>EMP-0025</v>
      </c>
      <c r="B27" s="3" t="n">
        <f aca="false">'1. Raw Data'!B26</f>
        <v>44</v>
      </c>
      <c r="C27" s="3" t="str">
        <f aca="false">'1. Raw Data'!C26</f>
        <v>Marketing</v>
      </c>
      <c r="D27" s="3" t="str">
        <f aca="false">'1. Raw Data'!D26</f>
        <v>Mid</v>
      </c>
      <c r="E27" s="3" t="str">
        <f aca="false">'1. Raw Data'!E26</f>
        <v>Business</v>
      </c>
      <c r="F27" s="3" t="n">
        <f aca="false">'1. Raw Data'!F26</f>
        <v>2.2</v>
      </c>
      <c r="G27" s="3" t="n">
        <f aca="false">IF('1. Raw Data'!G26="",ROUND(IFERROR(AVERAGEIFS('1. Raw Data'!G2:G1201,'1. Raw Data'!C2:C1201,'1. Raw Data'!C26,'1. Raw Data'!D2:D1201,'1. Raw Data'!D26),0),2),'1. Raw Data'!G26)</f>
        <v>4235.54</v>
      </c>
      <c r="H27" s="3" t="str">
        <f aca="false">PROPER('1. Raw Data'!H26)</f>
        <v>Yes</v>
      </c>
      <c r="I27" s="3" t="n">
        <f aca="false">'1. Raw Data'!I26</f>
        <v>2</v>
      </c>
      <c r="J27" s="3" t="n">
        <f aca="false">'1. Raw Data'!J26</f>
        <v>2</v>
      </c>
      <c r="K27" s="3" t="n">
        <f aca="false">'1. Raw Data'!K26</f>
        <v>1</v>
      </c>
      <c r="L27" s="3" t="n">
        <f aca="false">'1. Raw Data'!L26</f>
        <v>0</v>
      </c>
      <c r="M27" s="3" t="n">
        <f aca="false">'1. Raw Data'!M26</f>
        <v>1</v>
      </c>
      <c r="N27" s="3" t="str">
        <f aca="false">'1. Raw Data'!N26</f>
        <v>No</v>
      </c>
    </row>
    <row r="28" customFormat="false" ht="15" hidden="false" customHeight="false" outlineLevel="0" collapsed="false">
      <c r="A28" s="3" t="str">
        <f aca="false">'1. Raw Data'!A27</f>
        <v>EMP-0026</v>
      </c>
      <c r="B28" s="3" t="n">
        <f aca="false">'1. Raw Data'!B27</f>
        <v>27</v>
      </c>
      <c r="C28" s="3" t="str">
        <f aca="false">'1. Raw Data'!C27</f>
        <v>Sales</v>
      </c>
      <c r="D28" s="3" t="str">
        <f aca="false">'1. Raw Data'!D27</f>
        <v>Senior</v>
      </c>
      <c r="E28" s="3" t="str">
        <f aca="false">'1. Raw Data'!E27</f>
        <v>Other</v>
      </c>
      <c r="F28" s="3" t="n">
        <f aca="false">'1. Raw Data'!F27</f>
        <v>0.4</v>
      </c>
      <c r="G28" s="3" t="n">
        <f aca="false">IF('1. Raw Data'!G27="",ROUND(IFERROR(AVERAGEIFS('1. Raw Data'!G2:G1201,'1. Raw Data'!C2:C1201,'1. Raw Data'!C27,'1. Raw Data'!D2:D1201,'1. Raw Data'!D27),0),2),'1. Raw Data'!G27)</f>
        <v>6661.27</v>
      </c>
      <c r="H28" s="3" t="str">
        <f aca="false">PROPER('1. Raw Data'!H27)</f>
        <v>No</v>
      </c>
      <c r="I28" s="3" t="n">
        <f aca="false">'1. Raw Data'!I27</f>
        <v>4</v>
      </c>
      <c r="J28" s="3" t="n">
        <f aca="false">'1. Raw Data'!J27</f>
        <v>3</v>
      </c>
      <c r="K28" s="3" t="n">
        <f aca="false">'1. Raw Data'!K27</f>
        <v>1</v>
      </c>
      <c r="L28" s="3" t="n">
        <f aca="false">'1. Raw Data'!L27</f>
        <v>0</v>
      </c>
      <c r="M28" s="3" t="n">
        <f aca="false">'1. Raw Data'!M27</f>
        <v>0</v>
      </c>
      <c r="N28" s="3" t="str">
        <f aca="false">'1. Raw Data'!N27</f>
        <v>No</v>
      </c>
    </row>
    <row r="29" customFormat="false" ht="15" hidden="false" customHeight="false" outlineLevel="0" collapsed="false">
      <c r="A29" s="3" t="str">
        <f aca="false">'1. Raw Data'!A28</f>
        <v>EMP-0027</v>
      </c>
      <c r="B29" s="3" t="n">
        <f aca="false">'1. Raw Data'!B28</f>
        <v>41</v>
      </c>
      <c r="C29" s="3" t="str">
        <f aca="false">'1. Raw Data'!C28</f>
        <v>Engineering</v>
      </c>
      <c r="D29" s="3" t="str">
        <f aca="false">'1. Raw Data'!D28</f>
        <v>Mid</v>
      </c>
      <c r="E29" s="3" t="str">
        <f aca="false">'1. Raw Data'!E28</f>
        <v>Marketing</v>
      </c>
      <c r="F29" s="3" t="n">
        <f aca="false">'1. Raw Data'!F28</f>
        <v>5.2</v>
      </c>
      <c r="G29" s="3" t="n">
        <f aca="false">IF('1. Raw Data'!G28="",ROUND(IFERROR(AVERAGEIFS('1. Raw Data'!G2:G1201,'1. Raw Data'!C2:C1201,'1. Raw Data'!C28,'1. Raw Data'!D2:D1201,'1. Raw Data'!D28),0),2),'1. Raw Data'!G28)</f>
        <v>5103.77</v>
      </c>
      <c r="H29" s="3" t="str">
        <f aca="false">PROPER('1. Raw Data'!H28)</f>
        <v>No</v>
      </c>
      <c r="I29" s="3" t="n">
        <f aca="false">'1. Raw Data'!I28</f>
        <v>4</v>
      </c>
      <c r="J29" s="3" t="n">
        <f aca="false">'1. Raw Data'!J28</f>
        <v>4</v>
      </c>
      <c r="K29" s="3" t="n">
        <f aca="false">'1. Raw Data'!K28</f>
        <v>16</v>
      </c>
      <c r="L29" s="3" t="n">
        <f aca="false">'1. Raw Data'!L28</f>
        <v>2</v>
      </c>
      <c r="M29" s="3" t="n">
        <f aca="false">'1. Raw Data'!M28</f>
        <v>0</v>
      </c>
      <c r="N29" s="3" t="str">
        <f aca="false">'1. Raw Data'!N28</f>
        <v>No</v>
      </c>
    </row>
    <row r="30" customFormat="false" ht="15" hidden="false" customHeight="false" outlineLevel="0" collapsed="false">
      <c r="A30" s="3" t="str">
        <f aca="false">'1. Raw Data'!A29</f>
        <v>EMP-0028</v>
      </c>
      <c r="B30" s="3" t="n">
        <f aca="false">'1. Raw Data'!B29</f>
        <v>34</v>
      </c>
      <c r="C30" s="3" t="str">
        <f aca="false">'1. Raw Data'!C29</f>
        <v>Sales</v>
      </c>
      <c r="D30" s="3" t="str">
        <f aca="false">'1. Raw Data'!D29</f>
        <v>Mid</v>
      </c>
      <c r="E30" s="3" t="str">
        <f aca="false">'1. Raw Data'!E29</f>
        <v>Technical</v>
      </c>
      <c r="F30" s="3" t="n">
        <f aca="false">'1. Raw Data'!F29</f>
        <v>2</v>
      </c>
      <c r="G30" s="3" t="n">
        <f aca="false">IF('1. Raw Data'!G29="",ROUND(IFERROR(AVERAGEIFS('1. Raw Data'!G2:G1201,'1. Raw Data'!C2:C1201,'1. Raw Data'!C29,'1. Raw Data'!D2:D1201,'1. Raw Data'!D29),0),2),'1. Raw Data'!G29)</f>
        <v>4928.49</v>
      </c>
      <c r="H30" s="3" t="str">
        <f aca="false">PROPER('1. Raw Data'!H29)</f>
        <v>No</v>
      </c>
      <c r="I30" s="3" t="n">
        <f aca="false">'1. Raw Data'!I29</f>
        <v>2</v>
      </c>
      <c r="J30" s="3" t="n">
        <f aca="false">'1. Raw Data'!J29</f>
        <v>3</v>
      </c>
      <c r="K30" s="3" t="n">
        <f aca="false">'1. Raw Data'!K29</f>
        <v>3</v>
      </c>
      <c r="L30" s="3" t="n">
        <f aca="false">'1. Raw Data'!L29</f>
        <v>2</v>
      </c>
      <c r="M30" s="3" t="n">
        <f aca="false">'1. Raw Data'!M29</f>
        <v>1</v>
      </c>
      <c r="N30" s="3" t="str">
        <f aca="false">'1. Raw Data'!N29</f>
        <v>Yes</v>
      </c>
    </row>
    <row r="31" customFormat="false" ht="15" hidden="false" customHeight="false" outlineLevel="0" collapsed="false">
      <c r="A31" s="3" t="str">
        <f aca="false">'1. Raw Data'!A30</f>
        <v>EMP-0029</v>
      </c>
      <c r="B31" s="3" t="n">
        <f aca="false">'1. Raw Data'!B30</f>
        <v>39</v>
      </c>
      <c r="C31" s="3" t="str">
        <f aca="false">'1. Raw Data'!C30</f>
        <v>Customer Support</v>
      </c>
      <c r="D31" s="3" t="str">
        <f aca="false">'1. Raw Data'!D30</f>
        <v>Mid</v>
      </c>
      <c r="E31" s="3" t="str">
        <f aca="false">'1. Raw Data'!E30</f>
        <v>Technical</v>
      </c>
      <c r="F31" s="3" t="n">
        <f aca="false">'1. Raw Data'!F30</f>
        <v>2.2</v>
      </c>
      <c r="G31" s="3" t="n">
        <f aca="false">IF('1. Raw Data'!G30="",ROUND(IFERROR(AVERAGEIFS('1. Raw Data'!G2:G1201,'1. Raw Data'!C2:C1201,'1. Raw Data'!C30,'1. Raw Data'!D2:D1201,'1. Raw Data'!D30),0),2),'1. Raw Data'!G30)</f>
        <v>4145.58</v>
      </c>
      <c r="H31" s="3" t="str">
        <f aca="false">PROPER('1. Raw Data'!H30)</f>
        <v>No</v>
      </c>
      <c r="I31" s="3" t="n">
        <f aca="false">'1. Raw Data'!I30</f>
        <v>1</v>
      </c>
      <c r="J31" s="3" t="n">
        <f aca="false">'1. Raw Data'!J30</f>
        <v>4</v>
      </c>
      <c r="K31" s="3" t="n">
        <f aca="false">'1. Raw Data'!K30</f>
        <v>1</v>
      </c>
      <c r="L31" s="3" t="n">
        <f aca="false">'1. Raw Data'!L30</f>
        <v>2</v>
      </c>
      <c r="M31" s="3" t="n">
        <f aca="false">'1. Raw Data'!M30</f>
        <v>1</v>
      </c>
      <c r="N31" s="3" t="str">
        <f aca="false">'1. Raw Data'!N30</f>
        <v>No</v>
      </c>
    </row>
    <row r="32" customFormat="false" ht="15" hidden="false" customHeight="false" outlineLevel="0" collapsed="false">
      <c r="A32" s="3" t="str">
        <f aca="false">'1. Raw Data'!A31</f>
        <v>EMP-0030</v>
      </c>
      <c r="B32" s="3" t="n">
        <f aca="false">'1. Raw Data'!B31</f>
        <v>31</v>
      </c>
      <c r="C32" s="3" t="str">
        <f aca="false">'1. Raw Data'!C31</f>
        <v>Finance</v>
      </c>
      <c r="D32" s="3" t="str">
        <f aca="false">'1. Raw Data'!D31</f>
        <v>Junior</v>
      </c>
      <c r="E32" s="3" t="str">
        <f aca="false">'1. Raw Data'!E31</f>
        <v>Technical</v>
      </c>
      <c r="F32" s="3" t="n">
        <f aca="false">'1. Raw Data'!F31</f>
        <v>2</v>
      </c>
      <c r="G32" s="3" t="n">
        <f aca="false">IF('1. Raw Data'!G31="",ROUND(IFERROR(AVERAGEIFS('1. Raw Data'!G2:G1201,'1. Raw Data'!C2:C1201,'1. Raw Data'!C31,'1. Raw Data'!D2:D1201,'1. Raw Data'!D31),0),2),'1. Raw Data'!G31)</f>
        <v>3456.32</v>
      </c>
      <c r="H32" s="3" t="str">
        <f aca="false">PROPER('1. Raw Data'!H31)</f>
        <v>No</v>
      </c>
      <c r="I32" s="3" t="n">
        <f aca="false">'1. Raw Data'!I31</f>
        <v>1</v>
      </c>
      <c r="J32" s="3" t="n">
        <f aca="false">'1. Raw Data'!J31</f>
        <v>4</v>
      </c>
      <c r="K32" s="3" t="n">
        <f aca="false">'1. Raw Data'!K31</f>
        <v>19</v>
      </c>
      <c r="L32" s="3" t="n">
        <f aca="false">'1. Raw Data'!L31</f>
        <v>0</v>
      </c>
      <c r="M32" s="3" t="n">
        <f aca="false">'1. Raw Data'!M31</f>
        <v>2</v>
      </c>
      <c r="N32" s="3" t="str">
        <f aca="false">'1. Raw Data'!N31</f>
        <v>Yes</v>
      </c>
    </row>
    <row r="33" customFormat="false" ht="15" hidden="false" customHeight="false" outlineLevel="0" collapsed="false">
      <c r="A33" s="3" t="str">
        <f aca="false">'1. Raw Data'!A32</f>
        <v>EMP-0031</v>
      </c>
      <c r="B33" s="3" t="n">
        <f aca="false">'1. Raw Data'!B32</f>
        <v>45</v>
      </c>
      <c r="C33" s="3" t="str">
        <f aca="false">'1. Raw Data'!C32</f>
        <v>Engineering</v>
      </c>
      <c r="D33" s="3" t="str">
        <f aca="false">'1. Raw Data'!D32</f>
        <v>Senior</v>
      </c>
      <c r="E33" s="3" t="str">
        <f aca="false">'1. Raw Data'!E32</f>
        <v>Other</v>
      </c>
      <c r="F33" s="3" t="n">
        <f aca="false">'1. Raw Data'!F32</f>
        <v>4</v>
      </c>
      <c r="G33" s="3" t="n">
        <f aca="false">IF('1. Raw Data'!G32="",ROUND(IFERROR(AVERAGEIFS('1. Raw Data'!G2:G1201,'1. Raw Data'!C2:C1201,'1. Raw Data'!C32,'1. Raw Data'!D2:D1201,'1. Raw Data'!D32),0),2),'1. Raw Data'!G32)</f>
        <v>6392.62</v>
      </c>
      <c r="H33" s="3" t="str">
        <f aca="false">PROPER('1. Raw Data'!H32)</f>
        <v>No</v>
      </c>
      <c r="I33" s="3" t="n">
        <f aca="false">'1. Raw Data'!I32</f>
        <v>2</v>
      </c>
      <c r="J33" s="3" t="n">
        <f aca="false">'1. Raw Data'!J32</f>
        <v>4</v>
      </c>
      <c r="K33" s="3" t="n">
        <f aca="false">'1. Raw Data'!K32</f>
        <v>5</v>
      </c>
      <c r="L33" s="3" t="n">
        <f aca="false">'1. Raw Data'!L32</f>
        <v>0</v>
      </c>
      <c r="M33" s="3" t="n">
        <f aca="false">'1. Raw Data'!M32</f>
        <v>4</v>
      </c>
      <c r="N33" s="3" t="str">
        <f aca="false">'1. Raw Data'!N32</f>
        <v>Yes</v>
      </c>
    </row>
    <row r="34" customFormat="false" ht="15" hidden="false" customHeight="false" outlineLevel="0" collapsed="false">
      <c r="A34" s="3" t="str">
        <f aca="false">'1. Raw Data'!A33</f>
        <v>EMP-0032</v>
      </c>
      <c r="B34" s="3" t="n">
        <f aca="false">'1. Raw Data'!B33</f>
        <v>34</v>
      </c>
      <c r="C34" s="3" t="str">
        <f aca="false">'1. Raw Data'!C33</f>
        <v>Sales</v>
      </c>
      <c r="D34" s="3" t="str">
        <f aca="false">'1. Raw Data'!D33</f>
        <v>Mid</v>
      </c>
      <c r="E34" s="3" t="str">
        <f aca="false">'1. Raw Data'!E33</f>
        <v>Marketing</v>
      </c>
      <c r="F34" s="3" t="n">
        <f aca="false">'1. Raw Data'!F33</f>
        <v>0.5</v>
      </c>
      <c r="G34" s="3" t="n">
        <f aca="false">IF('1. Raw Data'!G33="",ROUND(IFERROR(AVERAGEIFS('1. Raw Data'!G2:G1201,'1. Raw Data'!C2:C1201,'1. Raw Data'!C33,'1. Raw Data'!D2:D1201,'1. Raw Data'!D33),0),2),'1. Raw Data'!G33)</f>
        <v>4986.2</v>
      </c>
      <c r="H34" s="3" t="str">
        <f aca="false">PROPER('1. Raw Data'!H33)</f>
        <v>Yes</v>
      </c>
      <c r="I34" s="3" t="n">
        <f aca="false">'1. Raw Data'!I33</f>
        <v>3</v>
      </c>
      <c r="J34" s="3" t="n">
        <f aca="false">'1. Raw Data'!J33</f>
        <v>3</v>
      </c>
      <c r="K34" s="3" t="n">
        <f aca="false">'1. Raw Data'!K33</f>
        <v>2</v>
      </c>
      <c r="L34" s="3" t="n">
        <f aca="false">'1. Raw Data'!L33</f>
        <v>0</v>
      </c>
      <c r="M34" s="3" t="n">
        <f aca="false">'1. Raw Data'!M33</f>
        <v>1</v>
      </c>
      <c r="N34" s="3" t="str">
        <f aca="false">'1. Raw Data'!N33</f>
        <v>No</v>
      </c>
    </row>
    <row r="35" customFormat="false" ht="15" hidden="false" customHeight="false" outlineLevel="0" collapsed="false">
      <c r="A35" s="3" t="str">
        <f aca="false">'1. Raw Data'!A34</f>
        <v>EMP-0033</v>
      </c>
      <c r="B35" s="3" t="n">
        <f aca="false">'1. Raw Data'!B34</f>
        <v>45</v>
      </c>
      <c r="C35" s="3" t="str">
        <f aca="false">'1. Raw Data'!C34</f>
        <v>Marketing</v>
      </c>
      <c r="D35" s="3" t="str">
        <f aca="false">'1. Raw Data'!D34</f>
        <v>Senior</v>
      </c>
      <c r="E35" s="3" t="str">
        <f aca="false">'1. Raw Data'!E34</f>
        <v>Marketing</v>
      </c>
      <c r="F35" s="3" t="n">
        <f aca="false">'1. Raw Data'!F34</f>
        <v>1</v>
      </c>
      <c r="G35" s="3" t="n">
        <f aca="false">IF('1. Raw Data'!G34="",ROUND(IFERROR(AVERAGEIFS('1. Raw Data'!G2:G1201,'1. Raw Data'!C2:C1201,'1. Raw Data'!C34,'1. Raw Data'!D2:D1201,'1. Raw Data'!D34),0),2),'1. Raw Data'!G34)</f>
        <v>7306.64</v>
      </c>
      <c r="H35" s="3" t="str">
        <f aca="false">PROPER('1. Raw Data'!H34)</f>
        <v>No</v>
      </c>
      <c r="I35" s="3" t="n">
        <f aca="false">'1. Raw Data'!I34</f>
        <v>3</v>
      </c>
      <c r="J35" s="3" t="n">
        <f aca="false">'1. Raw Data'!J34</f>
        <v>3</v>
      </c>
      <c r="K35" s="3" t="n">
        <f aca="false">'1. Raw Data'!K34</f>
        <v>14</v>
      </c>
      <c r="L35" s="3" t="n">
        <f aca="false">'1. Raw Data'!L34</f>
        <v>0</v>
      </c>
      <c r="M35" s="3" t="n">
        <f aca="false">'1. Raw Data'!M34</f>
        <v>4</v>
      </c>
      <c r="N35" s="3" t="str">
        <f aca="false">'1. Raw Data'!N34</f>
        <v>No</v>
      </c>
    </row>
    <row r="36" customFormat="false" ht="15" hidden="false" customHeight="false" outlineLevel="0" collapsed="false">
      <c r="A36" s="3" t="str">
        <f aca="false">'1. Raw Data'!A35</f>
        <v>EMP-0034</v>
      </c>
      <c r="B36" s="3" t="n">
        <f aca="false">'1. Raw Data'!B35</f>
        <v>44</v>
      </c>
      <c r="C36" s="3" t="str">
        <f aca="false">'1. Raw Data'!C35</f>
        <v>HR</v>
      </c>
      <c r="D36" s="3" t="str">
        <f aca="false">'1. Raw Data'!D35</f>
        <v>Lead</v>
      </c>
      <c r="E36" s="3" t="str">
        <f aca="false">'1. Raw Data'!E35</f>
        <v>Other</v>
      </c>
      <c r="F36" s="3" t="n">
        <f aca="false">'1. Raw Data'!F35</f>
        <v>1</v>
      </c>
      <c r="G36" s="3" t="n">
        <f aca="false">IF('1. Raw Data'!G35="",ROUND(IFERROR(AVERAGEIFS('1. Raw Data'!G2:G1201,'1. Raw Data'!C2:C1201,'1. Raw Data'!C35,'1. Raw Data'!D2:D1201,'1. Raw Data'!D35),0),2),'1. Raw Data'!G35)</f>
        <v>11157.97</v>
      </c>
      <c r="H36" s="3" t="str">
        <f aca="false">PROPER('1. Raw Data'!H35)</f>
        <v>No</v>
      </c>
      <c r="I36" s="3" t="n">
        <f aca="false">'1. Raw Data'!I35</f>
        <v>2</v>
      </c>
      <c r="J36" s="3" t="n">
        <f aca="false">'1. Raw Data'!J35</f>
        <v>3</v>
      </c>
      <c r="K36" s="3" t="n">
        <f aca="false">'1. Raw Data'!K35</f>
        <v>18</v>
      </c>
      <c r="L36" s="3" t="n">
        <f aca="false">'1. Raw Data'!L35</f>
        <v>1</v>
      </c>
      <c r="M36" s="3" t="n">
        <f aca="false">'1. Raw Data'!M35</f>
        <v>2</v>
      </c>
      <c r="N36" s="3" t="str">
        <f aca="false">'1. Raw Data'!N35</f>
        <v>No</v>
      </c>
    </row>
    <row r="37" customFormat="false" ht="15" hidden="false" customHeight="false" outlineLevel="0" collapsed="false">
      <c r="A37" s="3" t="str">
        <f aca="false">'1. Raw Data'!A36</f>
        <v>EMP-0035</v>
      </c>
      <c r="B37" s="3" t="n">
        <f aca="false">'1. Raw Data'!B36</f>
        <v>30</v>
      </c>
      <c r="C37" s="3" t="str">
        <f aca="false">'1. Raw Data'!C36</f>
        <v>Marketing</v>
      </c>
      <c r="D37" s="3" t="str">
        <f aca="false">'1. Raw Data'!D36</f>
        <v>Junior</v>
      </c>
      <c r="E37" s="3" t="str">
        <f aca="false">'1. Raw Data'!E36</f>
        <v>Technical</v>
      </c>
      <c r="F37" s="3" t="n">
        <f aca="false">'1. Raw Data'!F36</f>
        <v>1.3</v>
      </c>
      <c r="G37" s="3" t="n">
        <f aca="false">IF('1. Raw Data'!G36="",ROUND(IFERROR(AVERAGEIFS('1. Raw Data'!G2:G1201,'1. Raw Data'!C2:C1201,'1. Raw Data'!C36,'1. Raw Data'!D2:D1201,'1. Raw Data'!D36),0),2),'1. Raw Data'!G36)</f>
        <v>3357.91</v>
      </c>
      <c r="H37" s="3" t="str">
        <f aca="false">PROPER('1. Raw Data'!H36)</f>
        <v>No</v>
      </c>
      <c r="I37" s="3" t="n">
        <f aca="false">'1. Raw Data'!I36</f>
        <v>4</v>
      </c>
      <c r="J37" s="3" t="n">
        <f aca="false">'1. Raw Data'!J36</f>
        <v>4</v>
      </c>
      <c r="K37" s="3" t="n">
        <f aca="false">'1. Raw Data'!K36</f>
        <v>2</v>
      </c>
      <c r="L37" s="3" t="n">
        <f aca="false">'1. Raw Data'!L36</f>
        <v>0</v>
      </c>
      <c r="M37" s="3" t="n">
        <f aca="false">'1. Raw Data'!M36</f>
        <v>3</v>
      </c>
      <c r="N37" s="3" t="str">
        <f aca="false">'1. Raw Data'!N36</f>
        <v>No</v>
      </c>
    </row>
    <row r="38" customFormat="false" ht="15" hidden="false" customHeight="false" outlineLevel="0" collapsed="false">
      <c r="A38" s="3" t="str">
        <f aca="false">'1. Raw Data'!A37</f>
        <v>EMP-0036</v>
      </c>
      <c r="B38" s="3" t="n">
        <f aca="false">'1. Raw Data'!B37</f>
        <v>38</v>
      </c>
      <c r="C38" s="3" t="str">
        <f aca="false">'1. Raw Data'!C37</f>
        <v>Sales</v>
      </c>
      <c r="D38" s="3" t="str">
        <f aca="false">'1. Raw Data'!D37</f>
        <v>Mid</v>
      </c>
      <c r="E38" s="3" t="str">
        <f aca="false">'1. Raw Data'!E37</f>
        <v>Business</v>
      </c>
      <c r="F38" s="3" t="n">
        <f aca="false">'1. Raw Data'!F37</f>
        <v>7.6</v>
      </c>
      <c r="G38" s="3" t="n">
        <f aca="false">IF('1. Raw Data'!G37="",ROUND(IFERROR(AVERAGEIFS('1. Raw Data'!G2:G1201,'1. Raw Data'!C2:C1201,'1. Raw Data'!C37,'1. Raw Data'!D2:D1201,'1. Raw Data'!D37),0),2),'1. Raw Data'!G37)</f>
        <v>5617.54</v>
      </c>
      <c r="H38" s="3" t="str">
        <f aca="false">PROPER('1. Raw Data'!H37)</f>
        <v>No</v>
      </c>
      <c r="I38" s="3" t="n">
        <f aca="false">'1. Raw Data'!I37</f>
        <v>4</v>
      </c>
      <c r="J38" s="3" t="n">
        <f aca="false">'1. Raw Data'!J37</f>
        <v>4</v>
      </c>
      <c r="K38" s="3" t="n">
        <f aca="false">'1. Raw Data'!K37</f>
        <v>1</v>
      </c>
      <c r="L38" s="3" t="n">
        <f aca="false">'1. Raw Data'!L37</f>
        <v>4</v>
      </c>
      <c r="M38" s="3" t="n">
        <f aca="false">'1. Raw Data'!M37</f>
        <v>1</v>
      </c>
      <c r="N38" s="3" t="str">
        <f aca="false">'1. Raw Data'!N37</f>
        <v>No</v>
      </c>
    </row>
    <row r="39" customFormat="false" ht="15" hidden="false" customHeight="false" outlineLevel="0" collapsed="false">
      <c r="A39" s="3" t="str">
        <f aca="false">'1. Raw Data'!A38</f>
        <v>EMP-0037</v>
      </c>
      <c r="B39" s="3" t="n">
        <f aca="false">'1. Raw Data'!B38</f>
        <v>34</v>
      </c>
      <c r="C39" s="3" t="str">
        <f aca="false">'1. Raw Data'!C38</f>
        <v>Customer Support</v>
      </c>
      <c r="D39" s="3" t="str">
        <f aca="false">'1. Raw Data'!D38</f>
        <v>Mid</v>
      </c>
      <c r="E39" s="3" t="str">
        <f aca="false">'1. Raw Data'!E38</f>
        <v>Marketing</v>
      </c>
      <c r="F39" s="3" t="n">
        <f aca="false">'1. Raw Data'!F38</f>
        <v>1.3</v>
      </c>
      <c r="G39" s="3" t="n">
        <f aca="false">IF('1. Raw Data'!G38="",ROUND(IFERROR(AVERAGEIFS('1. Raw Data'!G2:G1201,'1. Raw Data'!C2:C1201,'1. Raw Data'!C38,'1. Raw Data'!D2:D1201,'1. Raw Data'!D38),0),2),'1. Raw Data'!G38)</f>
        <v>4708.58</v>
      </c>
      <c r="H39" s="3" t="str">
        <f aca="false">PROPER('1. Raw Data'!H38)</f>
        <v>No</v>
      </c>
      <c r="I39" s="3" t="n">
        <f aca="false">'1. Raw Data'!I38</f>
        <v>4</v>
      </c>
      <c r="J39" s="3" t="n">
        <f aca="false">'1. Raw Data'!J38</f>
        <v>2</v>
      </c>
      <c r="K39" s="3" t="n">
        <f aca="false">'1. Raw Data'!K38</f>
        <v>2</v>
      </c>
      <c r="L39" s="3" t="n">
        <f aca="false">'1. Raw Data'!L38</f>
        <v>0</v>
      </c>
      <c r="M39" s="3" t="n">
        <f aca="false">'1. Raw Data'!M38</f>
        <v>1</v>
      </c>
      <c r="N39" s="3" t="str">
        <f aca="false">'1. Raw Data'!N38</f>
        <v>Yes</v>
      </c>
    </row>
    <row r="40" customFormat="false" ht="15" hidden="false" customHeight="false" outlineLevel="0" collapsed="false">
      <c r="A40" s="3" t="str">
        <f aca="false">'1. Raw Data'!A39</f>
        <v>EMP-0038</v>
      </c>
      <c r="B40" s="3" t="n">
        <f aca="false">'1. Raw Data'!B39</f>
        <v>38</v>
      </c>
      <c r="C40" s="3" t="str">
        <f aca="false">'1. Raw Data'!C39</f>
        <v>Engineering</v>
      </c>
      <c r="D40" s="3" t="str">
        <f aca="false">'1. Raw Data'!D39</f>
        <v>Junior</v>
      </c>
      <c r="E40" s="3" t="str">
        <f aca="false">'1. Raw Data'!E39</f>
        <v>Marketing</v>
      </c>
      <c r="F40" s="3" t="n">
        <f aca="false">'1. Raw Data'!F39</f>
        <v>2.6</v>
      </c>
      <c r="G40" s="3" t="n">
        <f aca="false">IF('1. Raw Data'!G39="",ROUND(IFERROR(AVERAGEIFS('1. Raw Data'!G2:G1201,'1. Raw Data'!C2:C1201,'1. Raw Data'!C39,'1. Raw Data'!D2:D1201,'1. Raw Data'!D39),0),2),'1. Raw Data'!G39)</f>
        <v>3768.35</v>
      </c>
      <c r="H40" s="3" t="str">
        <f aca="false">PROPER('1. Raw Data'!H39)</f>
        <v>No</v>
      </c>
      <c r="I40" s="3" t="n">
        <f aca="false">'1. Raw Data'!I39</f>
        <v>1</v>
      </c>
      <c r="J40" s="3" t="n">
        <f aca="false">'1. Raw Data'!J39</f>
        <v>2</v>
      </c>
      <c r="K40" s="3" t="n">
        <f aca="false">'1. Raw Data'!K39</f>
        <v>4</v>
      </c>
      <c r="L40" s="3" t="n">
        <f aca="false">'1. Raw Data'!L39</f>
        <v>2</v>
      </c>
      <c r="M40" s="3" t="n">
        <f aca="false">'1. Raw Data'!M39</f>
        <v>1</v>
      </c>
      <c r="N40" s="3" t="str">
        <f aca="false">'1. Raw Data'!N39</f>
        <v>No</v>
      </c>
    </row>
    <row r="41" customFormat="false" ht="15" hidden="false" customHeight="false" outlineLevel="0" collapsed="false">
      <c r="A41" s="3" t="str">
        <f aca="false">'1. Raw Data'!A40</f>
        <v>EMP-0039</v>
      </c>
      <c r="B41" s="3" t="n">
        <f aca="false">'1. Raw Data'!B40</f>
        <v>37</v>
      </c>
      <c r="C41" s="3" t="str">
        <f aca="false">'1. Raw Data'!C40</f>
        <v>Customer Support</v>
      </c>
      <c r="D41" s="3" t="str">
        <f aca="false">'1. Raw Data'!D40</f>
        <v>Junior</v>
      </c>
      <c r="E41" s="3" t="str">
        <f aca="false">'1. Raw Data'!E40</f>
        <v>Technical</v>
      </c>
      <c r="F41" s="3" t="n">
        <f aca="false">'1. Raw Data'!F40</f>
        <v>3.6</v>
      </c>
      <c r="G41" s="3" t="n">
        <f aca="false">IF('1. Raw Data'!G40="",ROUND(IFERROR(AVERAGEIFS('1. Raw Data'!G2:G1201,'1. Raw Data'!C2:C1201,'1. Raw Data'!C40,'1. Raw Data'!D2:D1201,'1. Raw Data'!D40),0),2),'1. Raw Data'!G40)</f>
        <v>3180.35</v>
      </c>
      <c r="H41" s="3" t="str">
        <f aca="false">PROPER('1. Raw Data'!H40)</f>
        <v>No</v>
      </c>
      <c r="I41" s="3" t="n">
        <f aca="false">'1. Raw Data'!I40</f>
        <v>3</v>
      </c>
      <c r="J41" s="3" t="n">
        <f aca="false">'1. Raw Data'!J40</f>
        <v>3</v>
      </c>
      <c r="K41" s="3" t="n">
        <f aca="false">'1. Raw Data'!K40</f>
        <v>3</v>
      </c>
      <c r="L41" s="3" t="n">
        <f aca="false">'1. Raw Data'!L40</f>
        <v>1</v>
      </c>
      <c r="M41" s="3" t="n">
        <f aca="false">'1. Raw Data'!M40</f>
        <v>3</v>
      </c>
      <c r="N41" s="3" t="str">
        <f aca="false">'1. Raw Data'!N40</f>
        <v>No</v>
      </c>
    </row>
    <row r="42" customFormat="false" ht="15" hidden="false" customHeight="false" outlineLevel="0" collapsed="false">
      <c r="A42" s="3" t="str">
        <f aca="false">'1. Raw Data'!A41</f>
        <v>EMP-0040</v>
      </c>
      <c r="B42" s="3" t="n">
        <f aca="false">'1. Raw Data'!B41</f>
        <v>31</v>
      </c>
      <c r="C42" s="3" t="str">
        <f aca="false">'1. Raw Data'!C41</f>
        <v>HR</v>
      </c>
      <c r="D42" s="3" t="str">
        <f aca="false">'1. Raw Data'!D41</f>
        <v>Mid</v>
      </c>
      <c r="E42" s="3" t="str">
        <f aca="false">'1. Raw Data'!E41</f>
        <v>Business</v>
      </c>
      <c r="F42" s="3" t="n">
        <f aca="false">'1. Raw Data'!F41</f>
        <v>1.4</v>
      </c>
      <c r="G42" s="3" t="n">
        <f aca="false">IF('1. Raw Data'!G41="",ROUND(IFERROR(AVERAGEIFS('1. Raw Data'!G2:G1201,'1. Raw Data'!C2:C1201,'1. Raw Data'!C41,'1. Raw Data'!D2:D1201,'1. Raw Data'!D41),0),2),'1. Raw Data'!G41)</f>
        <v>4229.36</v>
      </c>
      <c r="H42" s="3" t="str">
        <f aca="false">PROPER('1. Raw Data'!H41)</f>
        <v>No</v>
      </c>
      <c r="I42" s="3" t="n">
        <f aca="false">'1. Raw Data'!I41</f>
        <v>1</v>
      </c>
      <c r="J42" s="3" t="n">
        <f aca="false">'1. Raw Data'!J41</f>
        <v>2</v>
      </c>
      <c r="K42" s="3" t="n">
        <f aca="false">'1. Raw Data'!K41</f>
        <v>12</v>
      </c>
      <c r="L42" s="3" t="n">
        <f aca="false">'1. Raw Data'!L41</f>
        <v>1</v>
      </c>
      <c r="M42" s="3" t="n">
        <f aca="false">'1. Raw Data'!M41</f>
        <v>1</v>
      </c>
      <c r="N42" s="3" t="str">
        <f aca="false">'1. Raw Data'!N41</f>
        <v>Yes</v>
      </c>
    </row>
    <row r="43" customFormat="false" ht="15" hidden="false" customHeight="false" outlineLevel="0" collapsed="false">
      <c r="A43" s="3" t="str">
        <f aca="false">'1. Raw Data'!A42</f>
        <v>EMP-0041</v>
      </c>
      <c r="B43" s="3" t="n">
        <f aca="false">'1. Raw Data'!B42</f>
        <v>32</v>
      </c>
      <c r="C43" s="3" t="str">
        <f aca="false">'1. Raw Data'!C42</f>
        <v>Engineering</v>
      </c>
      <c r="D43" s="3" t="str">
        <f aca="false">'1. Raw Data'!D42</f>
        <v>Senior</v>
      </c>
      <c r="E43" s="3" t="str">
        <f aca="false">'1. Raw Data'!E42</f>
        <v>Other</v>
      </c>
      <c r="F43" s="3" t="n">
        <f aca="false">'1. Raw Data'!F42</f>
        <v>0.9</v>
      </c>
      <c r="G43" s="3" t="n">
        <f aca="false">IF('1. Raw Data'!G42="",ROUND(IFERROR(AVERAGEIFS('1. Raw Data'!G2:G1201,'1. Raw Data'!C2:C1201,'1. Raw Data'!C42,'1. Raw Data'!D2:D1201,'1. Raw Data'!D42),0),2),'1. Raw Data'!G42)</f>
        <v>8541.41</v>
      </c>
      <c r="H43" s="3" t="str">
        <f aca="false">PROPER('1. Raw Data'!H42)</f>
        <v>No</v>
      </c>
      <c r="I43" s="3" t="n">
        <f aca="false">'1. Raw Data'!I42</f>
        <v>3</v>
      </c>
      <c r="J43" s="3" t="n">
        <f aca="false">'1. Raw Data'!J42</f>
        <v>3</v>
      </c>
      <c r="K43" s="3" t="n">
        <f aca="false">'1. Raw Data'!K42</f>
        <v>2</v>
      </c>
      <c r="L43" s="3" t="n">
        <f aca="false">'1. Raw Data'!L42</f>
        <v>0</v>
      </c>
      <c r="M43" s="3" t="n">
        <f aca="false">'1. Raw Data'!M42</f>
        <v>3</v>
      </c>
      <c r="N43" s="3" t="str">
        <f aca="false">'1. Raw Data'!N42</f>
        <v>No</v>
      </c>
    </row>
    <row r="44" customFormat="false" ht="15" hidden="false" customHeight="false" outlineLevel="0" collapsed="false">
      <c r="A44" s="3" t="str">
        <f aca="false">'1. Raw Data'!A43</f>
        <v>EMP-0042</v>
      </c>
      <c r="B44" s="3" t="n">
        <f aca="false">'1. Raw Data'!B43</f>
        <v>35</v>
      </c>
      <c r="C44" s="3" t="str">
        <f aca="false">'1. Raw Data'!C43</f>
        <v>Engineering</v>
      </c>
      <c r="D44" s="3" t="str">
        <f aca="false">'1. Raw Data'!D43</f>
        <v>Mid</v>
      </c>
      <c r="E44" s="3" t="str">
        <f aca="false">'1. Raw Data'!E43</f>
        <v>Other</v>
      </c>
      <c r="F44" s="3" t="n">
        <f aca="false">'1. Raw Data'!F43</f>
        <v>13.7</v>
      </c>
      <c r="G44" s="3" t="n">
        <f aca="false">IF('1. Raw Data'!G43="",ROUND(IFERROR(AVERAGEIFS('1. Raw Data'!G2:G1201,'1. Raw Data'!C2:C1201,'1. Raw Data'!C43,'1. Raw Data'!D2:D1201,'1. Raw Data'!D43),0),2),'1. Raw Data'!G43)</f>
        <v>4330.45</v>
      </c>
      <c r="H44" s="3" t="str">
        <f aca="false">PROPER('1. Raw Data'!H43)</f>
        <v>No</v>
      </c>
      <c r="I44" s="3" t="n">
        <f aca="false">'1. Raw Data'!I43</f>
        <v>3</v>
      </c>
      <c r="J44" s="3" t="n">
        <f aca="false">'1. Raw Data'!J43</f>
        <v>2</v>
      </c>
      <c r="K44" s="3" t="n">
        <f aca="false">'1. Raw Data'!K43</f>
        <v>26</v>
      </c>
      <c r="L44" s="3" t="n">
        <f aca="false">'1. Raw Data'!L43</f>
        <v>1</v>
      </c>
      <c r="M44" s="3" t="n">
        <f aca="false">'1. Raw Data'!M43</f>
        <v>2</v>
      </c>
      <c r="N44" s="3" t="str">
        <f aca="false">'1. Raw Data'!N43</f>
        <v>No</v>
      </c>
    </row>
    <row r="45" customFormat="false" ht="15" hidden="false" customHeight="false" outlineLevel="0" collapsed="false">
      <c r="A45" s="3" t="str">
        <f aca="false">'1. Raw Data'!A44</f>
        <v>EMP-0043</v>
      </c>
      <c r="B45" s="3" t="n">
        <f aca="false">'1. Raw Data'!B44</f>
        <v>31</v>
      </c>
      <c r="C45" s="3" t="str">
        <f aca="false">'1. Raw Data'!C44</f>
        <v>Customer Support</v>
      </c>
      <c r="D45" s="3" t="str">
        <f aca="false">'1. Raw Data'!D44</f>
        <v>Junior</v>
      </c>
      <c r="E45" s="3" t="str">
        <f aca="false">'1. Raw Data'!E44</f>
        <v>Business</v>
      </c>
      <c r="F45" s="3" t="n">
        <f aca="false">'1. Raw Data'!F44</f>
        <v>2</v>
      </c>
      <c r="G45" s="3" t="n">
        <f aca="false">IF('1. Raw Data'!G44="",ROUND(IFERROR(AVERAGEIFS('1. Raw Data'!G2:G1201,'1. Raw Data'!C2:C1201,'1. Raw Data'!C44,'1. Raw Data'!D2:D1201,'1. Raw Data'!D44),0),2),'1. Raw Data'!G44)</f>
        <v>3253.75</v>
      </c>
      <c r="H45" s="3" t="str">
        <f aca="false">PROPER('1. Raw Data'!H44)</f>
        <v>Yes</v>
      </c>
      <c r="I45" s="3" t="n">
        <f aca="false">'1. Raw Data'!I44</f>
        <v>2</v>
      </c>
      <c r="J45" s="3" t="n">
        <f aca="false">'1. Raw Data'!J44</f>
        <v>3</v>
      </c>
      <c r="K45" s="3" t="n">
        <f aca="false">'1. Raw Data'!K44</f>
        <v>25</v>
      </c>
      <c r="L45" s="3" t="n">
        <f aca="false">'1. Raw Data'!L44</f>
        <v>2</v>
      </c>
      <c r="M45" s="3" t="n">
        <f aca="false">'1. Raw Data'!M44</f>
        <v>4</v>
      </c>
      <c r="N45" s="3" t="str">
        <f aca="false">'1. Raw Data'!N44</f>
        <v>No</v>
      </c>
    </row>
    <row r="46" customFormat="false" ht="15" hidden="false" customHeight="false" outlineLevel="0" collapsed="false">
      <c r="A46" s="3" t="str">
        <f aca="false">'1. Raw Data'!A45</f>
        <v>EMP-0044</v>
      </c>
      <c r="B46" s="3" t="n">
        <f aca="false">'1. Raw Data'!B45</f>
        <v>26</v>
      </c>
      <c r="C46" s="3" t="str">
        <f aca="false">'1. Raw Data'!C45</f>
        <v>Marketing</v>
      </c>
      <c r="D46" s="3" t="str">
        <f aca="false">'1. Raw Data'!D45</f>
        <v>Mid</v>
      </c>
      <c r="E46" s="3" t="str">
        <f aca="false">'1. Raw Data'!E45</f>
        <v>Business</v>
      </c>
      <c r="F46" s="3" t="n">
        <f aca="false">'1. Raw Data'!F45</f>
        <v>1.2</v>
      </c>
      <c r="G46" s="3" t="n">
        <f aca="false">IF('1. Raw Data'!G45="",ROUND(IFERROR(AVERAGEIFS('1. Raw Data'!G2:G1201,'1. Raw Data'!C2:C1201,'1. Raw Data'!C45,'1. Raw Data'!D2:D1201,'1. Raw Data'!D45),0),2),'1. Raw Data'!G45)</f>
        <v>4096.37</v>
      </c>
      <c r="H46" s="3" t="str">
        <f aca="false">PROPER('1. Raw Data'!H45)</f>
        <v>No</v>
      </c>
      <c r="I46" s="3" t="n">
        <f aca="false">'1. Raw Data'!I45</f>
        <v>4</v>
      </c>
      <c r="J46" s="3" t="n">
        <f aca="false">'1. Raw Data'!J45</f>
        <v>3</v>
      </c>
      <c r="K46" s="3" t="n">
        <f aca="false">'1. Raw Data'!K45</f>
        <v>7</v>
      </c>
      <c r="L46" s="3" t="n">
        <f aca="false">'1. Raw Data'!L45</f>
        <v>1</v>
      </c>
      <c r="M46" s="3" t="n">
        <f aca="false">'1. Raw Data'!M45</f>
        <v>3</v>
      </c>
      <c r="N46" s="3" t="str">
        <f aca="false">'1. Raw Data'!N45</f>
        <v>No</v>
      </c>
    </row>
    <row r="47" customFormat="false" ht="15" hidden="false" customHeight="false" outlineLevel="0" collapsed="false">
      <c r="A47" s="3" t="str">
        <f aca="false">'1. Raw Data'!A46</f>
        <v>EMP-0045</v>
      </c>
      <c r="B47" s="3" t="n">
        <f aca="false">'1. Raw Data'!B46</f>
        <v>21</v>
      </c>
      <c r="C47" s="3" t="str">
        <f aca="false">'1. Raw Data'!C46</f>
        <v>Engineering</v>
      </c>
      <c r="D47" s="3" t="str">
        <f aca="false">'1. Raw Data'!D46</f>
        <v>Junior</v>
      </c>
      <c r="E47" s="3" t="str">
        <f aca="false">'1. Raw Data'!E46</f>
        <v>Business</v>
      </c>
      <c r="F47" s="3" t="n">
        <f aca="false">'1. Raw Data'!F46</f>
        <v>0</v>
      </c>
      <c r="G47" s="3" t="n">
        <f aca="false">IF('1. Raw Data'!G46="",ROUND(IFERROR(AVERAGEIFS('1. Raw Data'!G2:G1201,'1. Raw Data'!C2:C1201,'1. Raw Data'!C46,'1. Raw Data'!D2:D1201,'1. Raw Data'!D46),0),2),'1. Raw Data'!G46)</f>
        <v>3132.62</v>
      </c>
      <c r="H47" s="3" t="str">
        <f aca="false">PROPER('1. Raw Data'!H46)</f>
        <v>No</v>
      </c>
      <c r="I47" s="3" t="n">
        <f aca="false">'1. Raw Data'!I46</f>
        <v>2</v>
      </c>
      <c r="J47" s="3" t="n">
        <f aca="false">'1. Raw Data'!J46</f>
        <v>4</v>
      </c>
      <c r="K47" s="3" t="n">
        <f aca="false">'1. Raw Data'!K46</f>
        <v>9</v>
      </c>
      <c r="L47" s="3" t="n">
        <f aca="false">'1. Raw Data'!L46</f>
        <v>0</v>
      </c>
      <c r="M47" s="3" t="n">
        <f aca="false">'1. Raw Data'!M46</f>
        <v>1</v>
      </c>
      <c r="N47" s="3" t="str">
        <f aca="false">'1. Raw Data'!N46</f>
        <v>Yes</v>
      </c>
    </row>
    <row r="48" customFormat="false" ht="15" hidden="false" customHeight="false" outlineLevel="0" collapsed="false">
      <c r="A48" s="3" t="str">
        <f aca="false">'1. Raw Data'!A47</f>
        <v>EMP-0046</v>
      </c>
      <c r="B48" s="3" t="n">
        <f aca="false">'1. Raw Data'!B47</f>
        <v>35</v>
      </c>
      <c r="C48" s="3" t="str">
        <f aca="false">'1. Raw Data'!C47</f>
        <v>Customer Support</v>
      </c>
      <c r="D48" s="3" t="str">
        <f aca="false">'1. Raw Data'!D47</f>
        <v>Mid</v>
      </c>
      <c r="E48" s="3" t="str">
        <f aca="false">'1. Raw Data'!E47</f>
        <v>Marketing</v>
      </c>
      <c r="F48" s="3" t="n">
        <f aca="false">'1. Raw Data'!F47</f>
        <v>7.2</v>
      </c>
      <c r="G48" s="3" t="n">
        <f aca="false">IF('1. Raw Data'!G47="",ROUND(IFERROR(AVERAGEIFS('1. Raw Data'!G2:G1201,'1. Raw Data'!C2:C1201,'1. Raw Data'!C47,'1. Raw Data'!D2:D1201,'1. Raw Data'!D47),0),2),'1. Raw Data'!G47)</f>
        <v>5603.82</v>
      </c>
      <c r="H48" s="3" t="str">
        <f aca="false">PROPER('1. Raw Data'!H47)</f>
        <v>Yes</v>
      </c>
      <c r="I48" s="3" t="n">
        <f aca="false">'1. Raw Data'!I47</f>
        <v>4</v>
      </c>
      <c r="J48" s="3" t="n">
        <f aca="false">'1. Raw Data'!J47</f>
        <v>1</v>
      </c>
      <c r="K48" s="3" t="n">
        <f aca="false">'1. Raw Data'!K47</f>
        <v>1</v>
      </c>
      <c r="L48" s="3" t="n">
        <f aca="false">'1. Raw Data'!L47</f>
        <v>0</v>
      </c>
      <c r="M48" s="3" t="n">
        <f aca="false">'1. Raw Data'!M47</f>
        <v>1</v>
      </c>
      <c r="N48" s="3" t="str">
        <f aca="false">'1. Raw Data'!N47</f>
        <v>No</v>
      </c>
    </row>
    <row r="49" customFormat="false" ht="15" hidden="false" customHeight="false" outlineLevel="0" collapsed="false">
      <c r="A49" s="3" t="str">
        <f aca="false">'1. Raw Data'!A48</f>
        <v>EMP-0047</v>
      </c>
      <c r="B49" s="3" t="n">
        <f aca="false">'1. Raw Data'!B48</f>
        <v>25</v>
      </c>
      <c r="C49" s="3" t="str">
        <f aca="false">'1. Raw Data'!C48</f>
        <v>Customer Support</v>
      </c>
      <c r="D49" s="3" t="str">
        <f aca="false">'1. Raw Data'!D48</f>
        <v>Junior</v>
      </c>
      <c r="E49" s="3" t="str">
        <f aca="false">'1. Raw Data'!E48</f>
        <v>Technical</v>
      </c>
      <c r="F49" s="3" t="n">
        <f aca="false">'1. Raw Data'!F48</f>
        <v>1</v>
      </c>
      <c r="G49" s="3" t="n">
        <f aca="false">IF('1. Raw Data'!G48="",ROUND(IFERROR(AVERAGEIFS('1. Raw Data'!G2:G1201,'1. Raw Data'!C2:C1201,'1. Raw Data'!C48,'1. Raw Data'!D2:D1201,'1. Raw Data'!D48),0),2),'1. Raw Data'!G48)</f>
        <v>2727.14</v>
      </c>
      <c r="H49" s="3" t="str">
        <f aca="false">PROPER('1. Raw Data'!H48)</f>
        <v>Yes</v>
      </c>
      <c r="I49" s="3" t="n">
        <f aca="false">'1. Raw Data'!I48</f>
        <v>3</v>
      </c>
      <c r="J49" s="3" t="n">
        <f aca="false">'1. Raw Data'!J48</f>
        <v>3</v>
      </c>
      <c r="K49" s="3" t="n">
        <f aca="false">'1. Raw Data'!K48</f>
        <v>2</v>
      </c>
      <c r="L49" s="3" t="n">
        <f aca="false">'1. Raw Data'!L48</f>
        <v>0</v>
      </c>
      <c r="M49" s="3" t="n">
        <f aca="false">'1. Raw Data'!M48</f>
        <v>0</v>
      </c>
      <c r="N49" s="3" t="str">
        <f aca="false">'1. Raw Data'!N48</f>
        <v>No</v>
      </c>
    </row>
    <row r="50" customFormat="false" ht="15" hidden="false" customHeight="false" outlineLevel="0" collapsed="false">
      <c r="A50" s="3" t="str">
        <f aca="false">'1. Raw Data'!A49</f>
        <v>EMP-0048</v>
      </c>
      <c r="B50" s="3" t="n">
        <f aca="false">'1. Raw Data'!B49</f>
        <v>32</v>
      </c>
      <c r="C50" s="3" t="str">
        <f aca="false">'1. Raw Data'!C49</f>
        <v>Customer Support</v>
      </c>
      <c r="D50" s="3" t="str">
        <f aca="false">'1. Raw Data'!D49</f>
        <v>Junior</v>
      </c>
      <c r="E50" s="3" t="str">
        <f aca="false">'1. Raw Data'!E49</f>
        <v>Marketing</v>
      </c>
      <c r="F50" s="3" t="n">
        <f aca="false">'1. Raw Data'!F49</f>
        <v>1.5</v>
      </c>
      <c r="G50" s="3" t="n">
        <f aca="false">IF('1. Raw Data'!G49="",ROUND(IFERROR(AVERAGEIFS('1. Raw Data'!G2:G1201,'1. Raw Data'!C2:C1201,'1. Raw Data'!C49,'1. Raw Data'!D2:D1201,'1. Raw Data'!D49),0),2),'1. Raw Data'!G49)</f>
        <v>2900.91</v>
      </c>
      <c r="H50" s="3" t="str">
        <f aca="false">PROPER('1. Raw Data'!H49)</f>
        <v>Yes</v>
      </c>
      <c r="I50" s="3" t="n">
        <f aca="false">'1. Raw Data'!I49</f>
        <v>2</v>
      </c>
      <c r="J50" s="3" t="n">
        <f aca="false">'1. Raw Data'!J49</f>
        <v>2</v>
      </c>
      <c r="K50" s="3" t="n">
        <f aca="false">'1. Raw Data'!K49</f>
        <v>1</v>
      </c>
      <c r="L50" s="3" t="n">
        <f aca="false">'1. Raw Data'!L49</f>
        <v>1</v>
      </c>
      <c r="M50" s="3" t="n">
        <f aca="false">'1. Raw Data'!M49</f>
        <v>2</v>
      </c>
      <c r="N50" s="3" t="str">
        <f aca="false">'1. Raw Data'!N49</f>
        <v>Yes</v>
      </c>
    </row>
    <row r="51" customFormat="false" ht="15" hidden="false" customHeight="false" outlineLevel="0" collapsed="false">
      <c r="A51" s="3" t="str">
        <f aca="false">'1. Raw Data'!A50</f>
        <v>EMP-0049</v>
      </c>
      <c r="B51" s="3" t="n">
        <f aca="false">'1. Raw Data'!B50</f>
        <v>42</v>
      </c>
      <c r="C51" s="3" t="str">
        <f aca="false">'1. Raw Data'!C50</f>
        <v>Marketing</v>
      </c>
      <c r="D51" s="3" t="str">
        <f aca="false">'1. Raw Data'!D50</f>
        <v>Mid</v>
      </c>
      <c r="E51" s="3" t="str">
        <f aca="false">'1. Raw Data'!E50</f>
        <v>Other</v>
      </c>
      <c r="F51" s="3" t="n">
        <f aca="false">'1. Raw Data'!F50</f>
        <v>6.4</v>
      </c>
      <c r="G51" s="3" t="n">
        <f aca="false">IF('1. Raw Data'!G50="",ROUND(IFERROR(AVERAGEIFS('1. Raw Data'!G2:G1201,'1. Raw Data'!C2:C1201,'1. Raw Data'!C50,'1. Raw Data'!D2:D1201,'1. Raw Data'!D50),0),2),'1. Raw Data'!G50)</f>
        <v>4300.94</v>
      </c>
      <c r="H51" s="3" t="str">
        <f aca="false">PROPER('1. Raw Data'!H50)</f>
        <v>No</v>
      </c>
      <c r="I51" s="3" t="n">
        <f aca="false">'1. Raw Data'!I50</f>
        <v>4</v>
      </c>
      <c r="J51" s="3" t="n">
        <f aca="false">'1. Raw Data'!J50</f>
        <v>2</v>
      </c>
      <c r="K51" s="3" t="n">
        <f aca="false">'1. Raw Data'!K50</f>
        <v>4</v>
      </c>
      <c r="L51" s="3" t="n">
        <f aca="false">'1. Raw Data'!L50</f>
        <v>1</v>
      </c>
      <c r="M51" s="3" t="n">
        <f aca="false">'1. Raw Data'!M50</f>
        <v>3</v>
      </c>
      <c r="N51" s="3" t="str">
        <f aca="false">'1. Raw Data'!N50</f>
        <v>No</v>
      </c>
    </row>
    <row r="52" customFormat="false" ht="15" hidden="false" customHeight="false" outlineLevel="0" collapsed="false">
      <c r="A52" s="3" t="str">
        <f aca="false">'1. Raw Data'!A51</f>
        <v>EMP-0050</v>
      </c>
      <c r="B52" s="3" t="n">
        <f aca="false">'1. Raw Data'!B51</f>
        <v>41</v>
      </c>
      <c r="C52" s="3" t="str">
        <f aca="false">'1. Raw Data'!C51</f>
        <v>Sales</v>
      </c>
      <c r="D52" s="3" t="str">
        <f aca="false">'1. Raw Data'!D51</f>
        <v>Senior</v>
      </c>
      <c r="E52" s="3" t="str">
        <f aca="false">'1. Raw Data'!E51</f>
        <v>Other</v>
      </c>
      <c r="F52" s="3" t="n">
        <f aca="false">'1. Raw Data'!F51</f>
        <v>2.2</v>
      </c>
      <c r="G52" s="3" t="n">
        <f aca="false">IF('1. Raw Data'!G51="",ROUND(IFERROR(AVERAGEIFS('1. Raw Data'!G2:G1201,'1. Raw Data'!C2:C1201,'1. Raw Data'!C51,'1. Raw Data'!D2:D1201,'1. Raw Data'!D51),0),2),'1. Raw Data'!G51)</f>
        <v>6609.52</v>
      </c>
      <c r="H52" s="3" t="str">
        <f aca="false">PROPER('1. Raw Data'!H51)</f>
        <v>Yes</v>
      </c>
      <c r="I52" s="3" t="n">
        <f aca="false">'1. Raw Data'!I51</f>
        <v>4</v>
      </c>
      <c r="J52" s="3" t="n">
        <f aca="false">'1. Raw Data'!J51</f>
        <v>4</v>
      </c>
      <c r="K52" s="3" t="n">
        <f aca="false">'1. Raw Data'!K51</f>
        <v>1</v>
      </c>
      <c r="L52" s="3" t="n">
        <f aca="false">'1. Raw Data'!L51</f>
        <v>0</v>
      </c>
      <c r="M52" s="3" t="n">
        <f aca="false">'1. Raw Data'!M51</f>
        <v>0</v>
      </c>
      <c r="N52" s="3" t="str">
        <f aca="false">'1. Raw Data'!N51</f>
        <v>No</v>
      </c>
    </row>
    <row r="53" customFormat="false" ht="15" hidden="false" customHeight="false" outlineLevel="0" collapsed="false">
      <c r="A53" s="3" t="str">
        <f aca="false">'1. Raw Data'!A52</f>
        <v>EMP-0051</v>
      </c>
      <c r="B53" s="3" t="n">
        <f aca="false">'1. Raw Data'!B52</f>
        <v>28</v>
      </c>
      <c r="C53" s="3" t="str">
        <f aca="false">'1. Raw Data'!C52</f>
        <v>Customer Support</v>
      </c>
      <c r="D53" s="3" t="str">
        <f aca="false">'1. Raw Data'!D52</f>
        <v>Junior</v>
      </c>
      <c r="E53" s="3" t="str">
        <f aca="false">'1. Raw Data'!E52</f>
        <v>Technical</v>
      </c>
      <c r="F53" s="3" t="n">
        <f aca="false">'1. Raw Data'!F52</f>
        <v>1.9</v>
      </c>
      <c r="G53" s="3" t="n">
        <f aca="false">IF('1. Raw Data'!G52="",ROUND(IFERROR(AVERAGEIFS('1. Raw Data'!G2:G1201,'1. Raw Data'!C2:C1201,'1. Raw Data'!C52,'1. Raw Data'!D2:D1201,'1. Raw Data'!D52),0),2),'1. Raw Data'!G52)</f>
        <v>3297.25</v>
      </c>
      <c r="H53" s="3" t="str">
        <f aca="false">PROPER('1. Raw Data'!H52)</f>
        <v>No</v>
      </c>
      <c r="I53" s="3" t="n">
        <f aca="false">'1. Raw Data'!I52</f>
        <v>2</v>
      </c>
      <c r="J53" s="3" t="n">
        <f aca="false">'1. Raw Data'!J52</f>
        <v>1</v>
      </c>
      <c r="K53" s="3" t="n">
        <f aca="false">'1. Raw Data'!K52</f>
        <v>5</v>
      </c>
      <c r="L53" s="3" t="n">
        <f aca="false">'1. Raw Data'!L52</f>
        <v>0</v>
      </c>
      <c r="M53" s="3" t="n">
        <f aca="false">'1. Raw Data'!M52</f>
        <v>3</v>
      </c>
      <c r="N53" s="3" t="str">
        <f aca="false">'1. Raw Data'!N52</f>
        <v>No</v>
      </c>
    </row>
    <row r="54" customFormat="false" ht="15" hidden="false" customHeight="false" outlineLevel="0" collapsed="false">
      <c r="A54" s="3" t="str">
        <f aca="false">'1. Raw Data'!A53</f>
        <v>EMP-0052</v>
      </c>
      <c r="B54" s="3" t="n">
        <f aca="false">'1. Raw Data'!B53</f>
        <v>39</v>
      </c>
      <c r="C54" s="3" t="str">
        <f aca="false">'1. Raw Data'!C53</f>
        <v>Sales</v>
      </c>
      <c r="D54" s="3" t="str">
        <f aca="false">'1. Raw Data'!D53</f>
        <v>Junior</v>
      </c>
      <c r="E54" s="3" t="str">
        <f aca="false">'1. Raw Data'!E53</f>
        <v>Marketing</v>
      </c>
      <c r="F54" s="3" t="n">
        <f aca="false">'1. Raw Data'!F53</f>
        <v>4.8</v>
      </c>
      <c r="G54" s="3" t="n">
        <f aca="false">IF('1. Raw Data'!G53="",ROUND(IFERROR(AVERAGEIFS('1. Raw Data'!G2:G1201,'1. Raw Data'!C2:C1201,'1. Raw Data'!C53,'1. Raw Data'!D2:D1201,'1. Raw Data'!D53),0),2),'1. Raw Data'!G53)</f>
        <v>3738.85</v>
      </c>
      <c r="H54" s="3" t="str">
        <f aca="false">PROPER('1. Raw Data'!H53)</f>
        <v>Yes</v>
      </c>
      <c r="I54" s="3" t="n">
        <f aca="false">'1. Raw Data'!I53</f>
        <v>4</v>
      </c>
      <c r="J54" s="3" t="n">
        <f aca="false">'1. Raw Data'!J53</f>
        <v>1</v>
      </c>
      <c r="K54" s="3" t="n">
        <f aca="false">'1. Raw Data'!K53</f>
        <v>9</v>
      </c>
      <c r="L54" s="3" t="n">
        <f aca="false">'1. Raw Data'!L53</f>
        <v>1</v>
      </c>
      <c r="M54" s="3" t="n">
        <f aca="false">'1. Raw Data'!M53</f>
        <v>2</v>
      </c>
      <c r="N54" s="3" t="str">
        <f aca="false">'1. Raw Data'!N53</f>
        <v>No</v>
      </c>
    </row>
    <row r="55" customFormat="false" ht="15" hidden="false" customHeight="false" outlineLevel="0" collapsed="false">
      <c r="A55" s="3" t="str">
        <f aca="false">'1. Raw Data'!A54</f>
        <v>EMP-0053</v>
      </c>
      <c r="B55" s="3" t="n">
        <f aca="false">'1. Raw Data'!B54</f>
        <v>39</v>
      </c>
      <c r="C55" s="3" t="str">
        <f aca="false">'1. Raw Data'!C54</f>
        <v>Customer Support</v>
      </c>
      <c r="D55" s="3" t="str">
        <f aca="false">'1. Raw Data'!D54</f>
        <v>Mid</v>
      </c>
      <c r="E55" s="3" t="str">
        <f aca="false">'1. Raw Data'!E54</f>
        <v>Business</v>
      </c>
      <c r="F55" s="3" t="n">
        <f aca="false">'1. Raw Data'!F54</f>
        <v>0.1</v>
      </c>
      <c r="G55" s="3" t="n">
        <f aca="false">IF('1. Raw Data'!G54="",ROUND(IFERROR(AVERAGEIFS('1. Raw Data'!G2:G1201,'1. Raw Data'!C2:C1201,'1. Raw Data'!C54,'1. Raw Data'!D2:D1201,'1. Raw Data'!D54),0),2),'1. Raw Data'!G54)</f>
        <v>4624.55</v>
      </c>
      <c r="H55" s="3" t="str">
        <f aca="false">PROPER('1. Raw Data'!H54)</f>
        <v>No</v>
      </c>
      <c r="I55" s="3" t="n">
        <f aca="false">'1. Raw Data'!I54</f>
        <v>2</v>
      </c>
      <c r="J55" s="3" t="n">
        <f aca="false">'1. Raw Data'!J54</f>
        <v>3</v>
      </c>
      <c r="K55" s="3" t="n">
        <f aca="false">'1. Raw Data'!K54</f>
        <v>9</v>
      </c>
      <c r="L55" s="3" t="n">
        <f aca="false">'1. Raw Data'!L54</f>
        <v>0</v>
      </c>
      <c r="M55" s="3" t="n">
        <f aca="false">'1. Raw Data'!M54</f>
        <v>2</v>
      </c>
      <c r="N55" s="3" t="str">
        <f aca="false">'1. Raw Data'!N54</f>
        <v>Yes</v>
      </c>
    </row>
    <row r="56" customFormat="false" ht="15" hidden="false" customHeight="false" outlineLevel="0" collapsed="false">
      <c r="A56" s="3" t="str">
        <f aca="false">'1. Raw Data'!A55</f>
        <v>EMP-0054</v>
      </c>
      <c r="B56" s="3" t="n">
        <f aca="false">'1. Raw Data'!B55</f>
        <v>29</v>
      </c>
      <c r="C56" s="3" t="str">
        <f aca="false">'1. Raw Data'!C55</f>
        <v>Sales</v>
      </c>
      <c r="D56" s="3" t="str">
        <f aca="false">'1. Raw Data'!D55</f>
        <v>Lead</v>
      </c>
      <c r="E56" s="3" t="str">
        <f aca="false">'1. Raw Data'!E55</f>
        <v>Marketing</v>
      </c>
      <c r="F56" s="3" t="n">
        <f aca="false">'1. Raw Data'!F55</f>
        <v>1.5</v>
      </c>
      <c r="G56" s="3" t="n">
        <f aca="false">IF('1. Raw Data'!G55="",ROUND(IFERROR(AVERAGEIFS('1. Raw Data'!G2:G1201,'1. Raw Data'!C2:C1201,'1. Raw Data'!C55,'1. Raw Data'!D2:D1201,'1. Raw Data'!D55),0),2),'1. Raw Data'!G55)</f>
        <v>8256.47</v>
      </c>
      <c r="H56" s="3" t="str">
        <f aca="false">PROPER('1. Raw Data'!H55)</f>
        <v>No</v>
      </c>
      <c r="I56" s="3" t="n">
        <f aca="false">'1. Raw Data'!I55</f>
        <v>1</v>
      </c>
      <c r="J56" s="3" t="n">
        <f aca="false">'1. Raw Data'!J55</f>
        <v>1</v>
      </c>
      <c r="K56" s="3" t="n">
        <f aca="false">'1. Raw Data'!K55</f>
        <v>21</v>
      </c>
      <c r="L56" s="3" t="n">
        <f aca="false">'1. Raw Data'!L55</f>
        <v>1</v>
      </c>
      <c r="M56" s="3" t="n">
        <f aca="false">'1. Raw Data'!M55</f>
        <v>1</v>
      </c>
      <c r="N56" s="3" t="str">
        <f aca="false">'1. Raw Data'!N55</f>
        <v>No</v>
      </c>
    </row>
    <row r="57" customFormat="false" ht="15" hidden="false" customHeight="false" outlineLevel="0" collapsed="false">
      <c r="A57" s="3" t="str">
        <f aca="false">'1. Raw Data'!A56</f>
        <v>EMP-0055</v>
      </c>
      <c r="B57" s="3" t="n">
        <f aca="false">'1. Raw Data'!B56</f>
        <v>22</v>
      </c>
      <c r="C57" s="3" t="str">
        <f aca="false">'1. Raw Data'!C56</f>
        <v>Sales</v>
      </c>
      <c r="D57" s="3" t="str">
        <f aca="false">'1. Raw Data'!D56</f>
        <v>Mid</v>
      </c>
      <c r="E57" s="3" t="str">
        <f aca="false">'1. Raw Data'!E56</f>
        <v>Business</v>
      </c>
      <c r="F57" s="3" t="n">
        <f aca="false">'1. Raw Data'!F56</f>
        <v>1</v>
      </c>
      <c r="G57" s="3" t="n">
        <f aca="false">IF('1. Raw Data'!G56="",ROUND(IFERROR(AVERAGEIFS('1. Raw Data'!G2:G1201,'1. Raw Data'!C2:C1201,'1. Raw Data'!C56,'1. Raw Data'!D2:D1201,'1. Raw Data'!D56),0),2),'1. Raw Data'!G56)</f>
        <v>5517.34</v>
      </c>
      <c r="H57" s="3" t="str">
        <f aca="false">PROPER('1. Raw Data'!H56)</f>
        <v>Yes</v>
      </c>
      <c r="I57" s="3" t="n">
        <f aca="false">'1. Raw Data'!I56</f>
        <v>4</v>
      </c>
      <c r="J57" s="3" t="n">
        <f aca="false">'1. Raw Data'!J56</f>
        <v>3</v>
      </c>
      <c r="K57" s="3" t="n">
        <f aca="false">'1. Raw Data'!K56</f>
        <v>1</v>
      </c>
      <c r="L57" s="3" t="n">
        <f aca="false">'1. Raw Data'!L56</f>
        <v>1</v>
      </c>
      <c r="M57" s="3" t="n">
        <f aca="false">'1. Raw Data'!M56</f>
        <v>0</v>
      </c>
      <c r="N57" s="3" t="str">
        <f aca="false">'1. Raw Data'!N56</f>
        <v>No</v>
      </c>
    </row>
    <row r="58" customFormat="false" ht="15" hidden="false" customHeight="false" outlineLevel="0" collapsed="false">
      <c r="A58" s="3" t="str">
        <f aca="false">'1. Raw Data'!A57</f>
        <v>EMP-0056</v>
      </c>
      <c r="B58" s="3" t="n">
        <f aca="false">'1. Raw Data'!B57</f>
        <v>39</v>
      </c>
      <c r="C58" s="3" t="str">
        <f aca="false">'1. Raw Data'!C57</f>
        <v>Finance</v>
      </c>
      <c r="D58" s="3" t="str">
        <f aca="false">'1. Raw Data'!D57</f>
        <v>Junior</v>
      </c>
      <c r="E58" s="3" t="str">
        <f aca="false">'1. Raw Data'!E57</f>
        <v>Business</v>
      </c>
      <c r="F58" s="3" t="n">
        <f aca="false">'1. Raw Data'!F57</f>
        <v>2.6</v>
      </c>
      <c r="G58" s="3" t="n">
        <f aca="false">IF('1. Raw Data'!G57="",ROUND(IFERROR(AVERAGEIFS('1. Raw Data'!G2:G1201,'1. Raw Data'!C2:C1201,'1. Raw Data'!C57,'1. Raw Data'!D2:D1201,'1. Raw Data'!D57),0),2),'1. Raw Data'!G57)</f>
        <v>2996.86</v>
      </c>
      <c r="H58" s="3" t="str">
        <f aca="false">PROPER('1. Raw Data'!H57)</f>
        <v>No</v>
      </c>
      <c r="I58" s="3" t="n">
        <f aca="false">'1. Raw Data'!I57</f>
        <v>3</v>
      </c>
      <c r="J58" s="3" t="n">
        <f aca="false">'1. Raw Data'!J57</f>
        <v>2</v>
      </c>
      <c r="K58" s="3" t="n">
        <f aca="false">'1. Raw Data'!K57</f>
        <v>1</v>
      </c>
      <c r="L58" s="3" t="n">
        <f aca="false">'1. Raw Data'!L57</f>
        <v>0</v>
      </c>
      <c r="M58" s="3" t="n">
        <f aca="false">'1. Raw Data'!M57</f>
        <v>1</v>
      </c>
      <c r="N58" s="3" t="str">
        <f aca="false">'1. Raw Data'!N57</f>
        <v>No</v>
      </c>
    </row>
    <row r="59" customFormat="false" ht="15" hidden="false" customHeight="false" outlineLevel="0" collapsed="false">
      <c r="A59" s="3" t="str">
        <f aca="false">'1. Raw Data'!A58</f>
        <v>EMP-0057</v>
      </c>
      <c r="B59" s="3" t="n">
        <f aca="false">'1. Raw Data'!B58</f>
        <v>35</v>
      </c>
      <c r="C59" s="3" t="str">
        <f aca="false">'1. Raw Data'!C58</f>
        <v>HR</v>
      </c>
      <c r="D59" s="3" t="str">
        <f aca="false">'1. Raw Data'!D58</f>
        <v>Junior</v>
      </c>
      <c r="E59" s="3" t="str">
        <f aca="false">'1. Raw Data'!E58</f>
        <v>Marketing</v>
      </c>
      <c r="F59" s="3" t="n">
        <f aca="false">'1. Raw Data'!F58</f>
        <v>0.4</v>
      </c>
      <c r="G59" s="3" t="n">
        <f aca="false">IF('1. Raw Data'!G58="",ROUND(IFERROR(AVERAGEIFS('1. Raw Data'!G2:G1201,'1. Raw Data'!C2:C1201,'1. Raw Data'!C58,'1. Raw Data'!D2:D1201,'1. Raw Data'!D58),0),2),'1. Raw Data'!G58)</f>
        <v>3092.11</v>
      </c>
      <c r="H59" s="3" t="str">
        <f aca="false">PROPER('1. Raw Data'!H58)</f>
        <v>No</v>
      </c>
      <c r="I59" s="3" t="n">
        <f aca="false">'1. Raw Data'!I58</f>
        <v>3</v>
      </c>
      <c r="J59" s="3" t="n">
        <f aca="false">'1. Raw Data'!J58</f>
        <v>3</v>
      </c>
      <c r="K59" s="3" t="n">
        <f aca="false">'1. Raw Data'!K58</f>
        <v>4</v>
      </c>
      <c r="L59" s="3" t="n">
        <f aca="false">'1. Raw Data'!L58</f>
        <v>0</v>
      </c>
      <c r="M59" s="3" t="n">
        <f aca="false">'1. Raw Data'!M58</f>
        <v>1</v>
      </c>
      <c r="N59" s="3" t="str">
        <f aca="false">'1. Raw Data'!N58</f>
        <v>No</v>
      </c>
    </row>
    <row r="60" customFormat="false" ht="15" hidden="false" customHeight="false" outlineLevel="0" collapsed="false">
      <c r="A60" s="3" t="str">
        <f aca="false">'1. Raw Data'!A59</f>
        <v>EMP-0058</v>
      </c>
      <c r="B60" s="3" t="n">
        <f aca="false">'1. Raw Data'!B59</f>
        <v>34</v>
      </c>
      <c r="C60" s="3" t="str">
        <f aca="false">'1. Raw Data'!C59</f>
        <v>Marketing</v>
      </c>
      <c r="D60" s="3" t="str">
        <f aca="false">'1. Raw Data'!D59</f>
        <v>Mid</v>
      </c>
      <c r="E60" s="3" t="str">
        <f aca="false">'1. Raw Data'!E59</f>
        <v>Technical</v>
      </c>
      <c r="F60" s="3" t="n">
        <f aca="false">'1. Raw Data'!F59</f>
        <v>0.5</v>
      </c>
      <c r="G60" s="3" t="n">
        <f aca="false">IF('1. Raw Data'!G59="",ROUND(IFERROR(AVERAGEIFS('1. Raw Data'!G2:G1201,'1. Raw Data'!C2:C1201,'1. Raw Data'!C59,'1. Raw Data'!D2:D1201,'1. Raw Data'!D59),0),2),'1. Raw Data'!G59)</f>
        <v>5139.03</v>
      </c>
      <c r="H60" s="3" t="str">
        <f aca="false">PROPER('1. Raw Data'!H59)</f>
        <v>No</v>
      </c>
      <c r="I60" s="3" t="n">
        <f aca="false">'1. Raw Data'!I59</f>
        <v>4</v>
      </c>
      <c r="J60" s="3" t="n">
        <f aca="false">'1. Raw Data'!J59</f>
        <v>4</v>
      </c>
      <c r="K60" s="3" t="n">
        <f aca="false">'1. Raw Data'!K59</f>
        <v>2</v>
      </c>
      <c r="L60" s="3" t="n">
        <f aca="false">'1. Raw Data'!L59</f>
        <v>0</v>
      </c>
      <c r="M60" s="3" t="n">
        <f aca="false">'1. Raw Data'!M59</f>
        <v>2</v>
      </c>
      <c r="N60" s="3" t="str">
        <f aca="false">'1. Raw Data'!N59</f>
        <v>No</v>
      </c>
    </row>
    <row r="61" customFormat="false" ht="15" hidden="false" customHeight="false" outlineLevel="0" collapsed="false">
      <c r="A61" s="3" t="str">
        <f aca="false">'1. Raw Data'!A60</f>
        <v>EMP-0059</v>
      </c>
      <c r="B61" s="3" t="n">
        <f aca="false">'1. Raw Data'!B60</f>
        <v>44</v>
      </c>
      <c r="C61" s="3" t="str">
        <f aca="false">'1. Raw Data'!C60</f>
        <v>Customer Support</v>
      </c>
      <c r="D61" s="3" t="str">
        <f aca="false">'1. Raw Data'!D60</f>
        <v>Senior</v>
      </c>
      <c r="E61" s="3" t="str">
        <f aca="false">'1. Raw Data'!E60</f>
        <v>Marketing</v>
      </c>
      <c r="F61" s="3" t="n">
        <f aca="false">'1. Raw Data'!F60</f>
        <v>4.1</v>
      </c>
      <c r="G61" s="3" t="n">
        <f aca="false">IF('1. Raw Data'!G60="",ROUND(IFERROR(AVERAGEIFS('1. Raw Data'!G2:G1201,'1. Raw Data'!C2:C1201,'1. Raw Data'!C60,'1. Raw Data'!D2:D1201,'1. Raw Data'!D60),0),2),'1. Raw Data'!G60)</f>
        <v>8444.27</v>
      </c>
      <c r="H61" s="3" t="str">
        <f aca="false">PROPER('1. Raw Data'!H60)</f>
        <v>No</v>
      </c>
      <c r="I61" s="3" t="n">
        <f aca="false">'1. Raw Data'!I60</f>
        <v>4</v>
      </c>
      <c r="J61" s="3" t="n">
        <f aca="false">'1. Raw Data'!J60</f>
        <v>2</v>
      </c>
      <c r="K61" s="3" t="n">
        <f aca="false">'1. Raw Data'!K60</f>
        <v>3</v>
      </c>
      <c r="L61" s="3" t="n">
        <f aca="false">'1. Raw Data'!L60</f>
        <v>0</v>
      </c>
      <c r="M61" s="3" t="n">
        <f aca="false">'1. Raw Data'!M60</f>
        <v>1</v>
      </c>
      <c r="N61" s="3" t="str">
        <f aca="false">'1. Raw Data'!N60</f>
        <v>No</v>
      </c>
    </row>
    <row r="62" customFormat="false" ht="15" hidden="false" customHeight="false" outlineLevel="0" collapsed="false">
      <c r="A62" s="3" t="str">
        <f aca="false">'1. Raw Data'!A61</f>
        <v>EMP-0060</v>
      </c>
      <c r="B62" s="3" t="n">
        <f aca="false">'1. Raw Data'!B61</f>
        <v>30</v>
      </c>
      <c r="C62" s="3" t="str">
        <f aca="false">'1. Raw Data'!C61</f>
        <v>Customer Support</v>
      </c>
      <c r="D62" s="3" t="str">
        <f aca="false">'1. Raw Data'!D61</f>
        <v>Mid</v>
      </c>
      <c r="E62" s="3" t="str">
        <f aca="false">'1. Raw Data'!E61</f>
        <v>Technical</v>
      </c>
      <c r="F62" s="3" t="n">
        <f aca="false">'1. Raw Data'!F61</f>
        <v>2.1</v>
      </c>
      <c r="G62" s="3" t="n">
        <f aca="false">IF('1. Raw Data'!G61="",ROUND(IFERROR(AVERAGEIFS('1. Raw Data'!G2:G1201,'1. Raw Data'!C2:C1201,'1. Raw Data'!C61,'1. Raw Data'!D2:D1201,'1. Raw Data'!D61),0),2),'1. Raw Data'!G61)</f>
        <v>5447.41</v>
      </c>
      <c r="H62" s="3" t="str">
        <f aca="false">PROPER('1. Raw Data'!H61)</f>
        <v>Yes</v>
      </c>
      <c r="I62" s="3" t="n">
        <f aca="false">'1. Raw Data'!I61</f>
        <v>2</v>
      </c>
      <c r="J62" s="3" t="n">
        <f aca="false">'1. Raw Data'!J61</f>
        <v>3</v>
      </c>
      <c r="K62" s="3" t="n">
        <f aca="false">'1. Raw Data'!K61</f>
        <v>1</v>
      </c>
      <c r="L62" s="3" t="n">
        <f aca="false">'1. Raw Data'!L61</f>
        <v>0</v>
      </c>
      <c r="M62" s="3" t="n">
        <f aca="false">'1. Raw Data'!M61</f>
        <v>1</v>
      </c>
      <c r="N62" s="3" t="str">
        <f aca="false">'1. Raw Data'!N61</f>
        <v>No</v>
      </c>
    </row>
    <row r="63" customFormat="false" ht="15" hidden="false" customHeight="false" outlineLevel="0" collapsed="false">
      <c r="A63" s="3" t="str">
        <f aca="false">'1. Raw Data'!A62</f>
        <v>EMP-0061</v>
      </c>
      <c r="B63" s="3" t="n">
        <f aca="false">'1. Raw Data'!B62</f>
        <v>21</v>
      </c>
      <c r="C63" s="3" t="str">
        <f aca="false">'1. Raw Data'!C62</f>
        <v>Finance</v>
      </c>
      <c r="D63" s="3" t="str">
        <f aca="false">'1. Raw Data'!D62</f>
        <v>Senior</v>
      </c>
      <c r="E63" s="3" t="str">
        <f aca="false">'1. Raw Data'!E62</f>
        <v>Technical</v>
      </c>
      <c r="F63" s="3" t="n">
        <f aca="false">'1. Raw Data'!F62</f>
        <v>0</v>
      </c>
      <c r="G63" s="3" t="n">
        <f aca="false">IF('1. Raw Data'!G62="",ROUND(IFERROR(AVERAGEIFS('1. Raw Data'!G2:G1201,'1. Raw Data'!C2:C1201,'1. Raw Data'!C62,'1. Raw Data'!D2:D1201,'1. Raw Data'!D62),0),2),'1. Raw Data'!G62)</f>
        <v>6466.41</v>
      </c>
      <c r="H63" s="3" t="str">
        <f aca="false">PROPER('1. Raw Data'!H62)</f>
        <v>No</v>
      </c>
      <c r="I63" s="3" t="n">
        <f aca="false">'1. Raw Data'!I62</f>
        <v>4</v>
      </c>
      <c r="J63" s="3" t="n">
        <f aca="false">'1. Raw Data'!J62</f>
        <v>2</v>
      </c>
      <c r="K63" s="3" t="n">
        <f aca="false">'1. Raw Data'!K62</f>
        <v>10</v>
      </c>
      <c r="L63" s="3" t="n">
        <f aca="false">'1. Raw Data'!L62</f>
        <v>0</v>
      </c>
      <c r="M63" s="3" t="n">
        <f aca="false">'1. Raw Data'!M62</f>
        <v>2</v>
      </c>
      <c r="N63" s="3" t="str">
        <f aca="false">'1. Raw Data'!N62</f>
        <v>No</v>
      </c>
    </row>
    <row r="64" customFormat="false" ht="15" hidden="false" customHeight="false" outlineLevel="0" collapsed="false">
      <c r="A64" s="3" t="str">
        <f aca="false">'1. Raw Data'!A63</f>
        <v>EMP-0062</v>
      </c>
      <c r="B64" s="3" t="n">
        <f aca="false">'1. Raw Data'!B63</f>
        <v>36</v>
      </c>
      <c r="C64" s="3" t="str">
        <f aca="false">'1. Raw Data'!C63</f>
        <v>Sales</v>
      </c>
      <c r="D64" s="3" t="str">
        <f aca="false">'1. Raw Data'!D63</f>
        <v>Mid</v>
      </c>
      <c r="E64" s="3" t="str">
        <f aca="false">'1. Raw Data'!E63</f>
        <v>Business</v>
      </c>
      <c r="F64" s="3" t="n">
        <f aca="false">'1. Raw Data'!F63</f>
        <v>2.4</v>
      </c>
      <c r="G64" s="3" t="n">
        <f aca="false">IF('1. Raw Data'!G63="",ROUND(IFERROR(AVERAGEIFS('1. Raw Data'!G2:G1201,'1. Raw Data'!C2:C1201,'1. Raw Data'!C63,'1. Raw Data'!D2:D1201,'1. Raw Data'!D63),0),2),'1. Raw Data'!G63)</f>
        <v>5071.17</v>
      </c>
      <c r="H64" s="3" t="str">
        <f aca="false">PROPER('1. Raw Data'!H63)</f>
        <v>Yes</v>
      </c>
      <c r="I64" s="3" t="n">
        <f aca="false">'1. Raw Data'!I63</f>
        <v>3</v>
      </c>
      <c r="J64" s="3" t="n">
        <f aca="false">'1. Raw Data'!J63</f>
        <v>4</v>
      </c>
      <c r="K64" s="3" t="n">
        <f aca="false">'1. Raw Data'!K63</f>
        <v>3</v>
      </c>
      <c r="L64" s="3" t="n">
        <f aca="false">'1. Raw Data'!L63</f>
        <v>2</v>
      </c>
      <c r="M64" s="3" t="n">
        <f aca="false">'1. Raw Data'!M63</f>
        <v>1</v>
      </c>
      <c r="N64" s="3" t="str">
        <f aca="false">'1. Raw Data'!N63</f>
        <v>No</v>
      </c>
    </row>
    <row r="65" customFormat="false" ht="15" hidden="false" customHeight="false" outlineLevel="0" collapsed="false">
      <c r="A65" s="3" t="str">
        <f aca="false">'1. Raw Data'!A64</f>
        <v>EMP-0063</v>
      </c>
      <c r="B65" s="3" t="n">
        <f aca="false">'1. Raw Data'!B64</f>
        <v>46</v>
      </c>
      <c r="C65" s="3" t="str">
        <f aca="false">'1. Raw Data'!C64</f>
        <v>Marketing</v>
      </c>
      <c r="D65" s="3" t="str">
        <f aca="false">'1. Raw Data'!D64</f>
        <v>Senior</v>
      </c>
      <c r="E65" s="3" t="str">
        <f aca="false">'1. Raw Data'!E64</f>
        <v>Other</v>
      </c>
      <c r="F65" s="3" t="n">
        <f aca="false">'1. Raw Data'!F64</f>
        <v>4.8</v>
      </c>
      <c r="G65" s="3" t="n">
        <f aca="false">IF('1. Raw Data'!G64="",ROUND(IFERROR(AVERAGEIFS('1. Raw Data'!G2:G1201,'1. Raw Data'!C2:C1201,'1. Raw Data'!C64,'1. Raw Data'!D2:D1201,'1. Raw Data'!D64),0),2),'1. Raw Data'!G64)</f>
        <v>7884.42</v>
      </c>
      <c r="H65" s="3" t="str">
        <f aca="false">PROPER('1. Raw Data'!H64)</f>
        <v>No</v>
      </c>
      <c r="I65" s="3" t="n">
        <f aca="false">'1. Raw Data'!I64</f>
        <v>4</v>
      </c>
      <c r="J65" s="3" t="n">
        <f aca="false">'1. Raw Data'!J64</f>
        <v>2</v>
      </c>
      <c r="K65" s="3" t="n">
        <f aca="false">'1. Raw Data'!K64</f>
        <v>14</v>
      </c>
      <c r="L65" s="3" t="n">
        <f aca="false">'1. Raw Data'!L64</f>
        <v>1</v>
      </c>
      <c r="M65" s="3" t="n">
        <f aca="false">'1. Raw Data'!M64</f>
        <v>1</v>
      </c>
      <c r="N65" s="3" t="str">
        <f aca="false">'1. Raw Data'!N64</f>
        <v>No</v>
      </c>
    </row>
    <row r="66" customFormat="false" ht="15" hidden="false" customHeight="false" outlineLevel="0" collapsed="false">
      <c r="A66" s="3" t="str">
        <f aca="false">'1. Raw Data'!A65</f>
        <v>EMP-0064</v>
      </c>
      <c r="B66" s="3" t="n">
        <f aca="false">'1. Raw Data'!B65</f>
        <v>39</v>
      </c>
      <c r="C66" s="3" t="str">
        <f aca="false">'1. Raw Data'!C65</f>
        <v>Engineering</v>
      </c>
      <c r="D66" s="3" t="str">
        <f aca="false">'1. Raw Data'!D65</f>
        <v>Mid</v>
      </c>
      <c r="E66" s="3" t="str">
        <f aca="false">'1. Raw Data'!E65</f>
        <v>Marketing</v>
      </c>
      <c r="F66" s="3" t="n">
        <f aca="false">'1. Raw Data'!F65</f>
        <v>3</v>
      </c>
      <c r="G66" s="3" t="n">
        <f aca="false">IF('1. Raw Data'!G65="",ROUND(IFERROR(AVERAGEIFS('1. Raw Data'!G2:G1201,'1. Raw Data'!C2:C1201,'1. Raw Data'!C65,'1. Raw Data'!D2:D1201,'1. Raw Data'!D65),0),2),'1. Raw Data'!G65)</f>
        <v>4198.83</v>
      </c>
      <c r="H66" s="3" t="str">
        <f aca="false">PROPER('1. Raw Data'!H65)</f>
        <v>No</v>
      </c>
      <c r="I66" s="3" t="n">
        <f aca="false">'1. Raw Data'!I65</f>
        <v>1</v>
      </c>
      <c r="J66" s="3" t="n">
        <f aca="false">'1. Raw Data'!J65</f>
        <v>3</v>
      </c>
      <c r="K66" s="3" t="n">
        <f aca="false">'1. Raw Data'!K65</f>
        <v>6</v>
      </c>
      <c r="L66" s="3" t="n">
        <f aca="false">'1. Raw Data'!L65</f>
        <v>2</v>
      </c>
      <c r="M66" s="3" t="n">
        <f aca="false">'1. Raw Data'!M65</f>
        <v>1</v>
      </c>
      <c r="N66" s="3" t="str">
        <f aca="false">'1. Raw Data'!N65</f>
        <v>No</v>
      </c>
    </row>
    <row r="67" customFormat="false" ht="15" hidden="false" customHeight="false" outlineLevel="0" collapsed="false">
      <c r="A67" s="3" t="str">
        <f aca="false">'1. Raw Data'!A66</f>
        <v>EMP-0065</v>
      </c>
      <c r="B67" s="3" t="n">
        <f aca="false">'1. Raw Data'!B66</f>
        <v>38</v>
      </c>
      <c r="C67" s="3" t="str">
        <f aca="false">'1. Raw Data'!C66</f>
        <v>Engineering</v>
      </c>
      <c r="D67" s="3" t="str">
        <f aca="false">'1. Raw Data'!D66</f>
        <v>Lead</v>
      </c>
      <c r="E67" s="3" t="str">
        <f aca="false">'1. Raw Data'!E66</f>
        <v>Marketing</v>
      </c>
      <c r="F67" s="3" t="n">
        <f aca="false">'1. Raw Data'!F66</f>
        <v>1.3</v>
      </c>
      <c r="G67" s="3" t="n">
        <f aca="false">IF('1. Raw Data'!G66="",ROUND(IFERROR(AVERAGEIFS('1. Raw Data'!G2:G1201,'1. Raw Data'!C2:C1201,'1. Raw Data'!C66,'1. Raw Data'!D2:D1201,'1. Raw Data'!D66),0),2),'1. Raw Data'!G66)</f>
        <v>9993.36</v>
      </c>
      <c r="H67" s="3" t="str">
        <f aca="false">PROPER('1. Raw Data'!H66)</f>
        <v>No</v>
      </c>
      <c r="I67" s="3" t="n">
        <f aca="false">'1. Raw Data'!I66</f>
        <v>4</v>
      </c>
      <c r="J67" s="3" t="n">
        <f aca="false">'1. Raw Data'!J66</f>
        <v>3</v>
      </c>
      <c r="K67" s="3" t="n">
        <f aca="false">'1. Raw Data'!K66</f>
        <v>16</v>
      </c>
      <c r="L67" s="3" t="n">
        <f aca="false">'1. Raw Data'!L66</f>
        <v>0</v>
      </c>
      <c r="M67" s="3" t="n">
        <f aca="false">'1. Raw Data'!M66</f>
        <v>1</v>
      </c>
      <c r="N67" s="3" t="str">
        <f aca="false">'1. Raw Data'!N66</f>
        <v>No</v>
      </c>
    </row>
    <row r="68" customFormat="false" ht="15" hidden="false" customHeight="false" outlineLevel="0" collapsed="false">
      <c r="A68" s="3" t="str">
        <f aca="false">'1. Raw Data'!A67</f>
        <v>EMP-0066</v>
      </c>
      <c r="B68" s="3" t="n">
        <f aca="false">'1. Raw Data'!B67</f>
        <v>38</v>
      </c>
      <c r="C68" s="3" t="str">
        <f aca="false">'1. Raw Data'!C67</f>
        <v>Marketing</v>
      </c>
      <c r="D68" s="3" t="str">
        <f aca="false">'1. Raw Data'!D67</f>
        <v>Mid</v>
      </c>
      <c r="E68" s="3" t="str">
        <f aca="false">'1. Raw Data'!E67</f>
        <v>Technical</v>
      </c>
      <c r="F68" s="3" t="n">
        <f aca="false">'1. Raw Data'!F67</f>
        <v>6.5</v>
      </c>
      <c r="G68" s="3" t="n">
        <f aca="false">IF('1. Raw Data'!G67="",ROUND(IFERROR(AVERAGEIFS('1. Raw Data'!G2:G1201,'1. Raw Data'!C2:C1201,'1. Raw Data'!C67,'1. Raw Data'!D2:D1201,'1. Raw Data'!D67),0),2),'1. Raw Data'!G67)</f>
        <v>4871.59</v>
      </c>
      <c r="H68" s="3" t="str">
        <f aca="false">PROPER('1. Raw Data'!H67)</f>
        <v>No</v>
      </c>
      <c r="I68" s="3" t="n">
        <f aca="false">'1. Raw Data'!I67</f>
        <v>2</v>
      </c>
      <c r="J68" s="3" t="n">
        <f aca="false">'1. Raw Data'!J67</f>
        <v>3</v>
      </c>
      <c r="K68" s="3" t="n">
        <f aca="false">'1. Raw Data'!K67</f>
        <v>4</v>
      </c>
      <c r="L68" s="3" t="n">
        <f aca="false">'1. Raw Data'!L67</f>
        <v>1</v>
      </c>
      <c r="M68" s="3" t="n">
        <f aca="false">'1. Raw Data'!M67</f>
        <v>1</v>
      </c>
      <c r="N68" s="3" t="str">
        <f aca="false">'1. Raw Data'!N67</f>
        <v>No</v>
      </c>
    </row>
    <row r="69" customFormat="false" ht="15" hidden="false" customHeight="false" outlineLevel="0" collapsed="false">
      <c r="A69" s="3" t="str">
        <f aca="false">'1. Raw Data'!A68</f>
        <v>EMP-0067</v>
      </c>
      <c r="B69" s="3" t="n">
        <f aca="false">'1. Raw Data'!B68</f>
        <v>44</v>
      </c>
      <c r="C69" s="3" t="str">
        <f aca="false">'1. Raw Data'!C68</f>
        <v>Sales</v>
      </c>
      <c r="D69" s="3" t="str">
        <f aca="false">'1. Raw Data'!D68</f>
        <v>Mid</v>
      </c>
      <c r="E69" s="3" t="str">
        <f aca="false">'1. Raw Data'!E68</f>
        <v>Marketing</v>
      </c>
      <c r="F69" s="3" t="n">
        <f aca="false">'1. Raw Data'!F68</f>
        <v>1.8</v>
      </c>
      <c r="G69" s="3" t="n">
        <f aca="false">IF('1. Raw Data'!G68="",ROUND(IFERROR(AVERAGEIFS('1. Raw Data'!G2:G1201,'1. Raw Data'!C2:C1201,'1. Raw Data'!C68,'1. Raw Data'!D2:D1201,'1. Raw Data'!D68),0),2),'1. Raw Data'!G68)</f>
        <v>5512.37</v>
      </c>
      <c r="H69" s="3" t="str">
        <f aca="false">PROPER('1. Raw Data'!H68)</f>
        <v>No</v>
      </c>
      <c r="I69" s="3" t="n">
        <f aca="false">'1. Raw Data'!I68</f>
        <v>4</v>
      </c>
      <c r="J69" s="3" t="n">
        <f aca="false">'1. Raw Data'!J68</f>
        <v>3</v>
      </c>
      <c r="K69" s="3" t="n">
        <f aca="false">'1. Raw Data'!K68</f>
        <v>9</v>
      </c>
      <c r="L69" s="3" t="n">
        <f aca="false">'1. Raw Data'!L68</f>
        <v>0</v>
      </c>
      <c r="M69" s="3" t="n">
        <f aca="false">'1. Raw Data'!M68</f>
        <v>0</v>
      </c>
      <c r="N69" s="3" t="str">
        <f aca="false">'1. Raw Data'!N68</f>
        <v>No</v>
      </c>
    </row>
    <row r="70" customFormat="false" ht="15" hidden="false" customHeight="false" outlineLevel="0" collapsed="false">
      <c r="A70" s="3" t="str">
        <f aca="false">'1. Raw Data'!A69</f>
        <v>EMP-0068</v>
      </c>
      <c r="B70" s="3" t="n">
        <f aca="false">'1. Raw Data'!B69</f>
        <v>39</v>
      </c>
      <c r="C70" s="3" t="str">
        <f aca="false">'1. Raw Data'!C69</f>
        <v>Sales</v>
      </c>
      <c r="D70" s="3" t="str">
        <f aca="false">'1. Raw Data'!D69</f>
        <v>Mid</v>
      </c>
      <c r="E70" s="3" t="str">
        <f aca="false">'1. Raw Data'!E69</f>
        <v>Business</v>
      </c>
      <c r="F70" s="3" t="n">
        <f aca="false">'1. Raw Data'!F69</f>
        <v>1.4</v>
      </c>
      <c r="G70" s="3" t="n">
        <f aca="false">IF('1. Raw Data'!G69="",ROUND(IFERROR(AVERAGEIFS('1. Raw Data'!G2:G1201,'1. Raw Data'!C2:C1201,'1. Raw Data'!C69,'1. Raw Data'!D2:D1201,'1. Raw Data'!D69),0),2),'1. Raw Data'!G69)</f>
        <v>4156.77</v>
      </c>
      <c r="H70" s="3" t="str">
        <f aca="false">PROPER('1. Raw Data'!H69)</f>
        <v>No</v>
      </c>
      <c r="I70" s="3" t="n">
        <f aca="false">'1. Raw Data'!I69</f>
        <v>4</v>
      </c>
      <c r="J70" s="3" t="n">
        <f aca="false">'1. Raw Data'!J69</f>
        <v>4</v>
      </c>
      <c r="K70" s="3" t="n">
        <f aca="false">'1. Raw Data'!K69</f>
        <v>34</v>
      </c>
      <c r="L70" s="3" t="n">
        <f aca="false">'1. Raw Data'!L69</f>
        <v>1</v>
      </c>
      <c r="M70" s="3" t="n">
        <f aca="false">'1. Raw Data'!M69</f>
        <v>1</v>
      </c>
      <c r="N70" s="3" t="str">
        <f aca="false">'1. Raw Data'!N69</f>
        <v>Yes</v>
      </c>
    </row>
    <row r="71" customFormat="false" ht="15" hidden="false" customHeight="false" outlineLevel="0" collapsed="false">
      <c r="A71" s="3" t="str">
        <f aca="false">'1. Raw Data'!A70</f>
        <v>EMP-0069</v>
      </c>
      <c r="B71" s="3" t="n">
        <f aca="false">'1. Raw Data'!B70</f>
        <v>40</v>
      </c>
      <c r="C71" s="3" t="str">
        <f aca="false">'1. Raw Data'!C70</f>
        <v>Customer Support</v>
      </c>
      <c r="D71" s="3" t="str">
        <f aca="false">'1. Raw Data'!D70</f>
        <v>Mid</v>
      </c>
      <c r="E71" s="3" t="str">
        <f aca="false">'1. Raw Data'!E70</f>
        <v>Business</v>
      </c>
      <c r="F71" s="3" t="n">
        <f aca="false">'1. Raw Data'!F70</f>
        <v>7.3</v>
      </c>
      <c r="G71" s="3" t="n">
        <f aca="false">IF('1. Raw Data'!G70="",ROUND(IFERROR(AVERAGEIFS('1. Raw Data'!G2:G1201,'1. Raw Data'!C2:C1201,'1. Raw Data'!C70,'1. Raw Data'!D2:D1201,'1. Raw Data'!D70),0),2),'1. Raw Data'!G70)</f>
        <v>4082.87</v>
      </c>
      <c r="H71" s="3" t="str">
        <f aca="false">PROPER('1. Raw Data'!H70)</f>
        <v>No</v>
      </c>
      <c r="I71" s="3" t="n">
        <f aca="false">'1. Raw Data'!I70</f>
        <v>4</v>
      </c>
      <c r="J71" s="3" t="n">
        <f aca="false">'1. Raw Data'!J70</f>
        <v>3</v>
      </c>
      <c r="K71" s="3" t="n">
        <f aca="false">'1. Raw Data'!K70</f>
        <v>1</v>
      </c>
      <c r="L71" s="3" t="n">
        <f aca="false">'1. Raw Data'!L70</f>
        <v>0</v>
      </c>
      <c r="M71" s="3" t="n">
        <f aca="false">'1. Raw Data'!M70</f>
        <v>3</v>
      </c>
      <c r="N71" s="3" t="str">
        <f aca="false">'1. Raw Data'!N70</f>
        <v>Yes</v>
      </c>
    </row>
    <row r="72" customFormat="false" ht="15" hidden="false" customHeight="false" outlineLevel="0" collapsed="false">
      <c r="A72" s="3" t="str">
        <f aca="false">'1. Raw Data'!A71</f>
        <v>EMP-0070</v>
      </c>
      <c r="B72" s="3" t="n">
        <f aca="false">'1. Raw Data'!B71</f>
        <v>22</v>
      </c>
      <c r="C72" s="3" t="str">
        <f aca="false">'1. Raw Data'!C71</f>
        <v>Finance</v>
      </c>
      <c r="D72" s="3" t="str">
        <f aca="false">'1. Raw Data'!D71</f>
        <v>Junior</v>
      </c>
      <c r="E72" s="3" t="str">
        <f aca="false">'1. Raw Data'!E71</f>
        <v>Other</v>
      </c>
      <c r="F72" s="3" t="n">
        <f aca="false">'1. Raw Data'!F71</f>
        <v>1</v>
      </c>
      <c r="G72" s="3" t="n">
        <f aca="false">IF('1. Raw Data'!G71="",ROUND(IFERROR(AVERAGEIFS('1. Raw Data'!G2:G1201,'1. Raw Data'!C2:C1201,'1. Raw Data'!C71,'1. Raw Data'!D2:D1201,'1. Raw Data'!D71),0),2),'1. Raw Data'!G71)</f>
        <v>3657.04</v>
      </c>
      <c r="H72" s="3" t="str">
        <f aca="false">PROPER('1. Raw Data'!H71)</f>
        <v>No</v>
      </c>
      <c r="I72" s="3" t="n">
        <f aca="false">'1. Raw Data'!I71</f>
        <v>4</v>
      </c>
      <c r="J72" s="3" t="n">
        <f aca="false">'1. Raw Data'!J71</f>
        <v>3</v>
      </c>
      <c r="K72" s="3" t="n">
        <f aca="false">'1. Raw Data'!K71</f>
        <v>14</v>
      </c>
      <c r="L72" s="3" t="n">
        <f aca="false">'1. Raw Data'!L71</f>
        <v>0</v>
      </c>
      <c r="M72" s="3" t="n">
        <f aca="false">'1. Raw Data'!M71</f>
        <v>2</v>
      </c>
      <c r="N72" s="3" t="str">
        <f aca="false">'1. Raw Data'!N71</f>
        <v>No</v>
      </c>
    </row>
    <row r="73" customFormat="false" ht="15" hidden="false" customHeight="false" outlineLevel="0" collapsed="false">
      <c r="A73" s="3" t="str">
        <f aca="false">'1. Raw Data'!A72</f>
        <v>EMP-0071</v>
      </c>
      <c r="B73" s="3" t="n">
        <f aca="false">'1. Raw Data'!B72</f>
        <v>41</v>
      </c>
      <c r="C73" s="3" t="str">
        <f aca="false">'1. Raw Data'!C72</f>
        <v>Finance</v>
      </c>
      <c r="D73" s="3" t="str">
        <f aca="false">'1. Raw Data'!D72</f>
        <v>Senior</v>
      </c>
      <c r="E73" s="3" t="str">
        <f aca="false">'1. Raw Data'!E72</f>
        <v>Other</v>
      </c>
      <c r="F73" s="3" t="n">
        <f aca="false">'1. Raw Data'!F72</f>
        <v>2.7</v>
      </c>
      <c r="G73" s="3" t="n">
        <f aca="false">IF('1. Raw Data'!G72="",ROUND(IFERROR(AVERAGEIFS('1. Raw Data'!G2:G1201,'1. Raw Data'!C2:C1201,'1. Raw Data'!C72,'1. Raw Data'!D2:D1201,'1. Raw Data'!D72),0),2),'1. Raw Data'!G72)</f>
        <v>6860.24</v>
      </c>
      <c r="H73" s="3" t="str">
        <f aca="false">PROPER('1. Raw Data'!H72)</f>
        <v>No</v>
      </c>
      <c r="I73" s="3" t="n">
        <f aca="false">'1. Raw Data'!I72</f>
        <v>1</v>
      </c>
      <c r="J73" s="3" t="n">
        <f aca="false">'1. Raw Data'!J72</f>
        <v>3</v>
      </c>
      <c r="K73" s="3" t="n">
        <f aca="false">'1. Raw Data'!K72</f>
        <v>14</v>
      </c>
      <c r="L73" s="3" t="n">
        <f aca="false">'1. Raw Data'!L72</f>
        <v>0</v>
      </c>
      <c r="M73" s="3" t="n">
        <f aca="false">'1. Raw Data'!M72</f>
        <v>5</v>
      </c>
      <c r="N73" s="3" t="str">
        <f aca="false">'1. Raw Data'!N72</f>
        <v>No</v>
      </c>
    </row>
    <row r="74" customFormat="false" ht="15" hidden="false" customHeight="false" outlineLevel="0" collapsed="false">
      <c r="A74" s="3" t="str">
        <f aca="false">'1. Raw Data'!A73</f>
        <v>EMP-0072</v>
      </c>
      <c r="B74" s="3" t="n">
        <f aca="false">'1. Raw Data'!B73</f>
        <v>32</v>
      </c>
      <c r="C74" s="3" t="str">
        <f aca="false">'1. Raw Data'!C73</f>
        <v>Marketing</v>
      </c>
      <c r="D74" s="3" t="str">
        <f aca="false">'1. Raw Data'!D73</f>
        <v>Mid</v>
      </c>
      <c r="E74" s="3" t="str">
        <f aca="false">'1. Raw Data'!E73</f>
        <v>Marketing</v>
      </c>
      <c r="F74" s="3" t="n">
        <f aca="false">'1. Raw Data'!F73</f>
        <v>0.2</v>
      </c>
      <c r="G74" s="3" t="n">
        <f aca="false">IF('1. Raw Data'!G73="",ROUND(IFERROR(AVERAGEIFS('1. Raw Data'!G2:G1201,'1. Raw Data'!C2:C1201,'1. Raw Data'!C73,'1. Raw Data'!D2:D1201,'1. Raw Data'!D73),0),2),'1. Raw Data'!G73)</f>
        <v>4947.61</v>
      </c>
      <c r="H74" s="3" t="str">
        <f aca="false">PROPER('1. Raw Data'!H73)</f>
        <v>No</v>
      </c>
      <c r="I74" s="3" t="n">
        <f aca="false">'1. Raw Data'!I73</f>
        <v>2</v>
      </c>
      <c r="J74" s="3" t="n">
        <f aca="false">'1. Raw Data'!J73</f>
        <v>1</v>
      </c>
      <c r="K74" s="3" t="n">
        <f aca="false">'1. Raw Data'!K73</f>
        <v>1</v>
      </c>
      <c r="L74" s="3" t="n">
        <f aca="false">'1. Raw Data'!L73</f>
        <v>0</v>
      </c>
      <c r="M74" s="3" t="n">
        <f aca="false">'1. Raw Data'!M73</f>
        <v>2</v>
      </c>
      <c r="N74" s="3" t="str">
        <f aca="false">'1. Raw Data'!N73</f>
        <v>No</v>
      </c>
    </row>
    <row r="75" customFormat="false" ht="15" hidden="false" customHeight="false" outlineLevel="0" collapsed="false">
      <c r="A75" s="3" t="str">
        <f aca="false">'1. Raw Data'!A74</f>
        <v>EMP-0073</v>
      </c>
      <c r="B75" s="3" t="n">
        <f aca="false">'1. Raw Data'!B74</f>
        <v>24</v>
      </c>
      <c r="C75" s="3" t="str">
        <f aca="false">'1. Raw Data'!C74</f>
        <v>Sales</v>
      </c>
      <c r="D75" s="3" t="str">
        <f aca="false">'1. Raw Data'!D74</f>
        <v>Lead</v>
      </c>
      <c r="E75" s="3" t="str">
        <f aca="false">'1. Raw Data'!E74</f>
        <v>Other</v>
      </c>
      <c r="F75" s="3" t="n">
        <f aca="false">'1. Raw Data'!F74</f>
        <v>2.4</v>
      </c>
      <c r="G75" s="3" t="n">
        <f aca="false">IF('1. Raw Data'!G74="",ROUND(IFERROR(AVERAGEIFS('1. Raw Data'!G2:G1201,'1. Raw Data'!C2:C1201,'1. Raw Data'!C74,'1. Raw Data'!D2:D1201,'1. Raw Data'!D74),0),2),'1. Raw Data'!G74)</f>
        <v>10554.75</v>
      </c>
      <c r="H75" s="3" t="str">
        <f aca="false">PROPER('1. Raw Data'!H74)</f>
        <v>Yes</v>
      </c>
      <c r="I75" s="3" t="n">
        <f aca="false">'1. Raw Data'!I74</f>
        <v>3</v>
      </c>
      <c r="J75" s="3" t="n">
        <f aca="false">'1. Raw Data'!J74</f>
        <v>3</v>
      </c>
      <c r="K75" s="3" t="n">
        <f aca="false">'1. Raw Data'!K74</f>
        <v>25</v>
      </c>
      <c r="L75" s="3" t="n">
        <f aca="false">'1. Raw Data'!L74</f>
        <v>0</v>
      </c>
      <c r="M75" s="3" t="n">
        <f aca="false">'1. Raw Data'!M74</f>
        <v>2</v>
      </c>
      <c r="N75" s="3" t="str">
        <f aca="false">'1. Raw Data'!N74</f>
        <v>No</v>
      </c>
    </row>
    <row r="76" customFormat="false" ht="15" hidden="false" customHeight="false" outlineLevel="0" collapsed="false">
      <c r="A76" s="3" t="str">
        <f aca="false">'1. Raw Data'!A75</f>
        <v>EMP-0074</v>
      </c>
      <c r="B76" s="3" t="n">
        <f aca="false">'1. Raw Data'!B75</f>
        <v>25</v>
      </c>
      <c r="C76" s="3" t="str">
        <f aca="false">'1. Raw Data'!C75</f>
        <v>Engineering</v>
      </c>
      <c r="D76" s="3" t="str">
        <f aca="false">'1. Raw Data'!D75</f>
        <v>Senior</v>
      </c>
      <c r="E76" s="3" t="str">
        <f aca="false">'1. Raw Data'!E75</f>
        <v>Business</v>
      </c>
      <c r="F76" s="3" t="n">
        <f aca="false">'1. Raw Data'!F75</f>
        <v>4</v>
      </c>
      <c r="G76" s="3" t="n">
        <f aca="false">IF('1. Raw Data'!G75="",ROUND(IFERROR(AVERAGEIFS('1. Raw Data'!G2:G1201,'1. Raw Data'!C2:C1201,'1. Raw Data'!C75,'1. Raw Data'!D2:D1201,'1. Raw Data'!D75),0),2),'1. Raw Data'!G75)</f>
        <v>6809.02</v>
      </c>
      <c r="H76" s="3" t="str">
        <f aca="false">PROPER('1. Raw Data'!H75)</f>
        <v>No</v>
      </c>
      <c r="I76" s="3" t="n">
        <f aca="false">'1. Raw Data'!I75</f>
        <v>1</v>
      </c>
      <c r="J76" s="3" t="n">
        <f aca="false">'1. Raw Data'!J75</f>
        <v>3</v>
      </c>
      <c r="K76" s="3" t="n">
        <f aca="false">'1. Raw Data'!K75</f>
        <v>28</v>
      </c>
      <c r="L76" s="3" t="n">
        <f aca="false">'1. Raw Data'!L75</f>
        <v>1</v>
      </c>
      <c r="M76" s="3" t="n">
        <f aca="false">'1. Raw Data'!M75</f>
        <v>1</v>
      </c>
      <c r="N76" s="3" t="str">
        <f aca="false">'1. Raw Data'!N75</f>
        <v>No</v>
      </c>
    </row>
    <row r="77" customFormat="false" ht="15" hidden="false" customHeight="false" outlineLevel="0" collapsed="false">
      <c r="A77" s="3" t="str">
        <f aca="false">'1. Raw Data'!A76</f>
        <v>EMP-0075</v>
      </c>
      <c r="B77" s="3" t="n">
        <f aca="false">'1. Raw Data'!B76</f>
        <v>32</v>
      </c>
      <c r="C77" s="3" t="str">
        <f aca="false">'1. Raw Data'!C76</f>
        <v>HR</v>
      </c>
      <c r="D77" s="3" t="str">
        <f aca="false">'1. Raw Data'!D76</f>
        <v>Junior</v>
      </c>
      <c r="E77" s="3" t="str">
        <f aca="false">'1. Raw Data'!E76</f>
        <v>Technical</v>
      </c>
      <c r="F77" s="3" t="n">
        <f aca="false">'1. Raw Data'!F76</f>
        <v>2</v>
      </c>
      <c r="G77" s="3" t="n">
        <f aca="false">IF('1. Raw Data'!G76="",ROUND(IFERROR(AVERAGEIFS('1. Raw Data'!G2:G1201,'1. Raw Data'!C2:C1201,'1. Raw Data'!C76,'1. Raw Data'!D2:D1201,'1. Raw Data'!D76),0),2),'1. Raw Data'!G76)</f>
        <v>3626.48</v>
      </c>
      <c r="H77" s="3" t="str">
        <f aca="false">PROPER('1. Raw Data'!H76)</f>
        <v>Yes</v>
      </c>
      <c r="I77" s="3" t="n">
        <f aca="false">'1. Raw Data'!I76</f>
        <v>4</v>
      </c>
      <c r="J77" s="3" t="n">
        <f aca="false">'1. Raw Data'!J76</f>
        <v>3</v>
      </c>
      <c r="K77" s="3" t="n">
        <f aca="false">'1. Raw Data'!K76</f>
        <v>3</v>
      </c>
      <c r="L77" s="3" t="n">
        <f aca="false">'1. Raw Data'!L76</f>
        <v>2</v>
      </c>
      <c r="M77" s="3" t="n">
        <f aca="false">'1. Raw Data'!M76</f>
        <v>1</v>
      </c>
      <c r="N77" s="3" t="str">
        <f aca="false">'1. Raw Data'!N76</f>
        <v>No</v>
      </c>
    </row>
    <row r="78" customFormat="false" ht="15" hidden="false" customHeight="false" outlineLevel="0" collapsed="false">
      <c r="A78" s="3" t="str">
        <f aca="false">'1. Raw Data'!A77</f>
        <v>EMP-0076</v>
      </c>
      <c r="B78" s="3" t="n">
        <f aca="false">'1. Raw Data'!B77</f>
        <v>43</v>
      </c>
      <c r="C78" s="3" t="str">
        <f aca="false">'1. Raw Data'!C77</f>
        <v>Sales</v>
      </c>
      <c r="D78" s="3" t="str">
        <f aca="false">'1. Raw Data'!D77</f>
        <v>Mid</v>
      </c>
      <c r="E78" s="3" t="str">
        <f aca="false">'1. Raw Data'!E77</f>
        <v>Other</v>
      </c>
      <c r="F78" s="3" t="n">
        <f aca="false">'1. Raw Data'!F77</f>
        <v>3.3</v>
      </c>
      <c r="G78" s="3" t="n">
        <f aca="false">IF('1. Raw Data'!G77="",ROUND(IFERROR(AVERAGEIFS('1. Raw Data'!G2:G1201,'1. Raw Data'!C2:C1201,'1. Raw Data'!C77,'1. Raw Data'!D2:D1201,'1. Raw Data'!D77),0),2),'1. Raw Data'!G77)</f>
        <v>4249.12</v>
      </c>
      <c r="H78" s="3" t="str">
        <f aca="false">PROPER('1. Raw Data'!H77)</f>
        <v>No</v>
      </c>
      <c r="I78" s="3" t="n">
        <f aca="false">'1. Raw Data'!I77</f>
        <v>2</v>
      </c>
      <c r="J78" s="3" t="n">
        <f aca="false">'1. Raw Data'!J77</f>
        <v>3</v>
      </c>
      <c r="K78" s="3" t="n">
        <f aca="false">'1. Raw Data'!K77</f>
        <v>1</v>
      </c>
      <c r="L78" s="3" t="n">
        <f aca="false">'1. Raw Data'!L77</f>
        <v>2</v>
      </c>
      <c r="M78" s="3" t="n">
        <f aca="false">'1. Raw Data'!M77</f>
        <v>2</v>
      </c>
      <c r="N78" s="3" t="str">
        <f aca="false">'1. Raw Data'!N77</f>
        <v>No</v>
      </c>
    </row>
    <row r="79" customFormat="false" ht="15" hidden="false" customHeight="false" outlineLevel="0" collapsed="false">
      <c r="A79" s="3" t="str">
        <f aca="false">'1. Raw Data'!A78</f>
        <v>EMP-0077</v>
      </c>
      <c r="B79" s="3" t="n">
        <f aca="false">'1. Raw Data'!B78</f>
        <v>42</v>
      </c>
      <c r="C79" s="3" t="str">
        <f aca="false">'1. Raw Data'!C78</f>
        <v>Finance</v>
      </c>
      <c r="D79" s="3" t="str">
        <f aca="false">'1. Raw Data'!D78</f>
        <v>Junior</v>
      </c>
      <c r="E79" s="3" t="str">
        <f aca="false">'1. Raw Data'!E78</f>
        <v>Other</v>
      </c>
      <c r="F79" s="3" t="n">
        <f aca="false">'1. Raw Data'!F78</f>
        <v>4.7</v>
      </c>
      <c r="G79" s="3" t="n">
        <f aca="false">IF('1. Raw Data'!G78="",ROUND(IFERROR(AVERAGEIFS('1. Raw Data'!G2:G1201,'1. Raw Data'!C2:C1201,'1. Raw Data'!C78,'1. Raw Data'!D2:D1201,'1. Raw Data'!D78),0),2),'1. Raw Data'!G78)</f>
        <v>3211.23</v>
      </c>
      <c r="H79" s="3" t="str">
        <f aca="false">PROPER('1. Raw Data'!H78)</f>
        <v>No</v>
      </c>
      <c r="I79" s="3" t="n">
        <f aca="false">'1. Raw Data'!I78</f>
        <v>3</v>
      </c>
      <c r="J79" s="3" t="n">
        <f aca="false">'1. Raw Data'!J78</f>
        <v>2</v>
      </c>
      <c r="K79" s="3" t="n">
        <f aca="false">'1. Raw Data'!K78</f>
        <v>2</v>
      </c>
      <c r="L79" s="3" t="n">
        <f aca="false">'1. Raw Data'!L78</f>
        <v>1</v>
      </c>
      <c r="M79" s="3" t="n">
        <f aca="false">'1. Raw Data'!M78</f>
        <v>3</v>
      </c>
      <c r="N79" s="3" t="str">
        <f aca="false">'1. Raw Data'!N78</f>
        <v>No</v>
      </c>
    </row>
    <row r="80" customFormat="false" ht="15" hidden="false" customHeight="false" outlineLevel="0" collapsed="false">
      <c r="A80" s="3" t="str">
        <f aca="false">'1. Raw Data'!A79</f>
        <v>EMP-0078</v>
      </c>
      <c r="B80" s="3" t="n">
        <f aca="false">'1. Raw Data'!B79</f>
        <v>38</v>
      </c>
      <c r="C80" s="3" t="str">
        <f aca="false">'1. Raw Data'!C79</f>
        <v>Customer Support</v>
      </c>
      <c r="D80" s="3" t="str">
        <f aca="false">'1. Raw Data'!D79</f>
        <v>Mid</v>
      </c>
      <c r="E80" s="3" t="str">
        <f aca="false">'1. Raw Data'!E79</f>
        <v>Technical</v>
      </c>
      <c r="F80" s="3" t="n">
        <f aca="false">'1. Raw Data'!F79</f>
        <v>4.5</v>
      </c>
      <c r="G80" s="3" t="n">
        <f aca="false">IF('1. Raw Data'!G79="",ROUND(IFERROR(AVERAGEIFS('1. Raw Data'!G2:G1201,'1. Raw Data'!C2:C1201,'1. Raw Data'!C79,'1. Raw Data'!D2:D1201,'1. Raw Data'!D79),0),2),'1. Raw Data'!G79)</f>
        <v>4849.64</v>
      </c>
      <c r="H80" s="3" t="str">
        <f aca="false">PROPER('1. Raw Data'!H79)</f>
        <v>Yes</v>
      </c>
      <c r="I80" s="3" t="n">
        <f aca="false">'1. Raw Data'!I79</f>
        <v>4</v>
      </c>
      <c r="J80" s="3" t="n">
        <f aca="false">'1. Raw Data'!J79</f>
        <v>3</v>
      </c>
      <c r="K80" s="3" t="n">
        <f aca="false">'1. Raw Data'!K79</f>
        <v>2</v>
      </c>
      <c r="L80" s="3" t="n">
        <f aca="false">'1. Raw Data'!L79</f>
        <v>1</v>
      </c>
      <c r="M80" s="3" t="n">
        <f aca="false">'1. Raw Data'!M79</f>
        <v>1</v>
      </c>
      <c r="N80" s="3" t="str">
        <f aca="false">'1. Raw Data'!N79</f>
        <v>No</v>
      </c>
    </row>
    <row r="81" customFormat="false" ht="15" hidden="false" customHeight="false" outlineLevel="0" collapsed="false">
      <c r="A81" s="3" t="str">
        <f aca="false">'1. Raw Data'!A80</f>
        <v>EMP-0079</v>
      </c>
      <c r="B81" s="3" t="n">
        <f aca="false">'1. Raw Data'!B80</f>
        <v>30</v>
      </c>
      <c r="C81" s="3" t="str">
        <f aca="false">'1. Raw Data'!C80</f>
        <v>Sales</v>
      </c>
      <c r="D81" s="3" t="str">
        <f aca="false">'1. Raw Data'!D80</f>
        <v>Senior</v>
      </c>
      <c r="E81" s="3" t="str">
        <f aca="false">'1. Raw Data'!E80</f>
        <v>Business</v>
      </c>
      <c r="F81" s="3" t="n">
        <f aca="false">'1. Raw Data'!F80</f>
        <v>0.5</v>
      </c>
      <c r="G81" s="3" t="n">
        <f aca="false">IF('1. Raw Data'!G80="",ROUND(IFERROR(AVERAGEIFS('1. Raw Data'!G2:G1201,'1. Raw Data'!C2:C1201,'1. Raw Data'!C80,'1. Raw Data'!D2:D1201,'1. Raw Data'!D80),0),2),'1. Raw Data'!G80)</f>
        <v>7319</v>
      </c>
      <c r="H81" s="3" t="str">
        <f aca="false">PROPER('1. Raw Data'!H80)</f>
        <v>No</v>
      </c>
      <c r="I81" s="3" t="n">
        <f aca="false">'1. Raw Data'!I80</f>
        <v>3</v>
      </c>
      <c r="J81" s="3" t="n">
        <f aca="false">'1. Raw Data'!J80</f>
        <v>2</v>
      </c>
      <c r="K81" s="3" t="n">
        <f aca="false">'1. Raw Data'!K80</f>
        <v>11</v>
      </c>
      <c r="L81" s="3" t="n">
        <f aca="false">'1. Raw Data'!L80</f>
        <v>0</v>
      </c>
      <c r="M81" s="3" t="n">
        <f aca="false">'1. Raw Data'!M80</f>
        <v>0</v>
      </c>
      <c r="N81" s="3" t="str">
        <f aca="false">'1. Raw Data'!N80</f>
        <v>No</v>
      </c>
    </row>
    <row r="82" customFormat="false" ht="15" hidden="false" customHeight="false" outlineLevel="0" collapsed="false">
      <c r="A82" s="3" t="str">
        <f aca="false">'1. Raw Data'!A81</f>
        <v>EMP-0080</v>
      </c>
      <c r="B82" s="3" t="n">
        <f aca="false">'1. Raw Data'!B81</f>
        <v>44</v>
      </c>
      <c r="C82" s="3" t="str">
        <f aca="false">'1. Raw Data'!C81</f>
        <v>Customer Support</v>
      </c>
      <c r="D82" s="3" t="str">
        <f aca="false">'1. Raw Data'!D81</f>
        <v>Lead</v>
      </c>
      <c r="E82" s="3" t="str">
        <f aca="false">'1. Raw Data'!E81</f>
        <v>Other</v>
      </c>
      <c r="F82" s="3" t="n">
        <f aca="false">'1. Raw Data'!F81</f>
        <v>4.1</v>
      </c>
      <c r="G82" s="3" t="n">
        <f aca="false">IF('1. Raw Data'!G81="",ROUND(IFERROR(AVERAGEIFS('1. Raw Data'!G2:G1201,'1. Raw Data'!C2:C1201,'1. Raw Data'!C81,'1. Raw Data'!D2:D1201,'1. Raw Data'!D81),0),2),'1. Raw Data'!G81)</f>
        <v>8868.87</v>
      </c>
      <c r="H82" s="3" t="str">
        <f aca="false">PROPER('1. Raw Data'!H81)</f>
        <v>Yes</v>
      </c>
      <c r="I82" s="3" t="n">
        <f aca="false">'1. Raw Data'!I81</f>
        <v>3</v>
      </c>
      <c r="J82" s="3" t="n">
        <f aca="false">'1. Raw Data'!J81</f>
        <v>4</v>
      </c>
      <c r="K82" s="3" t="n">
        <f aca="false">'1. Raw Data'!K81</f>
        <v>2</v>
      </c>
      <c r="L82" s="3" t="n">
        <f aca="false">'1. Raw Data'!L81</f>
        <v>1</v>
      </c>
      <c r="M82" s="3" t="n">
        <f aca="false">'1. Raw Data'!M81</f>
        <v>2</v>
      </c>
      <c r="N82" s="3" t="str">
        <f aca="false">'1. Raw Data'!N81</f>
        <v>No</v>
      </c>
    </row>
    <row r="83" customFormat="false" ht="15" hidden="false" customHeight="false" outlineLevel="0" collapsed="false">
      <c r="A83" s="3" t="str">
        <f aca="false">'1. Raw Data'!A82</f>
        <v>EMP-0081</v>
      </c>
      <c r="B83" s="3" t="n">
        <f aca="false">'1. Raw Data'!B82</f>
        <v>37</v>
      </c>
      <c r="C83" s="3" t="str">
        <f aca="false">'1. Raw Data'!C82</f>
        <v>Marketing</v>
      </c>
      <c r="D83" s="3" t="str">
        <f aca="false">'1. Raw Data'!D82</f>
        <v>Junior</v>
      </c>
      <c r="E83" s="3" t="str">
        <f aca="false">'1. Raw Data'!E82</f>
        <v>Technical</v>
      </c>
      <c r="F83" s="3" t="n">
        <f aca="false">'1. Raw Data'!F82</f>
        <v>0.7</v>
      </c>
      <c r="G83" s="3" t="n">
        <f aca="false">IF('1. Raw Data'!G82="",ROUND(IFERROR(AVERAGEIFS('1. Raw Data'!G2:G1201,'1. Raw Data'!C2:C1201,'1. Raw Data'!C82,'1. Raw Data'!D2:D1201,'1. Raw Data'!D82),0),2),'1. Raw Data'!G82)</f>
        <v>3186.16</v>
      </c>
      <c r="H83" s="3" t="str">
        <f aca="false">PROPER('1. Raw Data'!H82)</f>
        <v>No</v>
      </c>
      <c r="I83" s="3" t="n">
        <f aca="false">'1. Raw Data'!I82</f>
        <v>4</v>
      </c>
      <c r="J83" s="3" t="n">
        <f aca="false">'1. Raw Data'!J82</f>
        <v>3</v>
      </c>
      <c r="K83" s="3" t="n">
        <f aca="false">'1. Raw Data'!K82</f>
        <v>8</v>
      </c>
      <c r="L83" s="3" t="n">
        <f aca="false">'1. Raw Data'!L82</f>
        <v>0</v>
      </c>
      <c r="M83" s="3" t="n">
        <f aca="false">'1. Raw Data'!M82</f>
        <v>2</v>
      </c>
      <c r="N83" s="3" t="str">
        <f aca="false">'1. Raw Data'!N82</f>
        <v>No</v>
      </c>
    </row>
    <row r="84" customFormat="false" ht="15" hidden="false" customHeight="false" outlineLevel="0" collapsed="false">
      <c r="A84" s="3" t="str">
        <f aca="false">'1. Raw Data'!A83</f>
        <v>EMP-0082</v>
      </c>
      <c r="B84" s="3" t="n">
        <f aca="false">'1. Raw Data'!B83</f>
        <v>50</v>
      </c>
      <c r="C84" s="3" t="str">
        <f aca="false">'1. Raw Data'!C83</f>
        <v>Sales</v>
      </c>
      <c r="D84" s="3" t="str">
        <f aca="false">'1. Raw Data'!D83</f>
        <v>Junior</v>
      </c>
      <c r="E84" s="3" t="str">
        <f aca="false">'1. Raw Data'!E83</f>
        <v>Technical</v>
      </c>
      <c r="F84" s="3" t="n">
        <f aca="false">'1. Raw Data'!F83</f>
        <v>5.7</v>
      </c>
      <c r="G84" s="3" t="n">
        <f aca="false">IF('1. Raw Data'!G83="",ROUND(IFERROR(AVERAGEIFS('1. Raw Data'!G2:G1201,'1. Raw Data'!C2:C1201,'1. Raw Data'!C83,'1. Raw Data'!D2:D1201,'1. Raw Data'!D83),0),2),'1. Raw Data'!G83)</f>
        <v>3488.46</v>
      </c>
      <c r="H84" s="3" t="str">
        <f aca="false">PROPER('1. Raw Data'!H83)</f>
        <v>Yes</v>
      </c>
      <c r="I84" s="3" t="n">
        <f aca="false">'1. Raw Data'!I83</f>
        <v>1</v>
      </c>
      <c r="J84" s="3" t="n">
        <f aca="false">'1. Raw Data'!J83</f>
        <v>2</v>
      </c>
      <c r="K84" s="3" t="n">
        <f aca="false">'1. Raw Data'!K83</f>
        <v>10</v>
      </c>
      <c r="L84" s="3" t="n">
        <f aca="false">'1. Raw Data'!L83</f>
        <v>1</v>
      </c>
      <c r="M84" s="3" t="n">
        <f aca="false">'1. Raw Data'!M83</f>
        <v>3</v>
      </c>
      <c r="N84" s="3" t="str">
        <f aca="false">'1. Raw Data'!N83</f>
        <v>No</v>
      </c>
    </row>
    <row r="85" customFormat="false" ht="15" hidden="false" customHeight="false" outlineLevel="0" collapsed="false">
      <c r="A85" s="3" t="str">
        <f aca="false">'1. Raw Data'!A84</f>
        <v>EMP-0083</v>
      </c>
      <c r="B85" s="3" t="n">
        <f aca="false">'1. Raw Data'!B84</f>
        <v>28</v>
      </c>
      <c r="C85" s="3" t="str">
        <f aca="false">'1. Raw Data'!C84</f>
        <v>Finance</v>
      </c>
      <c r="D85" s="3" t="str">
        <f aca="false">'1. Raw Data'!D84</f>
        <v>Junior</v>
      </c>
      <c r="E85" s="3" t="str">
        <f aca="false">'1. Raw Data'!E84</f>
        <v>Other</v>
      </c>
      <c r="F85" s="3" t="n">
        <f aca="false">'1. Raw Data'!F84</f>
        <v>0.2</v>
      </c>
      <c r="G85" s="3" t="n">
        <f aca="false">IF('1. Raw Data'!G84="",ROUND(IFERROR(AVERAGEIFS('1. Raw Data'!G2:G1201,'1. Raw Data'!C2:C1201,'1. Raw Data'!C84,'1. Raw Data'!D2:D1201,'1. Raw Data'!D84),0),2),'1. Raw Data'!G84)</f>
        <v>2777.46</v>
      </c>
      <c r="H85" s="3" t="str">
        <f aca="false">PROPER('1. Raw Data'!H84)</f>
        <v>No</v>
      </c>
      <c r="I85" s="3" t="n">
        <f aca="false">'1. Raw Data'!I84</f>
        <v>3</v>
      </c>
      <c r="J85" s="3" t="n">
        <f aca="false">'1. Raw Data'!J84</f>
        <v>4</v>
      </c>
      <c r="K85" s="3" t="n">
        <f aca="false">'1. Raw Data'!K84</f>
        <v>2</v>
      </c>
      <c r="L85" s="3" t="n">
        <f aca="false">'1. Raw Data'!L84</f>
        <v>0</v>
      </c>
      <c r="M85" s="3" t="n">
        <f aca="false">'1. Raw Data'!M84</f>
        <v>2</v>
      </c>
      <c r="N85" s="3" t="str">
        <f aca="false">'1. Raw Data'!N84</f>
        <v>No</v>
      </c>
    </row>
    <row r="86" customFormat="false" ht="15" hidden="false" customHeight="false" outlineLevel="0" collapsed="false">
      <c r="A86" s="3" t="str">
        <f aca="false">'1. Raw Data'!A85</f>
        <v>EMP-0084</v>
      </c>
      <c r="B86" s="3" t="n">
        <f aca="false">'1. Raw Data'!B85</f>
        <v>28</v>
      </c>
      <c r="C86" s="3" t="str">
        <f aca="false">'1. Raw Data'!C85</f>
        <v>Finance</v>
      </c>
      <c r="D86" s="3" t="str">
        <f aca="false">'1. Raw Data'!D85</f>
        <v>Junior</v>
      </c>
      <c r="E86" s="3" t="str">
        <f aca="false">'1. Raw Data'!E85</f>
        <v>Marketing</v>
      </c>
      <c r="F86" s="3" t="n">
        <f aca="false">'1. Raw Data'!F85</f>
        <v>2.4</v>
      </c>
      <c r="G86" s="3" t="n">
        <f aca="false">IF('1. Raw Data'!G85="",ROUND(IFERROR(AVERAGEIFS('1. Raw Data'!G2:G1201,'1. Raw Data'!C2:C1201,'1. Raw Data'!C85,'1. Raw Data'!D2:D1201,'1. Raw Data'!D85),0),2),'1. Raw Data'!G85)</f>
        <v>2725.09</v>
      </c>
      <c r="H86" s="3" t="str">
        <f aca="false">PROPER('1. Raw Data'!H85)</f>
        <v>No</v>
      </c>
      <c r="I86" s="3" t="n">
        <f aca="false">'1. Raw Data'!I85</f>
        <v>2</v>
      </c>
      <c r="J86" s="3" t="n">
        <f aca="false">'1. Raw Data'!J85</f>
        <v>3</v>
      </c>
      <c r="K86" s="3" t="n">
        <f aca="false">'1. Raw Data'!K85</f>
        <v>27</v>
      </c>
      <c r="L86" s="3" t="n">
        <f aca="false">'1. Raw Data'!L85</f>
        <v>2</v>
      </c>
      <c r="M86" s="3" t="n">
        <f aca="false">'1. Raw Data'!M85</f>
        <v>0</v>
      </c>
      <c r="N86" s="3" t="str">
        <f aca="false">'1. Raw Data'!N85</f>
        <v>No</v>
      </c>
    </row>
    <row r="87" customFormat="false" ht="15" hidden="false" customHeight="false" outlineLevel="0" collapsed="false">
      <c r="A87" s="3" t="str">
        <f aca="false">'1. Raw Data'!A86</f>
        <v>EMP-0085</v>
      </c>
      <c r="B87" s="3" t="n">
        <f aca="false">'1. Raw Data'!B86</f>
        <v>47</v>
      </c>
      <c r="C87" s="3" t="str">
        <f aca="false">'1. Raw Data'!C86</f>
        <v>Marketing</v>
      </c>
      <c r="D87" s="3" t="str">
        <f aca="false">'1. Raw Data'!D86</f>
        <v>Mid</v>
      </c>
      <c r="E87" s="3" t="str">
        <f aca="false">'1. Raw Data'!E86</f>
        <v>Other</v>
      </c>
      <c r="F87" s="3" t="n">
        <f aca="false">'1. Raw Data'!F86</f>
        <v>0</v>
      </c>
      <c r="G87" s="3" t="n">
        <f aca="false">IF('1. Raw Data'!G86="",ROUND(IFERROR(AVERAGEIFS('1. Raw Data'!G2:G1201,'1. Raw Data'!C2:C1201,'1. Raw Data'!C86,'1. Raw Data'!D2:D1201,'1. Raw Data'!D86),0),2),'1. Raw Data'!G86)</f>
        <v>4220.76</v>
      </c>
      <c r="H87" s="3" t="str">
        <f aca="false">PROPER('1. Raw Data'!H86)</f>
        <v>No</v>
      </c>
      <c r="I87" s="3" t="n">
        <f aca="false">'1. Raw Data'!I86</f>
        <v>3</v>
      </c>
      <c r="J87" s="3" t="n">
        <f aca="false">'1. Raw Data'!J86</f>
        <v>4</v>
      </c>
      <c r="K87" s="3" t="n">
        <f aca="false">'1. Raw Data'!K86</f>
        <v>2</v>
      </c>
      <c r="L87" s="3" t="n">
        <f aca="false">'1. Raw Data'!L86</f>
        <v>0</v>
      </c>
      <c r="M87" s="3" t="n">
        <f aca="false">'1. Raw Data'!M86</f>
        <v>0</v>
      </c>
      <c r="N87" s="3" t="str">
        <f aca="false">'1. Raw Data'!N86</f>
        <v>No</v>
      </c>
    </row>
    <row r="88" customFormat="false" ht="15" hidden="false" customHeight="false" outlineLevel="0" collapsed="false">
      <c r="A88" s="3" t="str">
        <f aca="false">'1. Raw Data'!A87</f>
        <v>EMP-0086</v>
      </c>
      <c r="B88" s="3" t="n">
        <f aca="false">'1. Raw Data'!B87</f>
        <v>44</v>
      </c>
      <c r="C88" s="3" t="str">
        <f aca="false">'1. Raw Data'!C87</f>
        <v>Finance</v>
      </c>
      <c r="D88" s="3" t="str">
        <f aca="false">'1. Raw Data'!D87</f>
        <v>Senior</v>
      </c>
      <c r="E88" s="3" t="str">
        <f aca="false">'1. Raw Data'!E87</f>
        <v>Technical</v>
      </c>
      <c r="F88" s="3" t="n">
        <f aca="false">'1. Raw Data'!F87</f>
        <v>9.3</v>
      </c>
      <c r="G88" s="3" t="n">
        <f aca="false">IF('1. Raw Data'!G87="",ROUND(IFERROR(AVERAGEIFS('1. Raw Data'!G2:G1201,'1. Raw Data'!C2:C1201,'1. Raw Data'!C87,'1. Raw Data'!D2:D1201,'1. Raw Data'!D87),0),2),'1. Raw Data'!G87)</f>
        <v>6790.06</v>
      </c>
      <c r="H88" s="3" t="str">
        <f aca="false">PROPER('1. Raw Data'!H87)</f>
        <v>No</v>
      </c>
      <c r="I88" s="3" t="n">
        <f aca="false">'1. Raw Data'!I87</f>
        <v>2</v>
      </c>
      <c r="J88" s="3" t="n">
        <f aca="false">'1. Raw Data'!J87</f>
        <v>4</v>
      </c>
      <c r="K88" s="3" t="n">
        <f aca="false">'1. Raw Data'!K87</f>
        <v>5</v>
      </c>
      <c r="L88" s="3" t="n">
        <f aca="false">'1. Raw Data'!L87</f>
        <v>0</v>
      </c>
      <c r="M88" s="3" t="n">
        <f aca="false">'1. Raw Data'!M87</f>
        <v>2</v>
      </c>
      <c r="N88" s="3" t="str">
        <f aca="false">'1. Raw Data'!N87</f>
        <v>Yes</v>
      </c>
    </row>
    <row r="89" customFormat="false" ht="15" hidden="false" customHeight="false" outlineLevel="0" collapsed="false">
      <c r="A89" s="3" t="str">
        <f aca="false">'1. Raw Data'!A88</f>
        <v>EMP-0087</v>
      </c>
      <c r="B89" s="3" t="n">
        <f aca="false">'1. Raw Data'!B88</f>
        <v>34</v>
      </c>
      <c r="C89" s="3" t="str">
        <f aca="false">'1. Raw Data'!C88</f>
        <v>Customer Support</v>
      </c>
      <c r="D89" s="3" t="str">
        <f aca="false">'1. Raw Data'!D88</f>
        <v>Mid</v>
      </c>
      <c r="E89" s="3" t="str">
        <f aca="false">'1. Raw Data'!E88</f>
        <v>Business</v>
      </c>
      <c r="F89" s="3" t="n">
        <f aca="false">'1. Raw Data'!F88</f>
        <v>9</v>
      </c>
      <c r="G89" s="3" t="n">
        <f aca="false">IF('1. Raw Data'!G88="",ROUND(IFERROR(AVERAGEIFS('1. Raw Data'!G2:G1201,'1. Raw Data'!C2:C1201,'1. Raw Data'!C88,'1. Raw Data'!D2:D1201,'1. Raw Data'!D88),0),2),'1. Raw Data'!G88)</f>
        <v>5525.81</v>
      </c>
      <c r="H89" s="3" t="str">
        <f aca="false">PROPER('1. Raw Data'!H88)</f>
        <v>Yes</v>
      </c>
      <c r="I89" s="3" t="n">
        <f aca="false">'1. Raw Data'!I88</f>
        <v>1</v>
      </c>
      <c r="J89" s="3" t="n">
        <f aca="false">'1. Raw Data'!J88</f>
        <v>3</v>
      </c>
      <c r="K89" s="3" t="n">
        <f aca="false">'1. Raw Data'!K88</f>
        <v>6</v>
      </c>
      <c r="L89" s="3" t="n">
        <f aca="false">'1. Raw Data'!L88</f>
        <v>0</v>
      </c>
      <c r="M89" s="3" t="n">
        <f aca="false">'1. Raw Data'!M88</f>
        <v>2</v>
      </c>
      <c r="N89" s="3" t="str">
        <f aca="false">'1. Raw Data'!N88</f>
        <v>Yes</v>
      </c>
    </row>
    <row r="90" customFormat="false" ht="15" hidden="false" customHeight="false" outlineLevel="0" collapsed="false">
      <c r="A90" s="3" t="str">
        <f aca="false">'1. Raw Data'!A89</f>
        <v>EMP-0088</v>
      </c>
      <c r="B90" s="3" t="n">
        <f aca="false">'1. Raw Data'!B89</f>
        <v>21</v>
      </c>
      <c r="C90" s="3" t="str">
        <f aca="false">'1. Raw Data'!C89</f>
        <v>Marketing</v>
      </c>
      <c r="D90" s="3" t="str">
        <f aca="false">'1. Raw Data'!D89</f>
        <v>Senior</v>
      </c>
      <c r="E90" s="3" t="str">
        <f aca="false">'1. Raw Data'!E89</f>
        <v>Business</v>
      </c>
      <c r="F90" s="3" t="n">
        <f aca="false">'1. Raw Data'!F89</f>
        <v>0</v>
      </c>
      <c r="G90" s="3" t="n">
        <f aca="false">IF('1. Raw Data'!G89="",ROUND(IFERROR(AVERAGEIFS('1. Raw Data'!G2:G1201,'1. Raw Data'!C2:C1201,'1. Raw Data'!C89,'1. Raw Data'!D2:D1201,'1. Raw Data'!D89),0),2),'1. Raw Data'!G89)</f>
        <v>6521.12</v>
      </c>
      <c r="H90" s="3" t="str">
        <f aca="false">PROPER('1. Raw Data'!H89)</f>
        <v>Yes</v>
      </c>
      <c r="I90" s="3" t="n">
        <f aca="false">'1. Raw Data'!I89</f>
        <v>2</v>
      </c>
      <c r="J90" s="3" t="n">
        <f aca="false">'1. Raw Data'!J89</f>
        <v>4</v>
      </c>
      <c r="K90" s="3" t="n">
        <f aca="false">'1. Raw Data'!K89</f>
        <v>1</v>
      </c>
      <c r="L90" s="3" t="n">
        <f aca="false">'1. Raw Data'!L89</f>
        <v>0</v>
      </c>
      <c r="M90" s="3" t="n">
        <f aca="false">'1. Raw Data'!M89</f>
        <v>5</v>
      </c>
      <c r="N90" s="3" t="str">
        <f aca="false">'1. Raw Data'!N89</f>
        <v>No</v>
      </c>
    </row>
    <row r="91" customFormat="false" ht="15" hidden="false" customHeight="false" outlineLevel="0" collapsed="false">
      <c r="A91" s="3" t="str">
        <f aca="false">'1. Raw Data'!A90</f>
        <v>EMP-0089</v>
      </c>
      <c r="B91" s="3" t="n">
        <f aca="false">'1. Raw Data'!B90</f>
        <v>40</v>
      </c>
      <c r="C91" s="3" t="str">
        <f aca="false">'1. Raw Data'!C90</f>
        <v>Finance</v>
      </c>
      <c r="D91" s="3" t="str">
        <f aca="false">'1. Raw Data'!D90</f>
        <v>Junior</v>
      </c>
      <c r="E91" s="3" t="str">
        <f aca="false">'1. Raw Data'!E90</f>
        <v>Technical</v>
      </c>
      <c r="F91" s="3" t="n">
        <f aca="false">'1. Raw Data'!F90</f>
        <v>0.6</v>
      </c>
      <c r="G91" s="3" t="n">
        <f aca="false">IF('1. Raw Data'!G90="",ROUND(IFERROR(AVERAGEIFS('1. Raw Data'!G2:G1201,'1. Raw Data'!C2:C1201,'1. Raw Data'!C90,'1. Raw Data'!D2:D1201,'1. Raw Data'!D90),0),2),'1. Raw Data'!G90)</f>
        <v>2884.78</v>
      </c>
      <c r="H91" s="3" t="str">
        <f aca="false">PROPER('1. Raw Data'!H90)</f>
        <v>No</v>
      </c>
      <c r="I91" s="3" t="n">
        <f aca="false">'1. Raw Data'!I90</f>
        <v>2</v>
      </c>
      <c r="J91" s="3" t="n">
        <f aca="false">'1. Raw Data'!J90</f>
        <v>3</v>
      </c>
      <c r="K91" s="3" t="n">
        <f aca="false">'1. Raw Data'!K90</f>
        <v>19</v>
      </c>
      <c r="L91" s="3" t="n">
        <f aca="false">'1. Raw Data'!L90</f>
        <v>0</v>
      </c>
      <c r="M91" s="3" t="n">
        <f aca="false">'1. Raw Data'!M90</f>
        <v>2</v>
      </c>
      <c r="N91" s="3" t="str">
        <f aca="false">'1. Raw Data'!N90</f>
        <v>Yes</v>
      </c>
    </row>
    <row r="92" customFormat="false" ht="15" hidden="false" customHeight="false" outlineLevel="0" collapsed="false">
      <c r="A92" s="3" t="str">
        <f aca="false">'1. Raw Data'!A91</f>
        <v>EMP-0090</v>
      </c>
      <c r="B92" s="3" t="n">
        <f aca="false">'1. Raw Data'!B91</f>
        <v>21</v>
      </c>
      <c r="C92" s="3" t="str">
        <f aca="false">'1. Raw Data'!C91</f>
        <v>Customer Support</v>
      </c>
      <c r="D92" s="3" t="str">
        <f aca="false">'1. Raw Data'!D91</f>
        <v>Senior</v>
      </c>
      <c r="E92" s="3" t="str">
        <f aca="false">'1. Raw Data'!E91</f>
        <v>Business</v>
      </c>
      <c r="F92" s="3" t="n">
        <f aca="false">'1. Raw Data'!F91</f>
        <v>0</v>
      </c>
      <c r="G92" s="3" t="n">
        <f aca="false">IF('1. Raw Data'!G91="",ROUND(IFERROR(AVERAGEIFS('1. Raw Data'!G2:G1201,'1. Raw Data'!C2:C1201,'1. Raw Data'!C91,'1. Raw Data'!D2:D1201,'1. Raw Data'!D91),0),2),'1. Raw Data'!G91)</f>
        <v>7054.62</v>
      </c>
      <c r="H92" s="3" t="str">
        <f aca="false">PROPER('1. Raw Data'!H91)</f>
        <v>Yes</v>
      </c>
      <c r="I92" s="3" t="n">
        <f aca="false">'1. Raw Data'!I91</f>
        <v>2</v>
      </c>
      <c r="J92" s="3" t="n">
        <f aca="false">'1. Raw Data'!J91</f>
        <v>3</v>
      </c>
      <c r="K92" s="3" t="n">
        <f aca="false">'1. Raw Data'!K91</f>
        <v>11</v>
      </c>
      <c r="L92" s="3" t="n">
        <f aca="false">'1. Raw Data'!L91</f>
        <v>0</v>
      </c>
      <c r="M92" s="3" t="n">
        <f aca="false">'1. Raw Data'!M91</f>
        <v>2</v>
      </c>
      <c r="N92" s="3" t="str">
        <f aca="false">'1. Raw Data'!N91</f>
        <v>No</v>
      </c>
    </row>
    <row r="93" customFormat="false" ht="15" hidden="false" customHeight="false" outlineLevel="0" collapsed="false">
      <c r="A93" s="3" t="str">
        <f aca="false">'1. Raw Data'!A92</f>
        <v>EMP-0091</v>
      </c>
      <c r="B93" s="3" t="n">
        <f aca="false">'1. Raw Data'!B92</f>
        <v>34</v>
      </c>
      <c r="C93" s="3" t="str">
        <f aca="false">'1. Raw Data'!C92</f>
        <v>Engineering</v>
      </c>
      <c r="D93" s="3" t="str">
        <f aca="false">'1. Raw Data'!D92</f>
        <v>Mid</v>
      </c>
      <c r="E93" s="3" t="str">
        <f aca="false">'1. Raw Data'!E92</f>
        <v>Other</v>
      </c>
      <c r="F93" s="3" t="n">
        <f aca="false">'1. Raw Data'!F92</f>
        <v>1.7</v>
      </c>
      <c r="G93" s="3" t="n">
        <f aca="false">IF('1. Raw Data'!G92="",ROUND(IFERROR(AVERAGEIFS('1. Raw Data'!G2:G1201,'1. Raw Data'!C2:C1201,'1. Raw Data'!C92,'1. Raw Data'!D2:D1201,'1. Raw Data'!D92),0),2),'1. Raw Data'!G92)</f>
        <v>5042.6</v>
      </c>
      <c r="H93" s="3" t="str">
        <f aca="false">PROPER('1. Raw Data'!H92)</f>
        <v>No</v>
      </c>
      <c r="I93" s="3" t="n">
        <f aca="false">'1. Raw Data'!I92</f>
        <v>3</v>
      </c>
      <c r="J93" s="3" t="n">
        <f aca="false">'1. Raw Data'!J92</f>
        <v>3</v>
      </c>
      <c r="K93" s="3" t="n">
        <f aca="false">'1. Raw Data'!K92</f>
        <v>1</v>
      </c>
      <c r="L93" s="3" t="n">
        <f aca="false">'1. Raw Data'!L92</f>
        <v>1</v>
      </c>
      <c r="M93" s="3" t="n">
        <f aca="false">'1. Raw Data'!M92</f>
        <v>4</v>
      </c>
      <c r="N93" s="3" t="str">
        <f aca="false">'1. Raw Data'!N92</f>
        <v>No</v>
      </c>
    </row>
    <row r="94" customFormat="false" ht="15" hidden="false" customHeight="false" outlineLevel="0" collapsed="false">
      <c r="A94" s="3" t="str">
        <f aca="false">'1. Raw Data'!A93</f>
        <v>EMP-0092</v>
      </c>
      <c r="B94" s="3" t="n">
        <f aca="false">'1. Raw Data'!B93</f>
        <v>46</v>
      </c>
      <c r="C94" s="3" t="str">
        <f aca="false">'1. Raw Data'!C93</f>
        <v>Finance</v>
      </c>
      <c r="D94" s="3" t="str">
        <f aca="false">'1. Raw Data'!D93</f>
        <v>Junior</v>
      </c>
      <c r="E94" s="3" t="str">
        <f aca="false">'1. Raw Data'!E93</f>
        <v>Business</v>
      </c>
      <c r="F94" s="3" t="n">
        <f aca="false">'1. Raw Data'!F93</f>
        <v>1.6</v>
      </c>
      <c r="G94" s="3" t="n">
        <f aca="false">IF('1. Raw Data'!G93="",ROUND(IFERROR(AVERAGEIFS('1. Raw Data'!G2:G1201,'1. Raw Data'!C2:C1201,'1. Raw Data'!C93,'1. Raw Data'!D2:D1201,'1. Raw Data'!D93),0),2),'1. Raw Data'!G93)</f>
        <v>3331.73</v>
      </c>
      <c r="H94" s="3" t="str">
        <f aca="false">PROPER('1. Raw Data'!H93)</f>
        <v>No</v>
      </c>
      <c r="I94" s="3" t="n">
        <f aca="false">'1. Raw Data'!I93</f>
        <v>4</v>
      </c>
      <c r="J94" s="3" t="n">
        <f aca="false">'1. Raw Data'!J93</f>
        <v>2</v>
      </c>
      <c r="K94" s="3" t="n">
        <f aca="false">'1. Raw Data'!K93</f>
        <v>16</v>
      </c>
      <c r="L94" s="3" t="n">
        <f aca="false">'1. Raw Data'!L93</f>
        <v>1</v>
      </c>
      <c r="M94" s="3" t="n">
        <f aca="false">'1. Raw Data'!M93</f>
        <v>1</v>
      </c>
      <c r="N94" s="3" t="str">
        <f aca="false">'1. Raw Data'!N93</f>
        <v>No</v>
      </c>
    </row>
    <row r="95" customFormat="false" ht="15" hidden="false" customHeight="false" outlineLevel="0" collapsed="false">
      <c r="A95" s="3" t="str">
        <f aca="false">'1. Raw Data'!A94</f>
        <v>EMP-0093</v>
      </c>
      <c r="B95" s="3" t="n">
        <f aca="false">'1. Raw Data'!B94</f>
        <v>34</v>
      </c>
      <c r="C95" s="3" t="str">
        <f aca="false">'1. Raw Data'!C94</f>
        <v>Sales</v>
      </c>
      <c r="D95" s="3" t="str">
        <f aca="false">'1. Raw Data'!D94</f>
        <v>Junior</v>
      </c>
      <c r="E95" s="3" t="str">
        <f aca="false">'1. Raw Data'!E94</f>
        <v>Business</v>
      </c>
      <c r="F95" s="3" t="n">
        <f aca="false">'1. Raw Data'!F94</f>
        <v>1.3</v>
      </c>
      <c r="G95" s="3" t="n">
        <f aca="false">IF('1. Raw Data'!G94="",ROUND(IFERROR(AVERAGEIFS('1. Raw Data'!G2:G1201,'1. Raw Data'!C2:C1201,'1. Raw Data'!C94,'1. Raw Data'!D2:D1201,'1. Raw Data'!D94),0),2),'1. Raw Data'!G94)</f>
        <v>3810.74</v>
      </c>
      <c r="H95" s="3" t="str">
        <f aca="false">PROPER('1. Raw Data'!H94)</f>
        <v>Yes</v>
      </c>
      <c r="I95" s="3" t="n">
        <f aca="false">'1. Raw Data'!I94</f>
        <v>1</v>
      </c>
      <c r="J95" s="3" t="n">
        <f aca="false">'1. Raw Data'!J94</f>
        <v>3</v>
      </c>
      <c r="K95" s="3" t="n">
        <f aca="false">'1. Raw Data'!K94</f>
        <v>7</v>
      </c>
      <c r="L95" s="3" t="n">
        <f aca="false">'1. Raw Data'!L94</f>
        <v>0</v>
      </c>
      <c r="M95" s="3" t="n">
        <f aca="false">'1. Raw Data'!M94</f>
        <v>1</v>
      </c>
      <c r="N95" s="3" t="str">
        <f aca="false">'1. Raw Data'!N94</f>
        <v>Yes</v>
      </c>
    </row>
    <row r="96" customFormat="false" ht="15" hidden="false" customHeight="false" outlineLevel="0" collapsed="false">
      <c r="A96" s="3" t="str">
        <f aca="false">'1. Raw Data'!A95</f>
        <v>EMP-0094</v>
      </c>
      <c r="B96" s="3" t="n">
        <f aca="false">'1. Raw Data'!B95</f>
        <v>39</v>
      </c>
      <c r="C96" s="3" t="str">
        <f aca="false">'1. Raw Data'!C95</f>
        <v>Customer Support</v>
      </c>
      <c r="D96" s="3" t="str">
        <f aca="false">'1. Raw Data'!D95</f>
        <v>Mid</v>
      </c>
      <c r="E96" s="3" t="str">
        <f aca="false">'1. Raw Data'!E95</f>
        <v>Business</v>
      </c>
      <c r="F96" s="3" t="n">
        <f aca="false">'1. Raw Data'!F95</f>
        <v>0.6</v>
      </c>
      <c r="G96" s="3" t="n">
        <f aca="false">IF('1. Raw Data'!G95="",ROUND(IFERROR(AVERAGEIFS('1. Raw Data'!G2:G1201,'1. Raw Data'!C2:C1201,'1. Raw Data'!C95,'1. Raw Data'!D2:D1201,'1. Raw Data'!D95),0),2),'1. Raw Data'!G95)</f>
        <v>4288.8</v>
      </c>
      <c r="H96" s="3" t="str">
        <f aca="false">PROPER('1. Raw Data'!H95)</f>
        <v>Yes</v>
      </c>
      <c r="I96" s="3" t="n">
        <f aca="false">'1. Raw Data'!I95</f>
        <v>3</v>
      </c>
      <c r="J96" s="3" t="n">
        <f aca="false">'1. Raw Data'!J95</f>
        <v>2</v>
      </c>
      <c r="K96" s="3" t="n">
        <f aca="false">'1. Raw Data'!K95</f>
        <v>11</v>
      </c>
      <c r="L96" s="3" t="n">
        <f aca="false">'1. Raw Data'!L95</f>
        <v>0</v>
      </c>
      <c r="M96" s="3" t="n">
        <f aca="false">'1. Raw Data'!M95</f>
        <v>0</v>
      </c>
      <c r="N96" s="3" t="str">
        <f aca="false">'1. Raw Data'!N95</f>
        <v>No</v>
      </c>
    </row>
    <row r="97" customFormat="false" ht="15" hidden="false" customHeight="false" outlineLevel="0" collapsed="false">
      <c r="A97" s="3" t="str">
        <f aca="false">'1. Raw Data'!A96</f>
        <v>EMP-0095</v>
      </c>
      <c r="B97" s="3" t="n">
        <f aca="false">'1. Raw Data'!B96</f>
        <v>29</v>
      </c>
      <c r="C97" s="3" t="str">
        <f aca="false">'1. Raw Data'!C96</f>
        <v>Engineering</v>
      </c>
      <c r="D97" s="3" t="str">
        <f aca="false">'1. Raw Data'!D96</f>
        <v>Mid</v>
      </c>
      <c r="E97" s="3" t="str">
        <f aca="false">'1. Raw Data'!E96</f>
        <v>Technical</v>
      </c>
      <c r="F97" s="3" t="n">
        <f aca="false">'1. Raw Data'!F96</f>
        <v>0</v>
      </c>
      <c r="G97" s="3" t="n">
        <f aca="false">IF('1. Raw Data'!G96="",ROUND(IFERROR(AVERAGEIFS('1. Raw Data'!G2:G1201,'1. Raw Data'!C2:C1201,'1. Raw Data'!C96,'1. Raw Data'!D2:D1201,'1. Raw Data'!D96),0),2),'1. Raw Data'!G96)</f>
        <v>5172.28</v>
      </c>
      <c r="H97" s="3" t="str">
        <f aca="false">PROPER('1. Raw Data'!H96)</f>
        <v>No</v>
      </c>
      <c r="I97" s="3" t="n">
        <f aca="false">'1. Raw Data'!I96</f>
        <v>4</v>
      </c>
      <c r="J97" s="3" t="n">
        <f aca="false">'1. Raw Data'!J96</f>
        <v>3</v>
      </c>
      <c r="K97" s="3" t="n">
        <f aca="false">'1. Raw Data'!K96</f>
        <v>7</v>
      </c>
      <c r="L97" s="3" t="n">
        <f aca="false">'1. Raw Data'!L96</f>
        <v>0</v>
      </c>
      <c r="M97" s="3" t="n">
        <f aca="false">'1. Raw Data'!M96</f>
        <v>1</v>
      </c>
      <c r="N97" s="3" t="str">
        <f aca="false">'1. Raw Data'!N96</f>
        <v>No</v>
      </c>
    </row>
    <row r="98" customFormat="false" ht="15" hidden="false" customHeight="false" outlineLevel="0" collapsed="false">
      <c r="A98" s="3" t="str">
        <f aca="false">'1. Raw Data'!A97</f>
        <v>EMP-0096</v>
      </c>
      <c r="B98" s="3" t="n">
        <f aca="false">'1. Raw Data'!B97</f>
        <v>43</v>
      </c>
      <c r="C98" s="3" t="str">
        <f aca="false">'1. Raw Data'!C97</f>
        <v>HR</v>
      </c>
      <c r="D98" s="3" t="str">
        <f aca="false">'1. Raw Data'!D97</f>
        <v>Mid</v>
      </c>
      <c r="E98" s="3" t="str">
        <f aca="false">'1. Raw Data'!E97</f>
        <v>Other</v>
      </c>
      <c r="F98" s="3" t="n">
        <f aca="false">'1. Raw Data'!F97</f>
        <v>2.5</v>
      </c>
      <c r="G98" s="3" t="n">
        <f aca="false">IF('1. Raw Data'!G97="",ROUND(IFERROR(AVERAGEIFS('1. Raw Data'!G2:G1201,'1. Raw Data'!C2:C1201,'1. Raw Data'!C97,'1. Raw Data'!D2:D1201,'1. Raw Data'!D97),0),2),'1. Raw Data'!G97)</f>
        <v>4563.67</v>
      </c>
      <c r="H98" s="3" t="str">
        <f aca="false">PROPER('1. Raw Data'!H97)</f>
        <v>Yes</v>
      </c>
      <c r="I98" s="3" t="n">
        <f aca="false">'1. Raw Data'!I97</f>
        <v>2</v>
      </c>
      <c r="J98" s="3" t="n">
        <f aca="false">'1. Raw Data'!J97</f>
        <v>4</v>
      </c>
      <c r="K98" s="3" t="n">
        <f aca="false">'1. Raw Data'!K97</f>
        <v>1</v>
      </c>
      <c r="L98" s="3" t="n">
        <f aca="false">'1. Raw Data'!L97</f>
        <v>0</v>
      </c>
      <c r="M98" s="3" t="n">
        <f aca="false">'1. Raw Data'!M97</f>
        <v>1</v>
      </c>
      <c r="N98" s="3" t="str">
        <f aca="false">'1. Raw Data'!N97</f>
        <v>No</v>
      </c>
    </row>
    <row r="99" customFormat="false" ht="15" hidden="false" customHeight="false" outlineLevel="0" collapsed="false">
      <c r="A99" s="3" t="str">
        <f aca="false">'1. Raw Data'!A98</f>
        <v>EMP-0097</v>
      </c>
      <c r="B99" s="3" t="n">
        <f aca="false">'1. Raw Data'!B98</f>
        <v>23</v>
      </c>
      <c r="C99" s="3" t="str">
        <f aca="false">'1. Raw Data'!C98</f>
        <v>Customer Support</v>
      </c>
      <c r="D99" s="3" t="str">
        <f aca="false">'1. Raw Data'!D98</f>
        <v>Junior</v>
      </c>
      <c r="E99" s="3" t="str">
        <f aca="false">'1. Raw Data'!E98</f>
        <v>Marketing</v>
      </c>
      <c r="F99" s="3" t="n">
        <f aca="false">'1. Raw Data'!F98</f>
        <v>2</v>
      </c>
      <c r="G99" s="3" t="n">
        <f aca="false">IF('1. Raw Data'!G98="",ROUND(IFERROR(AVERAGEIFS('1. Raw Data'!G2:G1201,'1. Raw Data'!C2:C1201,'1. Raw Data'!C98,'1. Raw Data'!D2:D1201,'1. Raw Data'!D98),0),2),'1. Raw Data'!G98)</f>
        <v>3665.42</v>
      </c>
      <c r="H99" s="3" t="str">
        <f aca="false">PROPER('1. Raw Data'!H98)</f>
        <v>Yes</v>
      </c>
      <c r="I99" s="3" t="n">
        <f aca="false">'1. Raw Data'!I98</f>
        <v>2</v>
      </c>
      <c r="J99" s="3" t="n">
        <f aca="false">'1. Raw Data'!J98</f>
        <v>3</v>
      </c>
      <c r="K99" s="3" t="n">
        <f aca="false">'1. Raw Data'!K98</f>
        <v>1</v>
      </c>
      <c r="L99" s="3" t="n">
        <f aca="false">'1. Raw Data'!L98</f>
        <v>2</v>
      </c>
      <c r="M99" s="3" t="n">
        <f aca="false">'1. Raw Data'!M98</f>
        <v>3</v>
      </c>
      <c r="N99" s="3" t="str">
        <f aca="false">'1. Raw Data'!N98</f>
        <v>Yes</v>
      </c>
    </row>
    <row r="100" customFormat="false" ht="15" hidden="false" customHeight="false" outlineLevel="0" collapsed="false">
      <c r="A100" s="3" t="str">
        <f aca="false">'1. Raw Data'!A99</f>
        <v>EMP-0098</v>
      </c>
      <c r="B100" s="3" t="n">
        <f aca="false">'1. Raw Data'!B99</f>
        <v>54</v>
      </c>
      <c r="C100" s="3" t="str">
        <f aca="false">'1. Raw Data'!C99</f>
        <v>Marketing</v>
      </c>
      <c r="D100" s="3" t="str">
        <f aca="false">'1. Raw Data'!D99</f>
        <v>Senior</v>
      </c>
      <c r="E100" s="3" t="str">
        <f aca="false">'1. Raw Data'!E99</f>
        <v>Technical</v>
      </c>
      <c r="F100" s="3" t="n">
        <f aca="false">'1. Raw Data'!F99</f>
        <v>2.9</v>
      </c>
      <c r="G100" s="3" t="n">
        <f aca="false">IF('1. Raw Data'!G99="",ROUND(IFERROR(AVERAGEIFS('1. Raw Data'!G2:G1201,'1. Raw Data'!C2:C1201,'1. Raw Data'!C99,'1. Raw Data'!D2:D1201,'1. Raw Data'!D99),0),2),'1. Raw Data'!G99)</f>
        <v>7814.87</v>
      </c>
      <c r="H100" s="3" t="str">
        <f aca="false">PROPER('1. Raw Data'!H99)</f>
        <v>No</v>
      </c>
      <c r="I100" s="3" t="n">
        <f aca="false">'1. Raw Data'!I99</f>
        <v>4</v>
      </c>
      <c r="J100" s="3" t="n">
        <f aca="false">'1. Raw Data'!J99</f>
        <v>4</v>
      </c>
      <c r="K100" s="3" t="n">
        <f aca="false">'1. Raw Data'!K99</f>
        <v>4</v>
      </c>
      <c r="L100" s="3" t="n">
        <f aca="false">'1. Raw Data'!L99</f>
        <v>1</v>
      </c>
      <c r="M100" s="3" t="n">
        <f aca="false">'1. Raw Data'!M99</f>
        <v>0</v>
      </c>
      <c r="N100" s="3" t="str">
        <f aca="false">'1. Raw Data'!N99</f>
        <v>No</v>
      </c>
    </row>
    <row r="101" customFormat="false" ht="15" hidden="false" customHeight="false" outlineLevel="0" collapsed="false">
      <c r="A101" s="3" t="str">
        <f aca="false">'1. Raw Data'!A100</f>
        <v>EMP-0099</v>
      </c>
      <c r="B101" s="3" t="n">
        <f aca="false">'1. Raw Data'!B100</f>
        <v>33</v>
      </c>
      <c r="C101" s="3" t="str">
        <f aca="false">'1. Raw Data'!C100</f>
        <v>Finance</v>
      </c>
      <c r="D101" s="3" t="str">
        <f aca="false">'1. Raw Data'!D100</f>
        <v>Junior</v>
      </c>
      <c r="E101" s="3" t="str">
        <f aca="false">'1. Raw Data'!E100</f>
        <v>Business</v>
      </c>
      <c r="F101" s="3" t="n">
        <f aca="false">'1. Raw Data'!F100</f>
        <v>5.1</v>
      </c>
      <c r="G101" s="3" t="n">
        <f aca="false">IF('1. Raw Data'!G100="",ROUND(IFERROR(AVERAGEIFS('1. Raw Data'!G2:G1201,'1. Raw Data'!C2:C1201,'1. Raw Data'!C100,'1. Raw Data'!D2:D1201,'1. Raw Data'!D100),0),2),'1. Raw Data'!G100)</f>
        <v>2744.43</v>
      </c>
      <c r="H101" s="3" t="str">
        <f aca="false">PROPER('1. Raw Data'!H100)</f>
        <v>Yes</v>
      </c>
      <c r="I101" s="3" t="n">
        <f aca="false">'1. Raw Data'!I100</f>
        <v>3</v>
      </c>
      <c r="J101" s="3" t="n">
        <f aca="false">'1. Raw Data'!J100</f>
        <v>3</v>
      </c>
      <c r="K101" s="3" t="n">
        <f aca="false">'1. Raw Data'!K100</f>
        <v>4</v>
      </c>
      <c r="L101" s="3" t="n">
        <f aca="false">'1. Raw Data'!L100</f>
        <v>3</v>
      </c>
      <c r="M101" s="3" t="n">
        <f aca="false">'1. Raw Data'!M100</f>
        <v>1</v>
      </c>
      <c r="N101" s="3" t="str">
        <f aca="false">'1. Raw Data'!N100</f>
        <v>No</v>
      </c>
    </row>
    <row r="102" customFormat="false" ht="15" hidden="false" customHeight="false" outlineLevel="0" collapsed="false">
      <c r="A102" s="3" t="str">
        <f aca="false">'1. Raw Data'!A101</f>
        <v>EMP-0100</v>
      </c>
      <c r="B102" s="3" t="n">
        <f aca="false">'1. Raw Data'!B101</f>
        <v>33</v>
      </c>
      <c r="C102" s="3" t="str">
        <f aca="false">'1. Raw Data'!C101</f>
        <v>Engineering</v>
      </c>
      <c r="D102" s="3" t="str">
        <f aca="false">'1. Raw Data'!D101</f>
        <v>Junior</v>
      </c>
      <c r="E102" s="3" t="str">
        <f aca="false">'1. Raw Data'!E101</f>
        <v>Technical</v>
      </c>
      <c r="F102" s="3" t="n">
        <f aca="false">'1. Raw Data'!F101</f>
        <v>0.3</v>
      </c>
      <c r="G102" s="3" t="n">
        <f aca="false">IF('1. Raw Data'!G101="",ROUND(IFERROR(AVERAGEIFS('1. Raw Data'!G2:G1201,'1. Raw Data'!C2:C1201,'1. Raw Data'!C101,'1. Raw Data'!D2:D1201,'1. Raw Data'!D101),0),2),'1. Raw Data'!G101)</f>
        <v>3491.77</v>
      </c>
      <c r="H102" s="3" t="str">
        <f aca="false">PROPER('1. Raw Data'!H101)</f>
        <v>No</v>
      </c>
      <c r="I102" s="3" t="n">
        <f aca="false">'1. Raw Data'!I101</f>
        <v>4</v>
      </c>
      <c r="J102" s="3" t="n">
        <f aca="false">'1. Raw Data'!J101</f>
        <v>4</v>
      </c>
      <c r="K102" s="3" t="n">
        <f aca="false">'1. Raw Data'!K101</f>
        <v>1</v>
      </c>
      <c r="L102" s="3" t="n">
        <f aca="false">'1. Raw Data'!L101</f>
        <v>0</v>
      </c>
      <c r="M102" s="3" t="n">
        <f aca="false">'1. Raw Data'!M101</f>
        <v>4</v>
      </c>
      <c r="N102" s="3" t="str">
        <f aca="false">'1. Raw Data'!N101</f>
        <v>No</v>
      </c>
    </row>
    <row r="103" customFormat="false" ht="15" hidden="false" customHeight="false" outlineLevel="0" collapsed="false">
      <c r="A103" s="3" t="str">
        <f aca="false">'1. Raw Data'!A102</f>
        <v>EMP-0101</v>
      </c>
      <c r="B103" s="3" t="n">
        <f aca="false">'1. Raw Data'!B102</f>
        <v>29</v>
      </c>
      <c r="C103" s="3" t="str">
        <f aca="false">'1. Raw Data'!C102</f>
        <v>Engineering</v>
      </c>
      <c r="D103" s="3" t="str">
        <f aca="false">'1. Raw Data'!D102</f>
        <v>Junior</v>
      </c>
      <c r="E103" s="3" t="str">
        <f aca="false">'1. Raw Data'!E102</f>
        <v>Marketing</v>
      </c>
      <c r="F103" s="3" t="n">
        <f aca="false">'1. Raw Data'!F102</f>
        <v>3.3</v>
      </c>
      <c r="G103" s="3" t="n">
        <f aca="false">IF('1. Raw Data'!G102="",ROUND(IFERROR(AVERAGEIFS('1. Raw Data'!G2:G1201,'1. Raw Data'!C2:C1201,'1. Raw Data'!C102,'1. Raw Data'!D2:D1201,'1. Raw Data'!D102),0),2),'1. Raw Data'!G102)</f>
        <v>3506.75</v>
      </c>
      <c r="H103" s="3" t="str">
        <f aca="false">PROPER('1. Raw Data'!H102)</f>
        <v>No</v>
      </c>
      <c r="I103" s="3" t="n">
        <f aca="false">'1. Raw Data'!I102</f>
        <v>3</v>
      </c>
      <c r="J103" s="3" t="n">
        <f aca="false">'1. Raw Data'!J102</f>
        <v>3</v>
      </c>
      <c r="K103" s="3" t="n">
        <f aca="false">'1. Raw Data'!K102</f>
        <v>11</v>
      </c>
      <c r="L103" s="3" t="n">
        <f aca="false">'1. Raw Data'!L102</f>
        <v>0</v>
      </c>
      <c r="M103" s="3" t="n">
        <f aca="false">'1. Raw Data'!M102</f>
        <v>2</v>
      </c>
      <c r="N103" s="3" t="str">
        <f aca="false">'1. Raw Data'!N102</f>
        <v>No</v>
      </c>
    </row>
    <row r="104" customFormat="false" ht="15" hidden="false" customHeight="false" outlineLevel="0" collapsed="false">
      <c r="A104" s="3" t="str">
        <f aca="false">'1. Raw Data'!A103</f>
        <v>EMP-0102</v>
      </c>
      <c r="B104" s="3" t="n">
        <f aca="false">'1. Raw Data'!B103</f>
        <v>34</v>
      </c>
      <c r="C104" s="3" t="str">
        <f aca="false">'1. Raw Data'!C103</f>
        <v>Finance</v>
      </c>
      <c r="D104" s="3" t="str">
        <f aca="false">'1. Raw Data'!D103</f>
        <v>Senior</v>
      </c>
      <c r="E104" s="3" t="str">
        <f aca="false">'1. Raw Data'!E103</f>
        <v>Technical</v>
      </c>
      <c r="F104" s="3" t="n">
        <f aca="false">'1. Raw Data'!F103</f>
        <v>1</v>
      </c>
      <c r="G104" s="3" t="n">
        <f aca="false">IF('1. Raw Data'!G103="",ROUND(IFERROR(AVERAGEIFS('1. Raw Data'!G2:G1201,'1. Raw Data'!C2:C1201,'1. Raw Data'!C103,'1. Raw Data'!D2:D1201,'1. Raw Data'!D103),0),2),'1. Raw Data'!G103)</f>
        <v>7230.68</v>
      </c>
      <c r="H104" s="3" t="str">
        <f aca="false">PROPER('1. Raw Data'!H103)</f>
        <v>No</v>
      </c>
      <c r="I104" s="3" t="n">
        <f aca="false">'1. Raw Data'!I103</f>
        <v>4</v>
      </c>
      <c r="J104" s="3" t="n">
        <f aca="false">'1. Raw Data'!J103</f>
        <v>2</v>
      </c>
      <c r="K104" s="3" t="n">
        <f aca="false">'1. Raw Data'!K103</f>
        <v>1</v>
      </c>
      <c r="L104" s="3" t="n">
        <f aca="false">'1. Raw Data'!L103</f>
        <v>1</v>
      </c>
      <c r="M104" s="3" t="n">
        <f aca="false">'1. Raw Data'!M103</f>
        <v>2</v>
      </c>
      <c r="N104" s="3" t="str">
        <f aca="false">'1. Raw Data'!N103</f>
        <v>No</v>
      </c>
    </row>
    <row r="105" customFormat="false" ht="15" hidden="false" customHeight="false" outlineLevel="0" collapsed="false">
      <c r="A105" s="3" t="str">
        <f aca="false">'1. Raw Data'!A104</f>
        <v>EMP-0103</v>
      </c>
      <c r="B105" s="3" t="n">
        <f aca="false">'1. Raw Data'!B104</f>
        <v>37</v>
      </c>
      <c r="C105" s="3" t="str">
        <f aca="false">'1. Raw Data'!C104</f>
        <v>Marketing</v>
      </c>
      <c r="D105" s="3" t="str">
        <f aca="false">'1. Raw Data'!D104</f>
        <v>Mid</v>
      </c>
      <c r="E105" s="3" t="str">
        <f aca="false">'1. Raw Data'!E104</f>
        <v>Marketing</v>
      </c>
      <c r="F105" s="3" t="n">
        <f aca="false">'1. Raw Data'!F104</f>
        <v>4.2</v>
      </c>
      <c r="G105" s="3" t="n">
        <f aca="false">IF('1. Raw Data'!G104="",ROUND(IFERROR(AVERAGEIFS('1. Raw Data'!G2:G1201,'1. Raw Data'!C2:C1201,'1. Raw Data'!C104,'1. Raw Data'!D2:D1201,'1. Raw Data'!D104),0),2),'1. Raw Data'!G104)</f>
        <v>5210.84</v>
      </c>
      <c r="H105" s="3" t="str">
        <f aca="false">PROPER('1. Raw Data'!H104)</f>
        <v>No</v>
      </c>
      <c r="I105" s="3" t="n">
        <f aca="false">'1. Raw Data'!I104</f>
        <v>4</v>
      </c>
      <c r="J105" s="3" t="n">
        <f aca="false">'1. Raw Data'!J104</f>
        <v>2</v>
      </c>
      <c r="K105" s="3" t="n">
        <f aca="false">'1. Raw Data'!K104</f>
        <v>8</v>
      </c>
      <c r="L105" s="3" t="n">
        <f aca="false">'1. Raw Data'!L104</f>
        <v>3</v>
      </c>
      <c r="M105" s="3" t="n">
        <f aca="false">'1. Raw Data'!M104</f>
        <v>1</v>
      </c>
      <c r="N105" s="3" t="str">
        <f aca="false">'1. Raw Data'!N104</f>
        <v>No</v>
      </c>
    </row>
    <row r="106" customFormat="false" ht="15" hidden="false" customHeight="false" outlineLevel="0" collapsed="false">
      <c r="A106" s="3" t="str">
        <f aca="false">'1. Raw Data'!A105</f>
        <v>EMP-0104</v>
      </c>
      <c r="B106" s="3" t="n">
        <f aca="false">'1. Raw Data'!B105</f>
        <v>37</v>
      </c>
      <c r="C106" s="3" t="str">
        <f aca="false">'1. Raw Data'!C105</f>
        <v>Sales</v>
      </c>
      <c r="D106" s="3" t="str">
        <f aca="false">'1. Raw Data'!D105</f>
        <v>Senior</v>
      </c>
      <c r="E106" s="3" t="str">
        <f aca="false">'1. Raw Data'!E105</f>
        <v>Other</v>
      </c>
      <c r="F106" s="3" t="n">
        <f aca="false">'1. Raw Data'!F105</f>
        <v>8.1</v>
      </c>
      <c r="G106" s="3" t="n">
        <f aca="false">IF('1. Raw Data'!G105="",ROUND(IFERROR(AVERAGEIFS('1. Raw Data'!G2:G1201,'1. Raw Data'!C2:C1201,'1. Raw Data'!C105,'1. Raw Data'!D2:D1201,'1. Raw Data'!D105),0),2),'1. Raw Data'!G105)</f>
        <v>8071.92</v>
      </c>
      <c r="H106" s="3" t="str">
        <f aca="false">PROPER('1. Raw Data'!H105)</f>
        <v>Yes</v>
      </c>
      <c r="I106" s="3" t="n">
        <f aca="false">'1. Raw Data'!I105</f>
        <v>3</v>
      </c>
      <c r="J106" s="3" t="n">
        <f aca="false">'1. Raw Data'!J105</f>
        <v>4</v>
      </c>
      <c r="K106" s="3" t="n">
        <f aca="false">'1. Raw Data'!K105</f>
        <v>15</v>
      </c>
      <c r="L106" s="3" t="n">
        <f aca="false">'1. Raw Data'!L105</f>
        <v>1</v>
      </c>
      <c r="M106" s="3" t="n">
        <f aca="false">'1. Raw Data'!M105</f>
        <v>0</v>
      </c>
      <c r="N106" s="3" t="str">
        <f aca="false">'1. Raw Data'!N105</f>
        <v>No</v>
      </c>
    </row>
    <row r="107" customFormat="false" ht="15" hidden="false" customHeight="false" outlineLevel="0" collapsed="false">
      <c r="A107" s="3" t="str">
        <f aca="false">'1. Raw Data'!A106</f>
        <v>EMP-0105</v>
      </c>
      <c r="B107" s="3" t="n">
        <f aca="false">'1. Raw Data'!B106</f>
        <v>35</v>
      </c>
      <c r="C107" s="3" t="str">
        <f aca="false">'1. Raw Data'!C106</f>
        <v>Sales</v>
      </c>
      <c r="D107" s="3" t="str">
        <f aca="false">'1. Raw Data'!D106</f>
        <v>Lead</v>
      </c>
      <c r="E107" s="3" t="str">
        <f aca="false">'1. Raw Data'!E106</f>
        <v>Other</v>
      </c>
      <c r="F107" s="3" t="n">
        <f aca="false">'1. Raw Data'!F106</f>
        <v>3.6</v>
      </c>
      <c r="G107" s="3" t="n">
        <f aca="false">IF('1. Raw Data'!G106="",ROUND(IFERROR(AVERAGEIFS('1. Raw Data'!G2:G1201,'1. Raw Data'!C2:C1201,'1. Raw Data'!C106,'1. Raw Data'!D2:D1201,'1. Raw Data'!D106),0),2),'1. Raw Data'!G106)</f>
        <v>9549.02</v>
      </c>
      <c r="H107" s="3" t="str">
        <f aca="false">PROPER('1. Raw Data'!H106)</f>
        <v>No</v>
      </c>
      <c r="I107" s="3" t="n">
        <f aca="false">'1. Raw Data'!I106</f>
        <v>2</v>
      </c>
      <c r="J107" s="3" t="n">
        <f aca="false">'1. Raw Data'!J106</f>
        <v>2</v>
      </c>
      <c r="K107" s="3" t="n">
        <f aca="false">'1. Raw Data'!K106</f>
        <v>7</v>
      </c>
      <c r="L107" s="3" t="n">
        <f aca="false">'1. Raw Data'!L106</f>
        <v>1</v>
      </c>
      <c r="M107" s="3" t="n">
        <f aca="false">'1. Raw Data'!M106</f>
        <v>0</v>
      </c>
      <c r="N107" s="3" t="str">
        <f aca="false">'1. Raw Data'!N106</f>
        <v>No</v>
      </c>
    </row>
    <row r="108" customFormat="false" ht="15" hidden="false" customHeight="false" outlineLevel="0" collapsed="false">
      <c r="A108" s="3" t="str">
        <f aca="false">'1. Raw Data'!A107</f>
        <v>EMP-0106</v>
      </c>
      <c r="B108" s="3" t="n">
        <f aca="false">'1. Raw Data'!B107</f>
        <v>31</v>
      </c>
      <c r="C108" s="3" t="str">
        <f aca="false">'1. Raw Data'!C107</f>
        <v>Marketing</v>
      </c>
      <c r="D108" s="3" t="str">
        <f aca="false">'1. Raw Data'!D107</f>
        <v>Junior</v>
      </c>
      <c r="E108" s="3" t="str">
        <f aca="false">'1. Raw Data'!E107</f>
        <v>Technical</v>
      </c>
      <c r="F108" s="3" t="n">
        <f aca="false">'1. Raw Data'!F107</f>
        <v>2.9</v>
      </c>
      <c r="G108" s="3" t="n">
        <f aca="false">IF('1. Raw Data'!G107="",ROUND(IFERROR(AVERAGEIFS('1. Raw Data'!G2:G1201,'1. Raw Data'!C2:C1201,'1. Raw Data'!C107,'1. Raw Data'!D2:D1201,'1. Raw Data'!D107),0),2),'1. Raw Data'!G107)</f>
        <v>3400.91</v>
      </c>
      <c r="H108" s="3" t="str">
        <f aca="false">PROPER('1. Raw Data'!H107)</f>
        <v>No</v>
      </c>
      <c r="I108" s="3" t="n">
        <f aca="false">'1. Raw Data'!I107</f>
        <v>3</v>
      </c>
      <c r="J108" s="3" t="n">
        <f aca="false">'1. Raw Data'!J107</f>
        <v>1</v>
      </c>
      <c r="K108" s="3" t="n">
        <f aca="false">'1. Raw Data'!K107</f>
        <v>2</v>
      </c>
      <c r="L108" s="3" t="n">
        <f aca="false">'1. Raw Data'!L107</f>
        <v>2</v>
      </c>
      <c r="M108" s="3" t="n">
        <f aca="false">'1. Raw Data'!M107</f>
        <v>2</v>
      </c>
      <c r="N108" s="3" t="str">
        <f aca="false">'1. Raw Data'!N107</f>
        <v>No</v>
      </c>
    </row>
    <row r="109" customFormat="false" ht="15" hidden="false" customHeight="false" outlineLevel="0" collapsed="false">
      <c r="A109" s="3" t="str">
        <f aca="false">'1. Raw Data'!A108</f>
        <v>EMP-0107</v>
      </c>
      <c r="B109" s="3" t="n">
        <f aca="false">'1. Raw Data'!B108</f>
        <v>30</v>
      </c>
      <c r="C109" s="3" t="str">
        <f aca="false">'1. Raw Data'!C108</f>
        <v>Sales</v>
      </c>
      <c r="D109" s="3" t="str">
        <f aca="false">'1. Raw Data'!D108</f>
        <v>Mid</v>
      </c>
      <c r="E109" s="3" t="str">
        <f aca="false">'1. Raw Data'!E108</f>
        <v>Other</v>
      </c>
      <c r="F109" s="3" t="n">
        <f aca="false">'1. Raw Data'!F108</f>
        <v>0.8</v>
      </c>
      <c r="G109" s="3" t="n">
        <f aca="false">IF('1. Raw Data'!G108="",ROUND(IFERROR(AVERAGEIFS('1. Raw Data'!G2:G1201,'1. Raw Data'!C2:C1201,'1. Raw Data'!C108,'1. Raw Data'!D2:D1201,'1. Raw Data'!D108),0),2),'1. Raw Data'!G108)</f>
        <v>4517.47</v>
      </c>
      <c r="H109" s="3" t="str">
        <f aca="false">PROPER('1. Raw Data'!H108)</f>
        <v>No</v>
      </c>
      <c r="I109" s="3" t="n">
        <f aca="false">'1. Raw Data'!I108</f>
        <v>3</v>
      </c>
      <c r="J109" s="3" t="n">
        <f aca="false">'1. Raw Data'!J108</f>
        <v>4</v>
      </c>
      <c r="K109" s="3" t="n">
        <f aca="false">'1. Raw Data'!K108</f>
        <v>1</v>
      </c>
      <c r="L109" s="3" t="n">
        <f aca="false">'1. Raw Data'!L108</f>
        <v>0</v>
      </c>
      <c r="M109" s="3" t="n">
        <f aca="false">'1. Raw Data'!M108</f>
        <v>1</v>
      </c>
      <c r="N109" s="3" t="str">
        <f aca="false">'1. Raw Data'!N108</f>
        <v>No</v>
      </c>
    </row>
    <row r="110" customFormat="false" ht="15" hidden="false" customHeight="false" outlineLevel="0" collapsed="false">
      <c r="A110" s="3" t="str">
        <f aca="false">'1. Raw Data'!A109</f>
        <v>EMP-0108</v>
      </c>
      <c r="B110" s="3" t="n">
        <f aca="false">'1. Raw Data'!B109</f>
        <v>38</v>
      </c>
      <c r="C110" s="3" t="str">
        <f aca="false">'1. Raw Data'!C109</f>
        <v>Engineering</v>
      </c>
      <c r="D110" s="3" t="str">
        <f aca="false">'1. Raw Data'!D109</f>
        <v>Junior</v>
      </c>
      <c r="E110" s="3" t="str">
        <f aca="false">'1. Raw Data'!E109</f>
        <v>Marketing</v>
      </c>
      <c r="F110" s="3" t="n">
        <f aca="false">'1. Raw Data'!F109</f>
        <v>2.8</v>
      </c>
      <c r="G110" s="3" t="n">
        <f aca="false">IF('1. Raw Data'!G109="",ROUND(IFERROR(AVERAGEIFS('1. Raw Data'!G2:G1201,'1. Raw Data'!C2:C1201,'1. Raw Data'!C109,'1. Raw Data'!D2:D1201,'1. Raw Data'!D109),0),2),'1. Raw Data'!G109)</f>
        <v>2952.12</v>
      </c>
      <c r="H110" s="3" t="str">
        <f aca="false">PROPER('1. Raw Data'!H109)</f>
        <v>No</v>
      </c>
      <c r="I110" s="3" t="n">
        <f aca="false">'1. Raw Data'!I109</f>
        <v>4</v>
      </c>
      <c r="J110" s="3" t="n">
        <f aca="false">'1. Raw Data'!J109</f>
        <v>1</v>
      </c>
      <c r="K110" s="3" t="n">
        <f aca="false">'1. Raw Data'!K109</f>
        <v>24</v>
      </c>
      <c r="L110" s="3" t="n">
        <f aca="false">'1. Raw Data'!L109</f>
        <v>0</v>
      </c>
      <c r="M110" s="3" t="n">
        <f aca="false">'1. Raw Data'!M109</f>
        <v>1</v>
      </c>
      <c r="N110" s="3" t="str">
        <f aca="false">'1. Raw Data'!N109</f>
        <v>Yes</v>
      </c>
    </row>
    <row r="111" customFormat="false" ht="15" hidden="false" customHeight="false" outlineLevel="0" collapsed="false">
      <c r="A111" s="3" t="str">
        <f aca="false">'1. Raw Data'!A110</f>
        <v>EMP-0109</v>
      </c>
      <c r="B111" s="3" t="n">
        <f aca="false">'1. Raw Data'!B110</f>
        <v>42</v>
      </c>
      <c r="C111" s="3" t="str">
        <f aca="false">'1. Raw Data'!C110</f>
        <v>Sales</v>
      </c>
      <c r="D111" s="3" t="str">
        <f aca="false">'1. Raw Data'!D110</f>
        <v>Mid</v>
      </c>
      <c r="E111" s="3" t="str">
        <f aca="false">'1. Raw Data'!E110</f>
        <v>Marketing</v>
      </c>
      <c r="F111" s="3" t="n">
        <f aca="false">'1. Raw Data'!F110</f>
        <v>0.9</v>
      </c>
      <c r="G111" s="3" t="n">
        <f aca="false">IF('1. Raw Data'!G110="",ROUND(IFERROR(AVERAGEIFS('1. Raw Data'!G2:G1201,'1. Raw Data'!C2:C1201,'1. Raw Data'!C110,'1. Raw Data'!D2:D1201,'1. Raw Data'!D110),0),2),'1. Raw Data'!G110)</f>
        <v>4750.96</v>
      </c>
      <c r="H111" s="3" t="str">
        <f aca="false">PROPER('1. Raw Data'!H110)</f>
        <v>No</v>
      </c>
      <c r="I111" s="3" t="n">
        <f aca="false">'1. Raw Data'!I110</f>
        <v>3</v>
      </c>
      <c r="J111" s="3" t="n">
        <f aca="false">'1. Raw Data'!J110</f>
        <v>3</v>
      </c>
      <c r="K111" s="3" t="n">
        <f aca="false">'1. Raw Data'!K110</f>
        <v>3</v>
      </c>
      <c r="L111" s="3" t="n">
        <f aca="false">'1. Raw Data'!L110</f>
        <v>0</v>
      </c>
      <c r="M111" s="3" t="n">
        <f aca="false">'1. Raw Data'!M110</f>
        <v>4</v>
      </c>
      <c r="N111" s="3" t="str">
        <f aca="false">'1. Raw Data'!N110</f>
        <v>No</v>
      </c>
    </row>
    <row r="112" customFormat="false" ht="15" hidden="false" customHeight="false" outlineLevel="0" collapsed="false">
      <c r="A112" s="3" t="str">
        <f aca="false">'1. Raw Data'!A111</f>
        <v>EMP-0110</v>
      </c>
      <c r="B112" s="3" t="n">
        <f aca="false">'1. Raw Data'!B111</f>
        <v>34</v>
      </c>
      <c r="C112" s="3" t="str">
        <f aca="false">'1. Raw Data'!C111</f>
        <v>Customer Support</v>
      </c>
      <c r="D112" s="3" t="str">
        <f aca="false">'1. Raw Data'!D111</f>
        <v>Mid</v>
      </c>
      <c r="E112" s="3" t="str">
        <f aca="false">'1. Raw Data'!E111</f>
        <v>Business</v>
      </c>
      <c r="F112" s="3" t="n">
        <f aca="false">'1. Raw Data'!F111</f>
        <v>7.2</v>
      </c>
      <c r="G112" s="3" t="n">
        <f aca="false">IF('1. Raw Data'!G111="",ROUND(IFERROR(AVERAGEIFS('1. Raw Data'!G2:G1201,'1. Raw Data'!C2:C1201,'1. Raw Data'!C111,'1. Raw Data'!D2:D1201,'1. Raw Data'!D111),0),2),'1. Raw Data'!G111)</f>
        <v>5028.63</v>
      </c>
      <c r="H112" s="3" t="str">
        <f aca="false">PROPER('1. Raw Data'!H111)</f>
        <v>No</v>
      </c>
      <c r="I112" s="3" t="n">
        <f aca="false">'1. Raw Data'!I111</f>
        <v>1</v>
      </c>
      <c r="J112" s="3" t="n">
        <f aca="false">'1. Raw Data'!J111</f>
        <v>4</v>
      </c>
      <c r="K112" s="3" t="n">
        <f aca="false">'1. Raw Data'!K111</f>
        <v>9</v>
      </c>
      <c r="L112" s="3" t="n">
        <f aca="false">'1. Raw Data'!L111</f>
        <v>1</v>
      </c>
      <c r="M112" s="3" t="n">
        <f aca="false">'1. Raw Data'!M111</f>
        <v>1</v>
      </c>
      <c r="N112" s="3" t="str">
        <f aca="false">'1. Raw Data'!N111</f>
        <v>No</v>
      </c>
    </row>
    <row r="113" customFormat="false" ht="15" hidden="false" customHeight="false" outlineLevel="0" collapsed="false">
      <c r="A113" s="3" t="str">
        <f aca="false">'1. Raw Data'!A112</f>
        <v>EMP-0111</v>
      </c>
      <c r="B113" s="3" t="n">
        <f aca="false">'1. Raw Data'!B112</f>
        <v>52</v>
      </c>
      <c r="C113" s="3" t="str">
        <f aca="false">'1. Raw Data'!C112</f>
        <v>Engineering</v>
      </c>
      <c r="D113" s="3" t="str">
        <f aca="false">'1. Raw Data'!D112</f>
        <v>Mid</v>
      </c>
      <c r="E113" s="3" t="str">
        <f aca="false">'1. Raw Data'!E112</f>
        <v>Marketing</v>
      </c>
      <c r="F113" s="3" t="n">
        <f aca="false">'1. Raw Data'!F112</f>
        <v>0.6</v>
      </c>
      <c r="G113" s="3" t="n">
        <f aca="false">IF('1. Raw Data'!G112="",ROUND(IFERROR(AVERAGEIFS('1. Raw Data'!G2:G1201,'1. Raw Data'!C2:C1201,'1. Raw Data'!C112,'1. Raw Data'!D2:D1201,'1. Raw Data'!D112),0),2),'1. Raw Data'!G112)</f>
        <v>5135.26</v>
      </c>
      <c r="H113" s="3" t="str">
        <f aca="false">PROPER('1. Raw Data'!H112)</f>
        <v>No</v>
      </c>
      <c r="I113" s="3" t="n">
        <f aca="false">'1. Raw Data'!I112</f>
        <v>4</v>
      </c>
      <c r="J113" s="3" t="n">
        <f aca="false">'1. Raw Data'!J112</f>
        <v>1</v>
      </c>
      <c r="K113" s="3" t="n">
        <f aca="false">'1. Raw Data'!K112</f>
        <v>1</v>
      </c>
      <c r="L113" s="3" t="n">
        <f aca="false">'1. Raw Data'!L112</f>
        <v>0</v>
      </c>
      <c r="M113" s="3" t="n">
        <f aca="false">'1. Raw Data'!M112</f>
        <v>2</v>
      </c>
      <c r="N113" s="3" t="str">
        <f aca="false">'1. Raw Data'!N112</f>
        <v>No</v>
      </c>
    </row>
    <row r="114" customFormat="false" ht="15" hidden="false" customHeight="false" outlineLevel="0" collapsed="false">
      <c r="A114" s="3" t="str">
        <f aca="false">'1. Raw Data'!A113</f>
        <v>EMP-0112</v>
      </c>
      <c r="B114" s="3" t="n">
        <f aca="false">'1. Raw Data'!B113</f>
        <v>39</v>
      </c>
      <c r="C114" s="3" t="str">
        <f aca="false">'1. Raw Data'!C113</f>
        <v>Customer Support</v>
      </c>
      <c r="D114" s="3" t="str">
        <f aca="false">'1. Raw Data'!D113</f>
        <v>Junior</v>
      </c>
      <c r="E114" s="3" t="str">
        <f aca="false">'1. Raw Data'!E113</f>
        <v>Technical</v>
      </c>
      <c r="F114" s="3" t="n">
        <f aca="false">'1. Raw Data'!F113</f>
        <v>0.1</v>
      </c>
      <c r="G114" s="3" t="n">
        <f aca="false">IF('1. Raw Data'!G113="",ROUND(IFERROR(AVERAGEIFS('1. Raw Data'!G2:G1201,'1. Raw Data'!C2:C1201,'1. Raw Data'!C113,'1. Raw Data'!D2:D1201,'1. Raw Data'!D113),0),2),'1. Raw Data'!G113)</f>
        <v>3145.17</v>
      </c>
      <c r="H114" s="3" t="str">
        <f aca="false">PROPER('1. Raw Data'!H113)</f>
        <v>Yes</v>
      </c>
      <c r="I114" s="3" t="n">
        <f aca="false">'1. Raw Data'!I113</f>
        <v>2</v>
      </c>
      <c r="J114" s="3" t="n">
        <f aca="false">'1. Raw Data'!J113</f>
        <v>3</v>
      </c>
      <c r="K114" s="3" t="n">
        <f aca="false">'1. Raw Data'!K113</f>
        <v>3</v>
      </c>
      <c r="L114" s="3" t="n">
        <f aca="false">'1. Raw Data'!L113</f>
        <v>0</v>
      </c>
      <c r="M114" s="3" t="n">
        <f aca="false">'1. Raw Data'!M113</f>
        <v>3</v>
      </c>
      <c r="N114" s="3" t="str">
        <f aca="false">'1. Raw Data'!N113</f>
        <v>No</v>
      </c>
    </row>
    <row r="115" customFormat="false" ht="15" hidden="false" customHeight="false" outlineLevel="0" collapsed="false">
      <c r="A115" s="3" t="str">
        <f aca="false">'1. Raw Data'!A114</f>
        <v>EMP-0113</v>
      </c>
      <c r="B115" s="3" t="n">
        <f aca="false">'1. Raw Data'!B114</f>
        <v>36</v>
      </c>
      <c r="C115" s="3" t="str">
        <f aca="false">'1. Raw Data'!C114</f>
        <v>Marketing</v>
      </c>
      <c r="D115" s="3" t="str">
        <f aca="false">'1. Raw Data'!D114</f>
        <v>Junior</v>
      </c>
      <c r="E115" s="3" t="str">
        <f aca="false">'1. Raw Data'!E114</f>
        <v>Marketing</v>
      </c>
      <c r="F115" s="3" t="n">
        <f aca="false">'1. Raw Data'!F114</f>
        <v>0.8</v>
      </c>
      <c r="G115" s="3" t="n">
        <f aca="false">IF('1. Raw Data'!G114="",ROUND(IFERROR(AVERAGEIFS('1. Raw Data'!G2:G1201,'1. Raw Data'!C2:C1201,'1. Raw Data'!C114,'1. Raw Data'!D2:D1201,'1. Raw Data'!D114),0),2),'1. Raw Data'!G114)</f>
        <v>3028.7</v>
      </c>
      <c r="H115" s="3" t="str">
        <f aca="false">PROPER('1. Raw Data'!H114)</f>
        <v>No</v>
      </c>
      <c r="I115" s="3" t="n">
        <f aca="false">'1. Raw Data'!I114</f>
        <v>1</v>
      </c>
      <c r="J115" s="3" t="n">
        <f aca="false">'1. Raw Data'!J114</f>
        <v>3</v>
      </c>
      <c r="K115" s="3" t="n">
        <f aca="false">'1. Raw Data'!K114</f>
        <v>4</v>
      </c>
      <c r="L115" s="3" t="n">
        <f aca="false">'1. Raw Data'!L114</f>
        <v>0</v>
      </c>
      <c r="M115" s="3" t="n">
        <f aca="false">'1. Raw Data'!M114</f>
        <v>2</v>
      </c>
      <c r="N115" s="3" t="str">
        <f aca="false">'1. Raw Data'!N114</f>
        <v>No</v>
      </c>
    </row>
    <row r="116" customFormat="false" ht="15" hidden="false" customHeight="false" outlineLevel="0" collapsed="false">
      <c r="A116" s="3" t="str">
        <f aca="false">'1. Raw Data'!A115</f>
        <v>EMP-0114</v>
      </c>
      <c r="B116" s="3" t="n">
        <f aca="false">'1. Raw Data'!B115</f>
        <v>29</v>
      </c>
      <c r="C116" s="3" t="str">
        <f aca="false">'1. Raw Data'!C115</f>
        <v>Engineering</v>
      </c>
      <c r="D116" s="3" t="str">
        <f aca="false">'1. Raw Data'!D115</f>
        <v>Senior</v>
      </c>
      <c r="E116" s="3" t="str">
        <f aca="false">'1. Raw Data'!E115</f>
        <v>Technical</v>
      </c>
      <c r="F116" s="3" t="n">
        <f aca="false">'1. Raw Data'!F115</f>
        <v>5.8</v>
      </c>
      <c r="G116" s="3" t="n">
        <f aca="false">IF('1. Raw Data'!G115="",ROUND(IFERROR(AVERAGEIFS('1. Raw Data'!G2:G1201,'1. Raw Data'!C2:C1201,'1. Raw Data'!C115,'1. Raw Data'!D2:D1201,'1. Raw Data'!D115),0),2),'1. Raw Data'!G115)</f>
        <v>6694.64</v>
      </c>
      <c r="H116" s="3" t="str">
        <f aca="false">PROPER('1. Raw Data'!H115)</f>
        <v>Yes</v>
      </c>
      <c r="I116" s="3" t="n">
        <f aca="false">'1. Raw Data'!I115</f>
        <v>4</v>
      </c>
      <c r="J116" s="3" t="n">
        <f aca="false">'1. Raw Data'!J115</f>
        <v>3</v>
      </c>
      <c r="K116" s="3" t="n">
        <f aca="false">'1. Raw Data'!K115</f>
        <v>6</v>
      </c>
      <c r="L116" s="3" t="n">
        <f aca="false">'1. Raw Data'!L115</f>
        <v>1</v>
      </c>
      <c r="M116" s="3" t="n">
        <f aca="false">'1. Raw Data'!M115</f>
        <v>4</v>
      </c>
      <c r="N116" s="3" t="str">
        <f aca="false">'1. Raw Data'!N115</f>
        <v>No</v>
      </c>
    </row>
    <row r="117" customFormat="false" ht="15" hidden="false" customHeight="false" outlineLevel="0" collapsed="false">
      <c r="A117" s="3" t="str">
        <f aca="false">'1. Raw Data'!A116</f>
        <v>EMP-0115</v>
      </c>
      <c r="B117" s="3" t="n">
        <f aca="false">'1. Raw Data'!B116</f>
        <v>34</v>
      </c>
      <c r="C117" s="3" t="str">
        <f aca="false">'1. Raw Data'!C116</f>
        <v>Engineering</v>
      </c>
      <c r="D117" s="3" t="str">
        <f aca="false">'1. Raw Data'!D116</f>
        <v>Junior</v>
      </c>
      <c r="E117" s="3" t="str">
        <f aca="false">'1. Raw Data'!E116</f>
        <v>Other</v>
      </c>
      <c r="F117" s="3" t="n">
        <f aca="false">'1. Raw Data'!F116</f>
        <v>1.5</v>
      </c>
      <c r="G117" s="3" t="n">
        <f aca="false">IF('1. Raw Data'!G116="",ROUND(IFERROR(AVERAGEIFS('1. Raw Data'!G2:G1201,'1. Raw Data'!C2:C1201,'1. Raw Data'!C116,'1. Raw Data'!D2:D1201,'1. Raw Data'!D116),0),2),'1. Raw Data'!G116)</f>
        <v>2748.72</v>
      </c>
      <c r="H117" s="3" t="str">
        <f aca="false">PROPER('1. Raw Data'!H116)</f>
        <v>No</v>
      </c>
      <c r="I117" s="3" t="n">
        <f aca="false">'1. Raw Data'!I116</f>
        <v>3</v>
      </c>
      <c r="J117" s="3" t="n">
        <f aca="false">'1. Raw Data'!J116</f>
        <v>2</v>
      </c>
      <c r="K117" s="3" t="n">
        <f aca="false">'1. Raw Data'!K116</f>
        <v>3</v>
      </c>
      <c r="L117" s="3" t="n">
        <f aca="false">'1. Raw Data'!L116</f>
        <v>1</v>
      </c>
      <c r="M117" s="3" t="n">
        <f aca="false">'1. Raw Data'!M116</f>
        <v>1</v>
      </c>
      <c r="N117" s="3" t="str">
        <f aca="false">'1. Raw Data'!N116</f>
        <v>No</v>
      </c>
    </row>
    <row r="118" customFormat="false" ht="15" hidden="false" customHeight="false" outlineLevel="0" collapsed="false">
      <c r="A118" s="3" t="str">
        <f aca="false">'1. Raw Data'!A117</f>
        <v>EMP-0116</v>
      </c>
      <c r="B118" s="3" t="n">
        <f aca="false">'1. Raw Data'!B117</f>
        <v>43</v>
      </c>
      <c r="C118" s="3" t="str">
        <f aca="false">'1. Raw Data'!C117</f>
        <v>Finance</v>
      </c>
      <c r="D118" s="3" t="str">
        <f aca="false">'1. Raw Data'!D117</f>
        <v>Mid</v>
      </c>
      <c r="E118" s="3" t="str">
        <f aca="false">'1. Raw Data'!E117</f>
        <v>Marketing</v>
      </c>
      <c r="F118" s="3" t="n">
        <f aca="false">'1. Raw Data'!F117</f>
        <v>0.1</v>
      </c>
      <c r="G118" s="3" t="n">
        <f aca="false">IF('1. Raw Data'!G117="",ROUND(IFERROR(AVERAGEIFS('1. Raw Data'!G2:G1201,'1. Raw Data'!C2:C1201,'1. Raw Data'!C117,'1. Raw Data'!D2:D1201,'1. Raw Data'!D117),0),2),'1. Raw Data'!G117)</f>
        <v>4459.28</v>
      </c>
      <c r="H118" s="3" t="str">
        <f aca="false">PROPER('1. Raw Data'!H117)</f>
        <v>No</v>
      </c>
      <c r="I118" s="3" t="n">
        <f aca="false">'1. Raw Data'!I117</f>
        <v>4</v>
      </c>
      <c r="J118" s="3" t="n">
        <f aca="false">'1. Raw Data'!J117</f>
        <v>3</v>
      </c>
      <c r="K118" s="3" t="n">
        <f aca="false">'1. Raw Data'!K117</f>
        <v>6</v>
      </c>
      <c r="L118" s="3" t="n">
        <f aca="false">'1. Raw Data'!L117</f>
        <v>0</v>
      </c>
      <c r="M118" s="3" t="n">
        <f aca="false">'1. Raw Data'!M117</f>
        <v>4</v>
      </c>
      <c r="N118" s="3" t="str">
        <f aca="false">'1. Raw Data'!N117</f>
        <v>No</v>
      </c>
    </row>
    <row r="119" customFormat="false" ht="15" hidden="false" customHeight="false" outlineLevel="0" collapsed="false">
      <c r="A119" s="3" t="str">
        <f aca="false">'1. Raw Data'!A118</f>
        <v>EMP-0117</v>
      </c>
      <c r="B119" s="3" t="n">
        <f aca="false">'1. Raw Data'!B118</f>
        <v>45</v>
      </c>
      <c r="C119" s="3" t="str">
        <f aca="false">'1. Raw Data'!C118</f>
        <v>Engineering</v>
      </c>
      <c r="D119" s="3" t="str">
        <f aca="false">'1. Raw Data'!D118</f>
        <v>Mid</v>
      </c>
      <c r="E119" s="3" t="str">
        <f aca="false">'1. Raw Data'!E118</f>
        <v>Other</v>
      </c>
      <c r="F119" s="3" t="n">
        <f aca="false">'1. Raw Data'!F118</f>
        <v>0.1</v>
      </c>
      <c r="G119" s="3" t="n">
        <f aca="false">IF('1. Raw Data'!G118="",ROUND(IFERROR(AVERAGEIFS('1. Raw Data'!G2:G1201,'1. Raw Data'!C2:C1201,'1. Raw Data'!C118,'1. Raw Data'!D2:D1201,'1. Raw Data'!D118),0),2),'1. Raw Data'!G118)</f>
        <v>5488.4</v>
      </c>
      <c r="H119" s="3" t="str">
        <f aca="false">PROPER('1. Raw Data'!H118)</f>
        <v>No</v>
      </c>
      <c r="I119" s="3" t="n">
        <f aca="false">'1. Raw Data'!I118</f>
        <v>3</v>
      </c>
      <c r="J119" s="3" t="n">
        <f aca="false">'1. Raw Data'!J118</f>
        <v>1</v>
      </c>
      <c r="K119" s="3" t="n">
        <f aca="false">'1. Raw Data'!K118</f>
        <v>15</v>
      </c>
      <c r="L119" s="3" t="n">
        <f aca="false">'1. Raw Data'!L118</f>
        <v>0</v>
      </c>
      <c r="M119" s="3" t="n">
        <f aca="false">'1. Raw Data'!M118</f>
        <v>1</v>
      </c>
      <c r="N119" s="3" t="str">
        <f aca="false">'1. Raw Data'!N118</f>
        <v>No</v>
      </c>
    </row>
    <row r="120" customFormat="false" ht="15" hidden="false" customHeight="false" outlineLevel="0" collapsed="false">
      <c r="A120" s="3" t="str">
        <f aca="false">'1. Raw Data'!A119</f>
        <v>EMP-0118</v>
      </c>
      <c r="B120" s="3" t="n">
        <f aca="false">'1. Raw Data'!B119</f>
        <v>46</v>
      </c>
      <c r="C120" s="3" t="str">
        <f aca="false">'1. Raw Data'!C119</f>
        <v>HR</v>
      </c>
      <c r="D120" s="3" t="str">
        <f aca="false">'1. Raw Data'!D119</f>
        <v>Junior</v>
      </c>
      <c r="E120" s="3" t="str">
        <f aca="false">'1. Raw Data'!E119</f>
        <v>Business</v>
      </c>
      <c r="F120" s="3" t="n">
        <f aca="false">'1. Raw Data'!F119</f>
        <v>2.3</v>
      </c>
      <c r="G120" s="3" t="n">
        <f aca="false">IF('1. Raw Data'!G119="",ROUND(IFERROR(AVERAGEIFS('1. Raw Data'!G2:G1201,'1. Raw Data'!C2:C1201,'1. Raw Data'!C119,'1. Raw Data'!D2:D1201,'1. Raw Data'!D119),0),2),'1. Raw Data'!G119)</f>
        <v>3768.37</v>
      </c>
      <c r="H120" s="3" t="str">
        <f aca="false">PROPER('1. Raw Data'!H119)</f>
        <v>Yes</v>
      </c>
      <c r="I120" s="3" t="n">
        <f aca="false">'1. Raw Data'!I119</f>
        <v>3</v>
      </c>
      <c r="J120" s="3" t="n">
        <f aca="false">'1. Raw Data'!J119</f>
        <v>3</v>
      </c>
      <c r="K120" s="3" t="n">
        <f aca="false">'1. Raw Data'!K119</f>
        <v>13</v>
      </c>
      <c r="L120" s="3" t="n">
        <f aca="false">'1. Raw Data'!L119</f>
        <v>2</v>
      </c>
      <c r="M120" s="3" t="n">
        <f aca="false">'1. Raw Data'!M119</f>
        <v>3</v>
      </c>
      <c r="N120" s="3" t="str">
        <f aca="false">'1. Raw Data'!N119</f>
        <v>No</v>
      </c>
    </row>
    <row r="121" customFormat="false" ht="15" hidden="false" customHeight="false" outlineLevel="0" collapsed="false">
      <c r="A121" s="3" t="str">
        <f aca="false">'1. Raw Data'!A120</f>
        <v>EMP-0119</v>
      </c>
      <c r="B121" s="3" t="n">
        <f aca="false">'1. Raw Data'!B120</f>
        <v>39</v>
      </c>
      <c r="C121" s="3" t="str">
        <f aca="false">'1. Raw Data'!C120</f>
        <v>Finance</v>
      </c>
      <c r="D121" s="3" t="str">
        <f aca="false">'1. Raw Data'!D120</f>
        <v>Junior</v>
      </c>
      <c r="E121" s="3" t="str">
        <f aca="false">'1. Raw Data'!E120</f>
        <v>Business</v>
      </c>
      <c r="F121" s="3" t="n">
        <f aca="false">'1. Raw Data'!F120</f>
        <v>7.9</v>
      </c>
      <c r="G121" s="3" t="n">
        <f aca="false">IF('1. Raw Data'!G120="",ROUND(IFERROR(AVERAGEIFS('1. Raw Data'!G2:G1201,'1. Raw Data'!C2:C1201,'1. Raw Data'!C120,'1. Raw Data'!D2:D1201,'1. Raw Data'!D120),0),2),'1. Raw Data'!G120)</f>
        <v>3185.82</v>
      </c>
      <c r="H121" s="3" t="str">
        <f aca="false">PROPER('1. Raw Data'!H120)</f>
        <v>Yes</v>
      </c>
      <c r="I121" s="3" t="n">
        <f aca="false">'1. Raw Data'!I120</f>
        <v>4</v>
      </c>
      <c r="J121" s="3" t="n">
        <f aca="false">'1. Raw Data'!J120</f>
        <v>2</v>
      </c>
      <c r="K121" s="3" t="n">
        <f aca="false">'1. Raw Data'!K120</f>
        <v>8</v>
      </c>
      <c r="L121" s="3" t="n">
        <f aca="false">'1. Raw Data'!L120</f>
        <v>0</v>
      </c>
      <c r="M121" s="3" t="n">
        <f aca="false">'1. Raw Data'!M120</f>
        <v>2</v>
      </c>
      <c r="N121" s="3" t="str">
        <f aca="false">'1. Raw Data'!N120</f>
        <v>No</v>
      </c>
    </row>
    <row r="122" customFormat="false" ht="15" hidden="false" customHeight="false" outlineLevel="0" collapsed="false">
      <c r="A122" s="3" t="str">
        <f aca="false">'1. Raw Data'!A121</f>
        <v>EMP-0120</v>
      </c>
      <c r="B122" s="3" t="n">
        <f aca="false">'1. Raw Data'!B121</f>
        <v>39</v>
      </c>
      <c r="C122" s="3" t="str">
        <f aca="false">'1. Raw Data'!C121</f>
        <v>Engineering</v>
      </c>
      <c r="D122" s="3" t="str">
        <f aca="false">'1. Raw Data'!D121</f>
        <v>Junior</v>
      </c>
      <c r="E122" s="3" t="str">
        <f aca="false">'1. Raw Data'!E121</f>
        <v>Business</v>
      </c>
      <c r="F122" s="3" t="n">
        <f aca="false">'1. Raw Data'!F121</f>
        <v>0.5</v>
      </c>
      <c r="G122" s="3" t="n">
        <f aca="false">IF('1. Raw Data'!G121="",ROUND(IFERROR(AVERAGEIFS('1. Raw Data'!G2:G1201,'1. Raw Data'!C2:C1201,'1. Raw Data'!C121,'1. Raw Data'!D2:D1201,'1. Raw Data'!D121),0),2),'1. Raw Data'!G121)</f>
        <v>3718</v>
      </c>
      <c r="H122" s="3" t="str">
        <f aca="false">PROPER('1. Raw Data'!H121)</f>
        <v>No</v>
      </c>
      <c r="I122" s="3" t="n">
        <f aca="false">'1. Raw Data'!I121</f>
        <v>3</v>
      </c>
      <c r="J122" s="3" t="n">
        <f aca="false">'1. Raw Data'!J121</f>
        <v>3</v>
      </c>
      <c r="K122" s="3" t="n">
        <f aca="false">'1. Raw Data'!K121</f>
        <v>30</v>
      </c>
      <c r="L122" s="3" t="n">
        <f aca="false">'1. Raw Data'!L121</f>
        <v>0</v>
      </c>
      <c r="M122" s="3" t="n">
        <f aca="false">'1. Raw Data'!M121</f>
        <v>1</v>
      </c>
      <c r="N122" s="3" t="str">
        <f aca="false">'1. Raw Data'!N121</f>
        <v>No</v>
      </c>
    </row>
    <row r="123" customFormat="false" ht="15" hidden="false" customHeight="false" outlineLevel="0" collapsed="false">
      <c r="A123" s="3" t="str">
        <f aca="false">'1. Raw Data'!A122</f>
        <v>EMP-0121</v>
      </c>
      <c r="B123" s="3" t="n">
        <f aca="false">'1. Raw Data'!B122</f>
        <v>31</v>
      </c>
      <c r="C123" s="3" t="str">
        <f aca="false">'1. Raw Data'!C122</f>
        <v>Finance</v>
      </c>
      <c r="D123" s="3" t="str">
        <f aca="false">'1. Raw Data'!D122</f>
        <v>Junior</v>
      </c>
      <c r="E123" s="3" t="str">
        <f aca="false">'1. Raw Data'!E122</f>
        <v>Technical</v>
      </c>
      <c r="F123" s="3" t="n">
        <f aca="false">'1. Raw Data'!F122</f>
        <v>10</v>
      </c>
      <c r="G123" s="3" t="n">
        <f aca="false">IF('1. Raw Data'!G122="",ROUND(IFERROR(AVERAGEIFS('1. Raw Data'!G2:G1201,'1. Raw Data'!C2:C1201,'1. Raw Data'!C122,'1. Raw Data'!D2:D1201,'1. Raw Data'!D122),0),2),'1. Raw Data'!G122)</f>
        <v>3481.39</v>
      </c>
      <c r="H123" s="3" t="str">
        <f aca="false">PROPER('1. Raw Data'!H122)</f>
        <v>No</v>
      </c>
      <c r="I123" s="3" t="n">
        <f aca="false">'1. Raw Data'!I122</f>
        <v>3</v>
      </c>
      <c r="J123" s="3" t="n">
        <f aca="false">'1. Raw Data'!J122</f>
        <v>4</v>
      </c>
      <c r="K123" s="3" t="n">
        <f aca="false">'1. Raw Data'!K122</f>
        <v>2</v>
      </c>
      <c r="L123" s="3" t="n">
        <f aca="false">'1. Raw Data'!L122</f>
        <v>8</v>
      </c>
      <c r="M123" s="3" t="n">
        <f aca="false">'1. Raw Data'!M122</f>
        <v>1</v>
      </c>
      <c r="N123" s="3" t="str">
        <f aca="false">'1. Raw Data'!N122</f>
        <v>No</v>
      </c>
    </row>
    <row r="124" customFormat="false" ht="15" hidden="false" customHeight="false" outlineLevel="0" collapsed="false">
      <c r="A124" s="3" t="str">
        <f aca="false">'1. Raw Data'!A123</f>
        <v>EMP-0122</v>
      </c>
      <c r="B124" s="3" t="n">
        <f aca="false">'1. Raw Data'!B123</f>
        <v>37</v>
      </c>
      <c r="C124" s="3" t="str">
        <f aca="false">'1. Raw Data'!C123</f>
        <v>Sales</v>
      </c>
      <c r="D124" s="3" t="str">
        <f aca="false">'1. Raw Data'!D123</f>
        <v>Senior</v>
      </c>
      <c r="E124" s="3" t="str">
        <f aca="false">'1. Raw Data'!E123</f>
        <v>Other</v>
      </c>
      <c r="F124" s="3" t="n">
        <f aca="false">'1. Raw Data'!F123</f>
        <v>0.3</v>
      </c>
      <c r="G124" s="3" t="n">
        <f aca="false">IF('1. Raw Data'!G123="",ROUND(IFERROR(AVERAGEIFS('1. Raw Data'!G2:G1201,'1. Raw Data'!C2:C1201,'1. Raw Data'!C123,'1. Raw Data'!D2:D1201,'1. Raw Data'!D123),0),2),'1. Raw Data'!G123)</f>
        <v>7317.74</v>
      </c>
      <c r="H124" s="3" t="str">
        <f aca="false">PROPER('1. Raw Data'!H123)</f>
        <v>No</v>
      </c>
      <c r="I124" s="3" t="n">
        <f aca="false">'1. Raw Data'!I123</f>
        <v>2</v>
      </c>
      <c r="J124" s="3" t="n">
        <f aca="false">'1. Raw Data'!J123</f>
        <v>3</v>
      </c>
      <c r="K124" s="3" t="n">
        <f aca="false">'1. Raw Data'!K123</f>
        <v>8</v>
      </c>
      <c r="L124" s="3" t="n">
        <f aca="false">'1. Raw Data'!L123</f>
        <v>0</v>
      </c>
      <c r="M124" s="3" t="n">
        <f aca="false">'1. Raw Data'!M123</f>
        <v>1</v>
      </c>
      <c r="N124" s="3" t="str">
        <f aca="false">'1. Raw Data'!N123</f>
        <v>No</v>
      </c>
    </row>
    <row r="125" customFormat="false" ht="15" hidden="false" customHeight="false" outlineLevel="0" collapsed="false">
      <c r="A125" s="3" t="str">
        <f aca="false">'1. Raw Data'!A124</f>
        <v>EMP-0123</v>
      </c>
      <c r="B125" s="3" t="n">
        <f aca="false">'1. Raw Data'!B124</f>
        <v>33</v>
      </c>
      <c r="C125" s="3" t="str">
        <f aca="false">'1. Raw Data'!C124</f>
        <v>Sales</v>
      </c>
      <c r="D125" s="3" t="str">
        <f aca="false">'1. Raw Data'!D124</f>
        <v>Lead</v>
      </c>
      <c r="E125" s="3" t="str">
        <f aca="false">'1. Raw Data'!E124</f>
        <v>Other</v>
      </c>
      <c r="F125" s="3" t="n">
        <f aca="false">'1. Raw Data'!F124</f>
        <v>9.3</v>
      </c>
      <c r="G125" s="3" t="n">
        <f aca="false">IF('1. Raw Data'!G124="",ROUND(IFERROR(AVERAGEIFS('1. Raw Data'!G2:G1201,'1. Raw Data'!C2:C1201,'1. Raw Data'!C124,'1. Raw Data'!D2:D1201,'1. Raw Data'!D124),0),2),'1. Raw Data'!G124)</f>
        <v>11195.33</v>
      </c>
      <c r="H125" s="3" t="str">
        <f aca="false">PROPER('1. Raw Data'!H124)</f>
        <v>Yes</v>
      </c>
      <c r="I125" s="3" t="n">
        <f aca="false">'1. Raw Data'!I124</f>
        <v>4</v>
      </c>
      <c r="J125" s="3" t="n">
        <f aca="false">'1. Raw Data'!J124</f>
        <v>4</v>
      </c>
      <c r="K125" s="3" t="n">
        <f aca="false">'1. Raw Data'!K124</f>
        <v>13</v>
      </c>
      <c r="L125" s="3" t="n">
        <f aca="false">'1. Raw Data'!L124</f>
        <v>0</v>
      </c>
      <c r="M125" s="3" t="n">
        <f aca="false">'1. Raw Data'!M124</f>
        <v>2</v>
      </c>
      <c r="N125" s="3" t="str">
        <f aca="false">'1. Raw Data'!N124</f>
        <v>No</v>
      </c>
    </row>
    <row r="126" customFormat="false" ht="15" hidden="false" customHeight="false" outlineLevel="0" collapsed="false">
      <c r="A126" s="3" t="str">
        <f aca="false">'1. Raw Data'!A125</f>
        <v>EMP-0124</v>
      </c>
      <c r="B126" s="3" t="n">
        <f aca="false">'1. Raw Data'!B125</f>
        <v>36</v>
      </c>
      <c r="C126" s="3" t="str">
        <f aca="false">'1. Raw Data'!C125</f>
        <v>Marketing</v>
      </c>
      <c r="D126" s="3" t="str">
        <f aca="false">'1. Raw Data'!D125</f>
        <v>Junior</v>
      </c>
      <c r="E126" s="3" t="str">
        <f aca="false">'1. Raw Data'!E125</f>
        <v>Technical</v>
      </c>
      <c r="F126" s="3" t="n">
        <f aca="false">'1. Raw Data'!F125</f>
        <v>0.3</v>
      </c>
      <c r="G126" s="3" t="n">
        <f aca="false">IF('1. Raw Data'!G125="",ROUND(IFERROR(AVERAGEIFS('1. Raw Data'!G2:G1201,'1. Raw Data'!C2:C1201,'1. Raw Data'!C125,'1. Raw Data'!D2:D1201,'1. Raw Data'!D125),0),2),'1. Raw Data'!G125)</f>
        <v>2727.96</v>
      </c>
      <c r="H126" s="3" t="str">
        <f aca="false">PROPER('1. Raw Data'!H125)</f>
        <v>No</v>
      </c>
      <c r="I126" s="3" t="n">
        <f aca="false">'1. Raw Data'!I125</f>
        <v>3</v>
      </c>
      <c r="J126" s="3" t="n">
        <f aca="false">'1. Raw Data'!J125</f>
        <v>3</v>
      </c>
      <c r="K126" s="3" t="n">
        <f aca="false">'1. Raw Data'!K125</f>
        <v>24</v>
      </c>
      <c r="L126" s="3" t="n">
        <f aca="false">'1. Raw Data'!L125</f>
        <v>0</v>
      </c>
      <c r="M126" s="3" t="n">
        <f aca="false">'1. Raw Data'!M125</f>
        <v>3</v>
      </c>
      <c r="N126" s="3" t="str">
        <f aca="false">'1. Raw Data'!N125</f>
        <v>No</v>
      </c>
    </row>
    <row r="127" customFormat="false" ht="15" hidden="false" customHeight="false" outlineLevel="0" collapsed="false">
      <c r="A127" s="3" t="str">
        <f aca="false">'1. Raw Data'!A126</f>
        <v>EMP-0125</v>
      </c>
      <c r="B127" s="3" t="n">
        <f aca="false">'1. Raw Data'!B126</f>
        <v>39</v>
      </c>
      <c r="C127" s="3" t="str">
        <f aca="false">'1. Raw Data'!C126</f>
        <v>Sales</v>
      </c>
      <c r="D127" s="3" t="str">
        <f aca="false">'1. Raw Data'!D126</f>
        <v>Senior</v>
      </c>
      <c r="E127" s="3" t="str">
        <f aca="false">'1. Raw Data'!E126</f>
        <v>Business</v>
      </c>
      <c r="F127" s="3" t="n">
        <f aca="false">'1. Raw Data'!F126</f>
        <v>1.9</v>
      </c>
      <c r="G127" s="3" t="n">
        <f aca="false">IF('1. Raw Data'!G126="",ROUND(IFERROR(AVERAGEIFS('1. Raw Data'!G2:G1201,'1. Raw Data'!C2:C1201,'1. Raw Data'!C126,'1. Raw Data'!D2:D1201,'1. Raw Data'!D126),0),2),'1. Raw Data'!G126)</f>
        <v>7410.1</v>
      </c>
      <c r="H127" s="3" t="str">
        <f aca="false">PROPER('1. Raw Data'!H126)</f>
        <v>Yes</v>
      </c>
      <c r="I127" s="3" t="n">
        <f aca="false">'1. Raw Data'!I126</f>
        <v>3</v>
      </c>
      <c r="J127" s="3" t="n">
        <f aca="false">'1. Raw Data'!J126</f>
        <v>2</v>
      </c>
      <c r="K127" s="3" t="n">
        <f aca="false">'1. Raw Data'!K126</f>
        <v>7</v>
      </c>
      <c r="L127" s="3" t="n">
        <f aca="false">'1. Raw Data'!L126</f>
        <v>1</v>
      </c>
      <c r="M127" s="3" t="n">
        <f aca="false">'1. Raw Data'!M126</f>
        <v>4</v>
      </c>
      <c r="N127" s="3" t="str">
        <f aca="false">'1. Raw Data'!N126</f>
        <v>No</v>
      </c>
    </row>
    <row r="128" customFormat="false" ht="15" hidden="false" customHeight="false" outlineLevel="0" collapsed="false">
      <c r="A128" s="3" t="str">
        <f aca="false">'1. Raw Data'!A127</f>
        <v>EMP-0126</v>
      </c>
      <c r="B128" s="3" t="n">
        <f aca="false">'1. Raw Data'!B127</f>
        <v>22</v>
      </c>
      <c r="C128" s="3" t="str">
        <f aca="false">'1. Raw Data'!C127</f>
        <v>Marketing</v>
      </c>
      <c r="D128" s="3" t="str">
        <f aca="false">'1. Raw Data'!D127</f>
        <v>Junior</v>
      </c>
      <c r="E128" s="3" t="str">
        <f aca="false">'1. Raw Data'!E127</f>
        <v>Technical</v>
      </c>
      <c r="F128" s="3" t="n">
        <f aca="false">'1. Raw Data'!F127</f>
        <v>1</v>
      </c>
      <c r="G128" s="3" t="n">
        <f aca="false">IF('1. Raw Data'!G127="",ROUND(IFERROR(AVERAGEIFS('1. Raw Data'!G2:G1201,'1. Raw Data'!C2:C1201,'1. Raw Data'!C127,'1. Raw Data'!D2:D1201,'1. Raw Data'!D127),0),2),'1. Raw Data'!G127)</f>
        <v>3333.12</v>
      </c>
      <c r="H128" s="3" t="str">
        <f aca="false">PROPER('1. Raw Data'!H127)</f>
        <v>No</v>
      </c>
      <c r="I128" s="3" t="n">
        <f aca="false">'1. Raw Data'!I127</f>
        <v>2</v>
      </c>
      <c r="J128" s="3" t="n">
        <f aca="false">'1. Raw Data'!J127</f>
        <v>3</v>
      </c>
      <c r="K128" s="3" t="n">
        <f aca="false">'1. Raw Data'!K127</f>
        <v>2</v>
      </c>
      <c r="L128" s="3" t="n">
        <f aca="false">'1. Raw Data'!L127</f>
        <v>1</v>
      </c>
      <c r="M128" s="3" t="n">
        <f aca="false">'1. Raw Data'!M127</f>
        <v>3</v>
      </c>
      <c r="N128" s="3" t="str">
        <f aca="false">'1. Raw Data'!N127</f>
        <v>Yes</v>
      </c>
    </row>
    <row r="129" customFormat="false" ht="15" hidden="false" customHeight="false" outlineLevel="0" collapsed="false">
      <c r="A129" s="3" t="str">
        <f aca="false">'1. Raw Data'!A128</f>
        <v>EMP-0127</v>
      </c>
      <c r="B129" s="3" t="n">
        <f aca="false">'1. Raw Data'!B128</f>
        <v>36</v>
      </c>
      <c r="C129" s="3" t="str">
        <f aca="false">'1. Raw Data'!C128</f>
        <v>Sales</v>
      </c>
      <c r="D129" s="3" t="str">
        <f aca="false">'1. Raw Data'!D128</f>
        <v>Junior</v>
      </c>
      <c r="E129" s="3" t="str">
        <f aca="false">'1. Raw Data'!E128</f>
        <v>Marketing</v>
      </c>
      <c r="F129" s="3" t="n">
        <f aca="false">'1. Raw Data'!F128</f>
        <v>0.4</v>
      </c>
      <c r="G129" s="3" t="n">
        <f aca="false">IF('1. Raw Data'!G128="",ROUND(IFERROR(AVERAGEIFS('1. Raw Data'!G2:G1201,'1. Raw Data'!C2:C1201,'1. Raw Data'!C128,'1. Raw Data'!D2:D1201,'1. Raw Data'!D128),0),2),'1. Raw Data'!G128)</f>
        <v>2832.2</v>
      </c>
      <c r="H129" s="3" t="str">
        <f aca="false">PROPER('1. Raw Data'!H128)</f>
        <v>No</v>
      </c>
      <c r="I129" s="3" t="n">
        <f aca="false">'1. Raw Data'!I128</f>
        <v>3</v>
      </c>
      <c r="J129" s="3" t="n">
        <f aca="false">'1. Raw Data'!J128</f>
        <v>1</v>
      </c>
      <c r="K129" s="3" t="n">
        <f aca="false">'1. Raw Data'!K128</f>
        <v>5</v>
      </c>
      <c r="L129" s="3" t="n">
        <f aca="false">'1. Raw Data'!L128</f>
        <v>0</v>
      </c>
      <c r="M129" s="3" t="n">
        <f aca="false">'1. Raw Data'!M128</f>
        <v>1</v>
      </c>
      <c r="N129" s="3" t="str">
        <f aca="false">'1. Raw Data'!N128</f>
        <v>No</v>
      </c>
    </row>
    <row r="130" customFormat="false" ht="15" hidden="false" customHeight="false" outlineLevel="0" collapsed="false">
      <c r="A130" s="3" t="str">
        <f aca="false">'1. Raw Data'!A129</f>
        <v>EMP-0128</v>
      </c>
      <c r="B130" s="3" t="n">
        <f aca="false">'1. Raw Data'!B129</f>
        <v>23</v>
      </c>
      <c r="C130" s="3" t="str">
        <f aca="false">'1. Raw Data'!C129</f>
        <v>Customer Support</v>
      </c>
      <c r="D130" s="3" t="str">
        <f aca="false">'1. Raw Data'!D129</f>
        <v>Junior</v>
      </c>
      <c r="E130" s="3" t="str">
        <f aca="false">'1. Raw Data'!E129</f>
        <v>Other</v>
      </c>
      <c r="F130" s="3" t="n">
        <f aca="false">'1. Raw Data'!F129</f>
        <v>0.2</v>
      </c>
      <c r="G130" s="3" t="n">
        <f aca="false">IF('1. Raw Data'!G129="",ROUND(IFERROR(AVERAGEIFS('1. Raw Data'!G2:G1201,'1. Raw Data'!C2:C1201,'1. Raw Data'!C129,'1. Raw Data'!D2:D1201,'1. Raw Data'!D129),0),2),'1. Raw Data'!G129)</f>
        <v>3538.07</v>
      </c>
      <c r="H130" s="3" t="str">
        <f aca="false">PROPER('1. Raw Data'!H129)</f>
        <v>No</v>
      </c>
      <c r="I130" s="3" t="n">
        <f aca="false">'1. Raw Data'!I129</f>
        <v>1</v>
      </c>
      <c r="J130" s="3" t="n">
        <f aca="false">'1. Raw Data'!J129</f>
        <v>3</v>
      </c>
      <c r="K130" s="3" t="n">
        <f aca="false">'1. Raw Data'!K129</f>
        <v>14</v>
      </c>
      <c r="L130" s="3" t="n">
        <f aca="false">'1. Raw Data'!L129</f>
        <v>0</v>
      </c>
      <c r="M130" s="3" t="n">
        <f aca="false">'1. Raw Data'!M129</f>
        <v>1</v>
      </c>
      <c r="N130" s="3" t="str">
        <f aca="false">'1. Raw Data'!N129</f>
        <v>No</v>
      </c>
    </row>
    <row r="131" customFormat="false" ht="15" hidden="false" customHeight="false" outlineLevel="0" collapsed="false">
      <c r="A131" s="3" t="str">
        <f aca="false">'1. Raw Data'!A130</f>
        <v>EMP-0129</v>
      </c>
      <c r="B131" s="3" t="n">
        <f aca="false">'1. Raw Data'!B130</f>
        <v>21</v>
      </c>
      <c r="C131" s="3" t="str">
        <f aca="false">'1. Raw Data'!C130</f>
        <v>Customer Support</v>
      </c>
      <c r="D131" s="3" t="str">
        <f aca="false">'1. Raw Data'!D130</f>
        <v>Junior</v>
      </c>
      <c r="E131" s="3" t="str">
        <f aca="false">'1. Raw Data'!E130</f>
        <v>Marketing</v>
      </c>
      <c r="F131" s="3" t="n">
        <f aca="false">'1. Raw Data'!F130</f>
        <v>0</v>
      </c>
      <c r="G131" s="3" t="n">
        <f aca="false">IF('1. Raw Data'!G130="",ROUND(IFERROR(AVERAGEIFS('1. Raw Data'!G2:G1201,'1. Raw Data'!C2:C1201,'1. Raw Data'!C130,'1. Raw Data'!D2:D1201,'1. Raw Data'!D130),0),2),'1. Raw Data'!G130)</f>
        <v>2960.28</v>
      </c>
      <c r="H131" s="3" t="str">
        <f aca="false">PROPER('1. Raw Data'!H130)</f>
        <v>Yes</v>
      </c>
      <c r="I131" s="3" t="n">
        <f aca="false">'1. Raw Data'!I130</f>
        <v>3</v>
      </c>
      <c r="J131" s="3" t="n">
        <f aca="false">'1. Raw Data'!J130</f>
        <v>2</v>
      </c>
      <c r="K131" s="3" t="n">
        <f aca="false">'1. Raw Data'!K130</f>
        <v>12</v>
      </c>
      <c r="L131" s="3" t="n">
        <f aca="false">'1. Raw Data'!L130</f>
        <v>0</v>
      </c>
      <c r="M131" s="3" t="n">
        <f aca="false">'1. Raw Data'!M130</f>
        <v>1</v>
      </c>
      <c r="N131" s="3" t="str">
        <f aca="false">'1. Raw Data'!N130</f>
        <v>Yes</v>
      </c>
    </row>
    <row r="132" customFormat="false" ht="15" hidden="false" customHeight="false" outlineLevel="0" collapsed="false">
      <c r="A132" s="3" t="str">
        <f aca="false">'1. Raw Data'!A131</f>
        <v>EMP-0130</v>
      </c>
      <c r="B132" s="3" t="n">
        <f aca="false">'1. Raw Data'!B131</f>
        <v>35</v>
      </c>
      <c r="C132" s="3" t="str">
        <f aca="false">'1. Raw Data'!C131</f>
        <v>Finance</v>
      </c>
      <c r="D132" s="3" t="str">
        <f aca="false">'1. Raw Data'!D131</f>
        <v>Lead</v>
      </c>
      <c r="E132" s="3" t="str">
        <f aca="false">'1. Raw Data'!E131</f>
        <v>Business</v>
      </c>
      <c r="F132" s="3" t="n">
        <f aca="false">'1. Raw Data'!F131</f>
        <v>8.3</v>
      </c>
      <c r="G132" s="3" t="n">
        <f aca="false">IF('1. Raw Data'!G131="",ROUND(IFERROR(AVERAGEIFS('1. Raw Data'!G2:G1201,'1. Raw Data'!C2:C1201,'1. Raw Data'!C131,'1. Raw Data'!D2:D1201,'1. Raw Data'!D131),0),2),'1. Raw Data'!G131)</f>
        <v>10295.51</v>
      </c>
      <c r="H132" s="3" t="str">
        <f aca="false">PROPER('1. Raw Data'!H131)</f>
        <v>No</v>
      </c>
      <c r="I132" s="3" t="n">
        <f aca="false">'1. Raw Data'!I131</f>
        <v>4</v>
      </c>
      <c r="J132" s="3" t="n">
        <f aca="false">'1. Raw Data'!J131</f>
        <v>4</v>
      </c>
      <c r="K132" s="3" t="n">
        <f aca="false">'1. Raw Data'!K131</f>
        <v>2</v>
      </c>
      <c r="L132" s="3" t="n">
        <f aca="false">'1. Raw Data'!L131</f>
        <v>3</v>
      </c>
      <c r="M132" s="3" t="n">
        <f aca="false">'1. Raw Data'!M131</f>
        <v>3</v>
      </c>
      <c r="N132" s="3" t="str">
        <f aca="false">'1. Raw Data'!N131</f>
        <v>No</v>
      </c>
    </row>
    <row r="133" customFormat="false" ht="15" hidden="false" customHeight="false" outlineLevel="0" collapsed="false">
      <c r="A133" s="3" t="str">
        <f aca="false">'1. Raw Data'!A132</f>
        <v>EMP-0131</v>
      </c>
      <c r="B133" s="3" t="n">
        <f aca="false">'1. Raw Data'!B132</f>
        <v>47</v>
      </c>
      <c r="C133" s="3" t="str">
        <f aca="false">'1. Raw Data'!C132</f>
        <v>Sales</v>
      </c>
      <c r="D133" s="3" t="str">
        <f aca="false">'1. Raw Data'!D132</f>
        <v>Senior</v>
      </c>
      <c r="E133" s="3" t="str">
        <f aca="false">'1. Raw Data'!E132</f>
        <v>Technical</v>
      </c>
      <c r="F133" s="3" t="n">
        <f aca="false">'1. Raw Data'!F132</f>
        <v>3.5</v>
      </c>
      <c r="G133" s="3" t="n">
        <f aca="false">IF('1. Raw Data'!G132="",ROUND(IFERROR(AVERAGEIFS('1. Raw Data'!G2:G1201,'1. Raw Data'!C2:C1201,'1. Raw Data'!C132,'1. Raw Data'!D2:D1201,'1. Raw Data'!D132),0),2),'1. Raw Data'!G132)</f>
        <v>6287.14</v>
      </c>
      <c r="H133" s="3" t="str">
        <f aca="false">PROPER('1. Raw Data'!H132)</f>
        <v>Yes</v>
      </c>
      <c r="I133" s="3" t="n">
        <f aca="false">'1. Raw Data'!I132</f>
        <v>3</v>
      </c>
      <c r="J133" s="3" t="n">
        <f aca="false">'1. Raw Data'!J132</f>
        <v>4</v>
      </c>
      <c r="K133" s="3" t="n">
        <f aca="false">'1. Raw Data'!K132</f>
        <v>2</v>
      </c>
      <c r="L133" s="3" t="n">
        <f aca="false">'1. Raw Data'!L132</f>
        <v>3</v>
      </c>
      <c r="M133" s="3" t="n">
        <f aca="false">'1. Raw Data'!M132</f>
        <v>1</v>
      </c>
      <c r="N133" s="3" t="str">
        <f aca="false">'1. Raw Data'!N132</f>
        <v>No</v>
      </c>
    </row>
    <row r="134" customFormat="false" ht="15" hidden="false" customHeight="false" outlineLevel="0" collapsed="false">
      <c r="A134" s="3" t="str">
        <f aca="false">'1. Raw Data'!A133</f>
        <v>EMP-0132</v>
      </c>
      <c r="B134" s="3" t="n">
        <f aca="false">'1. Raw Data'!B133</f>
        <v>44</v>
      </c>
      <c r="C134" s="3" t="str">
        <f aca="false">'1. Raw Data'!C133</f>
        <v>Customer Support</v>
      </c>
      <c r="D134" s="3" t="str">
        <f aca="false">'1. Raw Data'!D133</f>
        <v>Junior</v>
      </c>
      <c r="E134" s="3" t="str">
        <f aca="false">'1. Raw Data'!E133</f>
        <v>Other</v>
      </c>
      <c r="F134" s="3" t="n">
        <f aca="false">'1. Raw Data'!F133</f>
        <v>1.5</v>
      </c>
      <c r="G134" s="3" t="n">
        <f aca="false">IF('1. Raw Data'!G133="",ROUND(IFERROR(AVERAGEIFS('1. Raw Data'!G2:G1201,'1. Raw Data'!C2:C1201,'1. Raw Data'!C133,'1. Raw Data'!D2:D1201,'1. Raw Data'!D133),0),2),'1. Raw Data'!G133)</f>
        <v>2874.45</v>
      </c>
      <c r="H134" s="3" t="str">
        <f aca="false">PROPER('1. Raw Data'!H133)</f>
        <v>Yes</v>
      </c>
      <c r="I134" s="3" t="n">
        <f aca="false">'1. Raw Data'!I133</f>
        <v>3</v>
      </c>
      <c r="J134" s="3" t="n">
        <f aca="false">'1. Raw Data'!J133</f>
        <v>1</v>
      </c>
      <c r="K134" s="3" t="n">
        <f aca="false">'1. Raw Data'!K133</f>
        <v>9</v>
      </c>
      <c r="L134" s="3" t="n">
        <f aca="false">'1. Raw Data'!L133</f>
        <v>1</v>
      </c>
      <c r="M134" s="3" t="n">
        <f aca="false">'1. Raw Data'!M133</f>
        <v>3</v>
      </c>
      <c r="N134" s="3" t="str">
        <f aca="false">'1. Raw Data'!N133</f>
        <v>Yes</v>
      </c>
    </row>
    <row r="135" customFormat="false" ht="15" hidden="false" customHeight="false" outlineLevel="0" collapsed="false">
      <c r="A135" s="3" t="str">
        <f aca="false">'1. Raw Data'!A134</f>
        <v>EMP-0133</v>
      </c>
      <c r="B135" s="3" t="n">
        <f aca="false">'1. Raw Data'!B134</f>
        <v>21</v>
      </c>
      <c r="C135" s="3" t="str">
        <f aca="false">'1. Raw Data'!C134</f>
        <v>Sales</v>
      </c>
      <c r="D135" s="3" t="str">
        <f aca="false">'1. Raw Data'!D134</f>
        <v>Senior</v>
      </c>
      <c r="E135" s="3" t="str">
        <f aca="false">'1. Raw Data'!E134</f>
        <v>Other</v>
      </c>
      <c r="F135" s="3" t="n">
        <f aca="false">'1. Raw Data'!F134</f>
        <v>0</v>
      </c>
      <c r="G135" s="3" t="n">
        <f aca="false">IF('1. Raw Data'!G134="",ROUND(IFERROR(AVERAGEIFS('1. Raw Data'!G2:G1201,'1. Raw Data'!C2:C1201,'1. Raw Data'!C134,'1. Raw Data'!D2:D1201,'1. Raw Data'!D134),0),2),'1. Raw Data'!G134)</f>
        <v>6846.78</v>
      </c>
      <c r="H135" s="3" t="str">
        <f aca="false">PROPER('1. Raw Data'!H134)</f>
        <v>Yes</v>
      </c>
      <c r="I135" s="3" t="n">
        <f aca="false">'1. Raw Data'!I134</f>
        <v>1</v>
      </c>
      <c r="J135" s="3" t="n">
        <f aca="false">'1. Raw Data'!J134</f>
        <v>2</v>
      </c>
      <c r="K135" s="3" t="n">
        <f aca="false">'1. Raw Data'!K134</f>
        <v>1</v>
      </c>
      <c r="L135" s="3" t="n">
        <f aca="false">'1. Raw Data'!L134</f>
        <v>0</v>
      </c>
      <c r="M135" s="3" t="n">
        <f aca="false">'1. Raw Data'!M134</f>
        <v>5</v>
      </c>
      <c r="N135" s="3" t="str">
        <f aca="false">'1. Raw Data'!N134</f>
        <v>Yes</v>
      </c>
    </row>
    <row r="136" customFormat="false" ht="15" hidden="false" customHeight="false" outlineLevel="0" collapsed="false">
      <c r="A136" s="3" t="str">
        <f aca="false">'1. Raw Data'!A135</f>
        <v>EMP-0134</v>
      </c>
      <c r="B136" s="3" t="n">
        <f aca="false">'1. Raw Data'!B135</f>
        <v>47</v>
      </c>
      <c r="C136" s="3" t="str">
        <f aca="false">'1. Raw Data'!C135</f>
        <v>Customer Support</v>
      </c>
      <c r="D136" s="3" t="str">
        <f aca="false">'1. Raw Data'!D135</f>
        <v>Mid</v>
      </c>
      <c r="E136" s="3" t="str">
        <f aca="false">'1. Raw Data'!E135</f>
        <v>Other</v>
      </c>
      <c r="F136" s="3" t="n">
        <f aca="false">'1. Raw Data'!F135</f>
        <v>2.9</v>
      </c>
      <c r="G136" s="3" t="n">
        <f aca="false">IF('1. Raw Data'!G135="",ROUND(IFERROR(AVERAGEIFS('1. Raw Data'!G2:G1201,'1. Raw Data'!C2:C1201,'1. Raw Data'!C135,'1. Raw Data'!D2:D1201,'1. Raw Data'!D135),0),2),'1. Raw Data'!G135)</f>
        <v>5484.38</v>
      </c>
      <c r="H136" s="3" t="str">
        <f aca="false">PROPER('1. Raw Data'!H135)</f>
        <v>Yes</v>
      </c>
      <c r="I136" s="3" t="n">
        <f aca="false">'1. Raw Data'!I135</f>
        <v>3</v>
      </c>
      <c r="J136" s="3" t="n">
        <f aca="false">'1. Raw Data'!J135</f>
        <v>2</v>
      </c>
      <c r="K136" s="3" t="n">
        <f aca="false">'1. Raw Data'!K135</f>
        <v>2</v>
      </c>
      <c r="L136" s="3" t="n">
        <f aca="false">'1. Raw Data'!L135</f>
        <v>1</v>
      </c>
      <c r="M136" s="3" t="n">
        <f aca="false">'1. Raw Data'!M135</f>
        <v>3</v>
      </c>
      <c r="N136" s="3" t="str">
        <f aca="false">'1. Raw Data'!N135</f>
        <v>Yes</v>
      </c>
    </row>
    <row r="137" customFormat="false" ht="15" hidden="false" customHeight="false" outlineLevel="0" collapsed="false">
      <c r="A137" s="3" t="str">
        <f aca="false">'1. Raw Data'!A136</f>
        <v>EMP-0135</v>
      </c>
      <c r="B137" s="3" t="n">
        <f aca="false">'1. Raw Data'!B136</f>
        <v>38</v>
      </c>
      <c r="C137" s="3" t="str">
        <f aca="false">'1. Raw Data'!C136</f>
        <v>Marketing</v>
      </c>
      <c r="D137" s="3" t="str">
        <f aca="false">'1. Raw Data'!D136</f>
        <v>Junior</v>
      </c>
      <c r="E137" s="3" t="str">
        <f aca="false">'1. Raw Data'!E136</f>
        <v>Technical</v>
      </c>
      <c r="F137" s="3" t="n">
        <f aca="false">'1. Raw Data'!F136</f>
        <v>0.5</v>
      </c>
      <c r="G137" s="3" t="n">
        <f aca="false">IF('1. Raw Data'!G136="",ROUND(IFERROR(AVERAGEIFS('1. Raw Data'!G2:G1201,'1. Raw Data'!C2:C1201,'1. Raw Data'!C136,'1. Raw Data'!D2:D1201,'1. Raw Data'!D136),0),2),'1. Raw Data'!G136)</f>
        <v>3647.98</v>
      </c>
      <c r="H137" s="3" t="str">
        <f aca="false">PROPER('1. Raw Data'!H136)</f>
        <v>No</v>
      </c>
      <c r="I137" s="3" t="n">
        <f aca="false">'1. Raw Data'!I136</f>
        <v>1</v>
      </c>
      <c r="J137" s="3" t="n">
        <f aca="false">'1. Raw Data'!J136</f>
        <v>4</v>
      </c>
      <c r="K137" s="3" t="n">
        <f aca="false">'1. Raw Data'!K136</f>
        <v>7</v>
      </c>
      <c r="L137" s="3" t="n">
        <f aca="false">'1. Raw Data'!L136</f>
        <v>0</v>
      </c>
      <c r="M137" s="3" t="n">
        <f aca="false">'1. Raw Data'!M136</f>
        <v>4</v>
      </c>
      <c r="N137" s="3" t="str">
        <f aca="false">'1. Raw Data'!N136</f>
        <v>No</v>
      </c>
    </row>
    <row r="138" customFormat="false" ht="15" hidden="false" customHeight="false" outlineLevel="0" collapsed="false">
      <c r="A138" s="3" t="str">
        <f aca="false">'1. Raw Data'!A137</f>
        <v>EMP-0136</v>
      </c>
      <c r="B138" s="3" t="n">
        <f aca="false">'1. Raw Data'!B137</f>
        <v>35</v>
      </c>
      <c r="C138" s="3" t="str">
        <f aca="false">'1. Raw Data'!C137</f>
        <v>Marketing</v>
      </c>
      <c r="D138" s="3" t="str">
        <f aca="false">'1. Raw Data'!D137</f>
        <v>Junior</v>
      </c>
      <c r="E138" s="3" t="str">
        <f aca="false">'1. Raw Data'!E137</f>
        <v>Technical</v>
      </c>
      <c r="F138" s="3" t="n">
        <f aca="false">'1. Raw Data'!F137</f>
        <v>10.4</v>
      </c>
      <c r="G138" s="3" t="n">
        <f aca="false">IF('1. Raw Data'!G137="",ROUND(IFERROR(AVERAGEIFS('1. Raw Data'!G2:G1201,'1. Raw Data'!C2:C1201,'1. Raw Data'!C137,'1. Raw Data'!D2:D1201,'1. Raw Data'!D137),0),2),'1. Raw Data'!G137)</f>
        <v>3247.49</v>
      </c>
      <c r="H138" s="3" t="str">
        <f aca="false">PROPER('1. Raw Data'!H137)</f>
        <v>No</v>
      </c>
      <c r="I138" s="3" t="n">
        <f aca="false">'1. Raw Data'!I137</f>
        <v>2</v>
      </c>
      <c r="J138" s="3" t="n">
        <f aca="false">'1. Raw Data'!J137</f>
        <v>2</v>
      </c>
      <c r="K138" s="3" t="n">
        <f aca="false">'1. Raw Data'!K137</f>
        <v>7</v>
      </c>
      <c r="L138" s="3" t="n">
        <f aca="false">'1. Raw Data'!L137</f>
        <v>0</v>
      </c>
      <c r="M138" s="3" t="n">
        <f aca="false">'1. Raw Data'!M137</f>
        <v>2</v>
      </c>
      <c r="N138" s="3" t="str">
        <f aca="false">'1. Raw Data'!N137</f>
        <v>No</v>
      </c>
    </row>
    <row r="139" customFormat="false" ht="15" hidden="false" customHeight="false" outlineLevel="0" collapsed="false">
      <c r="A139" s="3" t="str">
        <f aca="false">'1. Raw Data'!A138</f>
        <v>EMP-0137</v>
      </c>
      <c r="B139" s="3" t="n">
        <f aca="false">'1. Raw Data'!B138</f>
        <v>21</v>
      </c>
      <c r="C139" s="3" t="str">
        <f aca="false">'1. Raw Data'!C138</f>
        <v>Engineering</v>
      </c>
      <c r="D139" s="3" t="str">
        <f aca="false">'1. Raw Data'!D138</f>
        <v>Junior</v>
      </c>
      <c r="E139" s="3" t="str">
        <f aca="false">'1. Raw Data'!E138</f>
        <v>Business</v>
      </c>
      <c r="F139" s="3" t="n">
        <f aca="false">'1. Raw Data'!F138</f>
        <v>0</v>
      </c>
      <c r="G139" s="3" t="n">
        <f aca="false">IF('1. Raw Data'!G138="",ROUND(IFERROR(AVERAGEIFS('1. Raw Data'!G2:G1201,'1. Raw Data'!C2:C1201,'1. Raw Data'!C138,'1. Raw Data'!D2:D1201,'1. Raw Data'!D138),0),2),'1. Raw Data'!G138)</f>
        <v>3340.46</v>
      </c>
      <c r="H139" s="3" t="str">
        <f aca="false">PROPER('1. Raw Data'!H138)</f>
        <v>No</v>
      </c>
      <c r="I139" s="3" t="n">
        <f aca="false">'1. Raw Data'!I138</f>
        <v>2</v>
      </c>
      <c r="J139" s="3" t="n">
        <f aca="false">'1. Raw Data'!J138</f>
        <v>4</v>
      </c>
      <c r="K139" s="3" t="n">
        <f aca="false">'1. Raw Data'!K138</f>
        <v>1</v>
      </c>
      <c r="L139" s="3" t="n">
        <f aca="false">'1. Raw Data'!L138</f>
        <v>0</v>
      </c>
      <c r="M139" s="3" t="n">
        <f aca="false">'1. Raw Data'!M138</f>
        <v>3</v>
      </c>
      <c r="N139" s="3" t="str">
        <f aca="false">'1. Raw Data'!N138</f>
        <v>No</v>
      </c>
    </row>
    <row r="140" customFormat="false" ht="15" hidden="false" customHeight="false" outlineLevel="0" collapsed="false">
      <c r="A140" s="3" t="str">
        <f aca="false">'1. Raw Data'!A139</f>
        <v>EMP-0138</v>
      </c>
      <c r="B140" s="3" t="n">
        <f aca="false">'1. Raw Data'!B139</f>
        <v>35</v>
      </c>
      <c r="C140" s="3" t="str">
        <f aca="false">'1. Raw Data'!C139</f>
        <v>Finance</v>
      </c>
      <c r="D140" s="3" t="str">
        <f aca="false">'1. Raw Data'!D139</f>
        <v>Junior</v>
      </c>
      <c r="E140" s="3" t="str">
        <f aca="false">'1. Raw Data'!E139</f>
        <v>Marketing</v>
      </c>
      <c r="F140" s="3" t="n">
        <f aca="false">'1. Raw Data'!F139</f>
        <v>9</v>
      </c>
      <c r="G140" s="3" t="n">
        <f aca="false">IF('1. Raw Data'!G139="",ROUND(IFERROR(AVERAGEIFS('1. Raw Data'!G2:G1201,'1. Raw Data'!C2:C1201,'1. Raw Data'!C139,'1. Raw Data'!D2:D1201,'1. Raw Data'!D139),0),2),'1. Raw Data'!G139)</f>
        <v>3226.19</v>
      </c>
      <c r="H140" s="3" t="str">
        <f aca="false">PROPER('1. Raw Data'!H139)</f>
        <v>No</v>
      </c>
      <c r="I140" s="3" t="n">
        <f aca="false">'1. Raw Data'!I139</f>
        <v>3</v>
      </c>
      <c r="J140" s="3" t="n">
        <f aca="false">'1. Raw Data'!J139</f>
        <v>4</v>
      </c>
      <c r="K140" s="3" t="n">
        <f aca="false">'1. Raw Data'!K139</f>
        <v>1</v>
      </c>
      <c r="L140" s="3" t="n">
        <f aca="false">'1. Raw Data'!L139</f>
        <v>2</v>
      </c>
      <c r="M140" s="3" t="n">
        <f aca="false">'1. Raw Data'!M139</f>
        <v>3</v>
      </c>
      <c r="N140" s="3" t="str">
        <f aca="false">'1. Raw Data'!N139</f>
        <v>No</v>
      </c>
    </row>
    <row r="141" customFormat="false" ht="15" hidden="false" customHeight="false" outlineLevel="0" collapsed="false">
      <c r="A141" s="3" t="str">
        <f aca="false">'1. Raw Data'!A140</f>
        <v>EMP-0139</v>
      </c>
      <c r="B141" s="3" t="n">
        <f aca="false">'1. Raw Data'!B140</f>
        <v>34</v>
      </c>
      <c r="C141" s="3" t="str">
        <f aca="false">'1. Raw Data'!C140</f>
        <v>Engineering</v>
      </c>
      <c r="D141" s="3" t="str">
        <f aca="false">'1. Raw Data'!D140</f>
        <v>Junior</v>
      </c>
      <c r="E141" s="3" t="str">
        <f aca="false">'1. Raw Data'!E140</f>
        <v>Other</v>
      </c>
      <c r="F141" s="3" t="n">
        <f aca="false">'1. Raw Data'!F140</f>
        <v>1.4</v>
      </c>
      <c r="G141" s="3" t="n">
        <f aca="false">IF('1. Raw Data'!G140="",ROUND(IFERROR(AVERAGEIFS('1. Raw Data'!G2:G1201,'1. Raw Data'!C2:C1201,'1. Raw Data'!C140,'1. Raw Data'!D2:D1201,'1. Raw Data'!D140),0),2),'1. Raw Data'!G140)</f>
        <v>3328.93</v>
      </c>
      <c r="H141" s="3" t="str">
        <f aca="false">PROPER('1. Raw Data'!H140)</f>
        <v>Yes</v>
      </c>
      <c r="I141" s="3" t="n">
        <f aca="false">'1. Raw Data'!I140</f>
        <v>1</v>
      </c>
      <c r="J141" s="3" t="n">
        <f aca="false">'1. Raw Data'!J140</f>
        <v>1</v>
      </c>
      <c r="K141" s="3" t="n">
        <f aca="false">'1. Raw Data'!K140</f>
        <v>8</v>
      </c>
      <c r="L141" s="3" t="n">
        <f aca="false">'1. Raw Data'!L140</f>
        <v>0</v>
      </c>
      <c r="M141" s="3" t="n">
        <f aca="false">'1. Raw Data'!M140</f>
        <v>2</v>
      </c>
      <c r="N141" s="3" t="str">
        <f aca="false">'1. Raw Data'!N140</f>
        <v>Yes</v>
      </c>
    </row>
    <row r="142" customFormat="false" ht="15" hidden="false" customHeight="false" outlineLevel="0" collapsed="false">
      <c r="A142" s="3" t="str">
        <f aca="false">'1. Raw Data'!A141</f>
        <v>EMP-0140</v>
      </c>
      <c r="B142" s="3" t="n">
        <f aca="false">'1. Raw Data'!B141</f>
        <v>31</v>
      </c>
      <c r="C142" s="3" t="str">
        <f aca="false">'1. Raw Data'!C141</f>
        <v>Marketing</v>
      </c>
      <c r="D142" s="3" t="str">
        <f aca="false">'1. Raw Data'!D141</f>
        <v>Mid</v>
      </c>
      <c r="E142" s="3" t="str">
        <f aca="false">'1. Raw Data'!E141</f>
        <v>Marketing</v>
      </c>
      <c r="F142" s="3" t="n">
        <f aca="false">'1. Raw Data'!F141</f>
        <v>1.6</v>
      </c>
      <c r="G142" s="3" t="n">
        <f aca="false">IF('1. Raw Data'!G141="",ROUND(IFERROR(AVERAGEIFS('1. Raw Data'!G2:G1201,'1. Raw Data'!C2:C1201,'1. Raw Data'!C141,'1. Raw Data'!D2:D1201,'1. Raw Data'!D141),0),2),'1. Raw Data'!G141)</f>
        <v>5385.84</v>
      </c>
      <c r="H142" s="3" t="str">
        <f aca="false">PROPER('1. Raw Data'!H141)</f>
        <v>No</v>
      </c>
      <c r="I142" s="3" t="n">
        <f aca="false">'1. Raw Data'!I141</f>
        <v>2</v>
      </c>
      <c r="J142" s="3" t="n">
        <f aca="false">'1. Raw Data'!J141</f>
        <v>4</v>
      </c>
      <c r="K142" s="3" t="n">
        <f aca="false">'1. Raw Data'!K141</f>
        <v>1</v>
      </c>
      <c r="L142" s="3" t="n">
        <f aca="false">'1. Raw Data'!L141</f>
        <v>1</v>
      </c>
      <c r="M142" s="3" t="n">
        <f aca="false">'1. Raw Data'!M141</f>
        <v>3</v>
      </c>
      <c r="N142" s="3" t="str">
        <f aca="false">'1. Raw Data'!N141</f>
        <v>No</v>
      </c>
    </row>
    <row r="143" customFormat="false" ht="15" hidden="false" customHeight="false" outlineLevel="0" collapsed="false">
      <c r="A143" s="3" t="str">
        <f aca="false">'1. Raw Data'!A142</f>
        <v>EMP-0141</v>
      </c>
      <c r="B143" s="3" t="n">
        <f aca="false">'1. Raw Data'!B142</f>
        <v>28</v>
      </c>
      <c r="C143" s="3" t="str">
        <f aca="false">'1. Raw Data'!C142</f>
        <v>Customer Support</v>
      </c>
      <c r="D143" s="3" t="str">
        <f aca="false">'1. Raw Data'!D142</f>
        <v>Mid</v>
      </c>
      <c r="E143" s="3" t="str">
        <f aca="false">'1. Raw Data'!E142</f>
        <v>Business</v>
      </c>
      <c r="F143" s="3" t="n">
        <f aca="false">'1. Raw Data'!F142</f>
        <v>6.1</v>
      </c>
      <c r="G143" s="3" t="n">
        <f aca="false">IF('1. Raw Data'!G142="",ROUND(IFERROR(AVERAGEIFS('1. Raw Data'!G2:G1201,'1. Raw Data'!C2:C1201,'1. Raw Data'!C142,'1. Raw Data'!D2:D1201,'1. Raw Data'!D142),0),2),'1. Raw Data'!G142)</f>
        <v>5732.86</v>
      </c>
      <c r="H143" s="3" t="str">
        <f aca="false">PROPER('1. Raw Data'!H142)</f>
        <v>Yes</v>
      </c>
      <c r="I143" s="3" t="n">
        <f aca="false">'1. Raw Data'!I142</f>
        <v>3</v>
      </c>
      <c r="J143" s="3" t="n">
        <f aca="false">'1. Raw Data'!J142</f>
        <v>3</v>
      </c>
      <c r="K143" s="3" t="n">
        <f aca="false">'1. Raw Data'!K142</f>
        <v>12</v>
      </c>
      <c r="L143" s="3" t="n">
        <f aca="false">'1. Raw Data'!L142</f>
        <v>3</v>
      </c>
      <c r="M143" s="3" t="n">
        <f aca="false">'1. Raw Data'!M142</f>
        <v>3</v>
      </c>
      <c r="N143" s="3" t="str">
        <f aca="false">'1. Raw Data'!N142</f>
        <v>No</v>
      </c>
    </row>
    <row r="144" customFormat="false" ht="15" hidden="false" customHeight="false" outlineLevel="0" collapsed="false">
      <c r="A144" s="3" t="str">
        <f aca="false">'1. Raw Data'!A143</f>
        <v>EMP-0142</v>
      </c>
      <c r="B144" s="3" t="n">
        <f aca="false">'1. Raw Data'!B143</f>
        <v>31</v>
      </c>
      <c r="C144" s="3" t="str">
        <f aca="false">'1. Raw Data'!C143</f>
        <v>Engineering</v>
      </c>
      <c r="D144" s="3" t="str">
        <f aca="false">'1. Raw Data'!D143</f>
        <v>Junior</v>
      </c>
      <c r="E144" s="3" t="str">
        <f aca="false">'1. Raw Data'!E143</f>
        <v>Other</v>
      </c>
      <c r="F144" s="3" t="n">
        <f aca="false">'1. Raw Data'!F143</f>
        <v>3.7</v>
      </c>
      <c r="G144" s="3" t="n">
        <f aca="false">IF('1. Raw Data'!G143="",ROUND(IFERROR(AVERAGEIFS('1. Raw Data'!G2:G1201,'1. Raw Data'!C2:C1201,'1. Raw Data'!C143,'1. Raw Data'!D2:D1201,'1. Raw Data'!D143),0),2),'1. Raw Data'!G143)</f>
        <v>3059.05</v>
      </c>
      <c r="H144" s="3" t="str">
        <f aca="false">PROPER('1. Raw Data'!H143)</f>
        <v>No</v>
      </c>
      <c r="I144" s="3" t="n">
        <f aca="false">'1. Raw Data'!I143</f>
        <v>3</v>
      </c>
      <c r="J144" s="3" t="n">
        <f aca="false">'1. Raw Data'!J143</f>
        <v>3</v>
      </c>
      <c r="K144" s="3" t="n">
        <f aca="false">'1. Raw Data'!K143</f>
        <v>1</v>
      </c>
      <c r="L144" s="3" t="n">
        <f aca="false">'1. Raw Data'!L143</f>
        <v>2</v>
      </c>
      <c r="M144" s="3" t="n">
        <f aca="false">'1. Raw Data'!M143</f>
        <v>2</v>
      </c>
      <c r="N144" s="3" t="str">
        <f aca="false">'1. Raw Data'!N143</f>
        <v>No</v>
      </c>
    </row>
    <row r="145" customFormat="false" ht="15" hidden="false" customHeight="false" outlineLevel="0" collapsed="false">
      <c r="A145" s="3" t="str">
        <f aca="false">'1. Raw Data'!A144</f>
        <v>EMP-0143</v>
      </c>
      <c r="B145" s="3" t="n">
        <f aca="false">'1. Raw Data'!B144</f>
        <v>38</v>
      </c>
      <c r="C145" s="3" t="str">
        <f aca="false">'1. Raw Data'!C144</f>
        <v>Sales</v>
      </c>
      <c r="D145" s="3" t="str">
        <f aca="false">'1. Raw Data'!D144</f>
        <v>Mid</v>
      </c>
      <c r="E145" s="3" t="str">
        <f aca="false">'1. Raw Data'!E144</f>
        <v>Marketing</v>
      </c>
      <c r="F145" s="3" t="n">
        <f aca="false">'1. Raw Data'!F144</f>
        <v>1.5</v>
      </c>
      <c r="G145" s="3" t="n">
        <f aca="false">IF('1. Raw Data'!G144="",ROUND(IFERROR(AVERAGEIFS('1. Raw Data'!G2:G1201,'1. Raw Data'!C2:C1201,'1. Raw Data'!C144,'1. Raw Data'!D2:D1201,'1. Raw Data'!D144),0),2),'1. Raw Data'!G144)</f>
        <v>5635.63</v>
      </c>
      <c r="H145" s="3" t="str">
        <f aca="false">PROPER('1. Raw Data'!H144)</f>
        <v>Yes</v>
      </c>
      <c r="I145" s="3" t="n">
        <f aca="false">'1. Raw Data'!I144</f>
        <v>2</v>
      </c>
      <c r="J145" s="3" t="n">
        <f aca="false">'1. Raw Data'!J144</f>
        <v>3</v>
      </c>
      <c r="K145" s="3" t="n">
        <f aca="false">'1. Raw Data'!K144</f>
        <v>1</v>
      </c>
      <c r="L145" s="3" t="n">
        <f aca="false">'1. Raw Data'!L144</f>
        <v>0</v>
      </c>
      <c r="M145" s="3" t="n">
        <f aca="false">'1. Raw Data'!M144</f>
        <v>3</v>
      </c>
      <c r="N145" s="3" t="str">
        <f aca="false">'1. Raw Data'!N144</f>
        <v>Yes</v>
      </c>
    </row>
    <row r="146" customFormat="false" ht="15" hidden="false" customHeight="false" outlineLevel="0" collapsed="false">
      <c r="A146" s="3" t="str">
        <f aca="false">'1. Raw Data'!A145</f>
        <v>EMP-0144</v>
      </c>
      <c r="B146" s="3" t="n">
        <f aca="false">'1. Raw Data'!B145</f>
        <v>33</v>
      </c>
      <c r="C146" s="3" t="str">
        <f aca="false">'1. Raw Data'!C145</f>
        <v>Marketing</v>
      </c>
      <c r="D146" s="3" t="str">
        <f aca="false">'1. Raw Data'!D145</f>
        <v>Mid</v>
      </c>
      <c r="E146" s="3" t="str">
        <f aca="false">'1. Raw Data'!E145</f>
        <v>Technical</v>
      </c>
      <c r="F146" s="3" t="n">
        <f aca="false">'1. Raw Data'!F145</f>
        <v>6.7</v>
      </c>
      <c r="G146" s="3" t="n">
        <f aca="false">IF('1. Raw Data'!G145="",ROUND(IFERROR(AVERAGEIFS('1. Raw Data'!G2:G1201,'1. Raw Data'!C2:C1201,'1. Raw Data'!C145,'1. Raw Data'!D2:D1201,'1. Raw Data'!D145),0),2),'1. Raw Data'!G145)</f>
        <v>5053.82</v>
      </c>
      <c r="H146" s="3" t="str">
        <f aca="false">PROPER('1. Raw Data'!H145)</f>
        <v>Yes</v>
      </c>
      <c r="I146" s="3" t="n">
        <f aca="false">'1. Raw Data'!I145</f>
        <v>3</v>
      </c>
      <c r="J146" s="3" t="n">
        <f aca="false">'1. Raw Data'!J145</f>
        <v>2</v>
      </c>
      <c r="K146" s="3" t="n">
        <f aca="false">'1. Raw Data'!K145</f>
        <v>1</v>
      </c>
      <c r="L146" s="3" t="n">
        <f aca="false">'1. Raw Data'!L145</f>
        <v>1</v>
      </c>
      <c r="M146" s="3" t="n">
        <f aca="false">'1. Raw Data'!M145</f>
        <v>0</v>
      </c>
      <c r="N146" s="3" t="str">
        <f aca="false">'1. Raw Data'!N145</f>
        <v>Yes</v>
      </c>
    </row>
    <row r="147" customFormat="false" ht="15" hidden="false" customHeight="false" outlineLevel="0" collapsed="false">
      <c r="A147" s="3" t="str">
        <f aca="false">'1. Raw Data'!A146</f>
        <v>EMP-0145</v>
      </c>
      <c r="B147" s="3" t="n">
        <f aca="false">'1. Raw Data'!B146</f>
        <v>24</v>
      </c>
      <c r="C147" s="3" t="str">
        <f aca="false">'1. Raw Data'!C146</f>
        <v>Sales</v>
      </c>
      <c r="D147" s="3" t="str">
        <f aca="false">'1. Raw Data'!D146</f>
        <v>Senior</v>
      </c>
      <c r="E147" s="3" t="str">
        <f aca="false">'1. Raw Data'!E146</f>
        <v>Technical</v>
      </c>
      <c r="F147" s="3" t="n">
        <f aca="false">'1. Raw Data'!F146</f>
        <v>1.1</v>
      </c>
      <c r="G147" s="3" t="n">
        <f aca="false">IF('1. Raw Data'!G146="",ROUND(IFERROR(AVERAGEIFS('1. Raw Data'!G2:G1201,'1. Raw Data'!C2:C1201,'1. Raw Data'!C146,'1. Raw Data'!D2:D1201,'1. Raw Data'!D146),0),2),'1. Raw Data'!G146)</f>
        <v>7216.61</v>
      </c>
      <c r="H147" s="3" t="str">
        <f aca="false">PROPER('1. Raw Data'!H146)</f>
        <v>Yes</v>
      </c>
      <c r="I147" s="3" t="n">
        <f aca="false">'1. Raw Data'!I146</f>
        <v>2</v>
      </c>
      <c r="J147" s="3" t="n">
        <f aca="false">'1. Raw Data'!J146</f>
        <v>2</v>
      </c>
      <c r="K147" s="3" t="n">
        <f aca="false">'1. Raw Data'!K146</f>
        <v>22</v>
      </c>
      <c r="L147" s="3" t="n">
        <f aca="false">'1. Raw Data'!L146</f>
        <v>0</v>
      </c>
      <c r="M147" s="3" t="n">
        <f aca="false">'1. Raw Data'!M146</f>
        <v>5</v>
      </c>
      <c r="N147" s="3" t="str">
        <f aca="false">'1. Raw Data'!N146</f>
        <v>Yes</v>
      </c>
    </row>
    <row r="148" customFormat="false" ht="15" hidden="false" customHeight="false" outlineLevel="0" collapsed="false">
      <c r="A148" s="3" t="str">
        <f aca="false">'1. Raw Data'!A147</f>
        <v>EMP-0146</v>
      </c>
      <c r="B148" s="3" t="n">
        <f aca="false">'1. Raw Data'!B147</f>
        <v>32</v>
      </c>
      <c r="C148" s="3" t="str">
        <f aca="false">'1. Raw Data'!C147</f>
        <v>Engineering</v>
      </c>
      <c r="D148" s="3" t="str">
        <f aca="false">'1. Raw Data'!D147</f>
        <v>Junior</v>
      </c>
      <c r="E148" s="3" t="str">
        <f aca="false">'1. Raw Data'!E147</f>
        <v>Other</v>
      </c>
      <c r="F148" s="3" t="n">
        <f aca="false">'1. Raw Data'!F147</f>
        <v>2.8</v>
      </c>
      <c r="G148" s="3" t="n">
        <f aca="false">IF('1. Raw Data'!G147="",ROUND(IFERROR(AVERAGEIFS('1. Raw Data'!G2:G1201,'1. Raw Data'!C2:C1201,'1. Raw Data'!C147,'1. Raw Data'!D2:D1201,'1. Raw Data'!D147),0),2),'1. Raw Data'!G147)</f>
        <v>3226.7</v>
      </c>
      <c r="H148" s="3" t="str">
        <f aca="false">PROPER('1. Raw Data'!H147)</f>
        <v>No</v>
      </c>
      <c r="I148" s="3" t="n">
        <f aca="false">'1. Raw Data'!I147</f>
        <v>2</v>
      </c>
      <c r="J148" s="3" t="n">
        <f aca="false">'1. Raw Data'!J147</f>
        <v>3</v>
      </c>
      <c r="K148" s="3" t="n">
        <f aca="false">'1. Raw Data'!K147</f>
        <v>1</v>
      </c>
      <c r="L148" s="3" t="n">
        <f aca="false">'1. Raw Data'!L147</f>
        <v>0</v>
      </c>
      <c r="M148" s="3" t="n">
        <f aca="false">'1. Raw Data'!M147</f>
        <v>1</v>
      </c>
      <c r="N148" s="3" t="str">
        <f aca="false">'1. Raw Data'!N147</f>
        <v>No</v>
      </c>
    </row>
    <row r="149" customFormat="false" ht="15" hidden="false" customHeight="false" outlineLevel="0" collapsed="false">
      <c r="A149" s="3" t="str">
        <f aca="false">'1. Raw Data'!A148</f>
        <v>EMP-0147</v>
      </c>
      <c r="B149" s="3" t="n">
        <f aca="false">'1. Raw Data'!B148</f>
        <v>29</v>
      </c>
      <c r="C149" s="3" t="str">
        <f aca="false">'1. Raw Data'!C148</f>
        <v>Sales</v>
      </c>
      <c r="D149" s="3" t="str">
        <f aca="false">'1. Raw Data'!D148</f>
        <v>Junior</v>
      </c>
      <c r="E149" s="3" t="str">
        <f aca="false">'1. Raw Data'!E148</f>
        <v>Technical</v>
      </c>
      <c r="F149" s="3" t="n">
        <f aca="false">'1. Raw Data'!F148</f>
        <v>3.7</v>
      </c>
      <c r="G149" s="3" t="n">
        <f aca="false">IF('1. Raw Data'!G148="",ROUND(IFERROR(AVERAGEIFS('1. Raw Data'!G2:G1201,'1. Raw Data'!C2:C1201,'1. Raw Data'!C148,'1. Raw Data'!D2:D1201,'1. Raw Data'!D148),0),2),'1. Raw Data'!G148)</f>
        <v>3730.34</v>
      </c>
      <c r="H149" s="3" t="str">
        <f aca="false">PROPER('1. Raw Data'!H148)</f>
        <v>No</v>
      </c>
      <c r="I149" s="3" t="n">
        <f aca="false">'1. Raw Data'!I148</f>
        <v>3</v>
      </c>
      <c r="J149" s="3" t="n">
        <f aca="false">'1. Raw Data'!J148</f>
        <v>3</v>
      </c>
      <c r="K149" s="3" t="n">
        <f aca="false">'1. Raw Data'!K148</f>
        <v>4</v>
      </c>
      <c r="L149" s="3" t="n">
        <f aca="false">'1. Raw Data'!L148</f>
        <v>1</v>
      </c>
      <c r="M149" s="3" t="n">
        <f aca="false">'1. Raw Data'!M148</f>
        <v>2</v>
      </c>
      <c r="N149" s="3" t="str">
        <f aca="false">'1. Raw Data'!N148</f>
        <v>No</v>
      </c>
    </row>
    <row r="150" customFormat="false" ht="15" hidden="false" customHeight="false" outlineLevel="0" collapsed="false">
      <c r="A150" s="3" t="str">
        <f aca="false">'1. Raw Data'!A149</f>
        <v>EMP-0148</v>
      </c>
      <c r="B150" s="3" t="n">
        <f aca="false">'1. Raw Data'!B149</f>
        <v>39</v>
      </c>
      <c r="C150" s="3" t="str">
        <f aca="false">'1. Raw Data'!C149</f>
        <v>Sales</v>
      </c>
      <c r="D150" s="3" t="str">
        <f aca="false">'1. Raw Data'!D149</f>
        <v>Senior</v>
      </c>
      <c r="E150" s="3" t="str">
        <f aca="false">'1. Raw Data'!E149</f>
        <v>Business</v>
      </c>
      <c r="F150" s="3" t="n">
        <f aca="false">'1. Raw Data'!F149</f>
        <v>2.7</v>
      </c>
      <c r="G150" s="3" t="n">
        <f aca="false">IF('1. Raw Data'!G149="",ROUND(IFERROR(AVERAGEIFS('1. Raw Data'!G2:G1201,'1. Raw Data'!C2:C1201,'1. Raw Data'!C149,'1. Raw Data'!D2:D1201,'1. Raw Data'!D149),0),2),'1. Raw Data'!G149)</f>
        <v>6848.28</v>
      </c>
      <c r="H150" s="3" t="str">
        <f aca="false">PROPER('1. Raw Data'!H149)</f>
        <v>No</v>
      </c>
      <c r="I150" s="3" t="n">
        <f aca="false">'1. Raw Data'!I149</f>
        <v>2</v>
      </c>
      <c r="J150" s="3" t="n">
        <f aca="false">'1. Raw Data'!J149</f>
        <v>3</v>
      </c>
      <c r="K150" s="3" t="n">
        <f aca="false">'1. Raw Data'!K149</f>
        <v>6</v>
      </c>
      <c r="L150" s="3" t="n">
        <f aca="false">'1. Raw Data'!L149</f>
        <v>0</v>
      </c>
      <c r="M150" s="3" t="n">
        <f aca="false">'1. Raw Data'!M149</f>
        <v>2</v>
      </c>
      <c r="N150" s="3" t="str">
        <f aca="false">'1. Raw Data'!N149</f>
        <v>No</v>
      </c>
    </row>
    <row r="151" customFormat="false" ht="15" hidden="false" customHeight="false" outlineLevel="0" collapsed="false">
      <c r="A151" s="3" t="str">
        <f aca="false">'1. Raw Data'!A150</f>
        <v>EMP-0149</v>
      </c>
      <c r="B151" s="3" t="n">
        <f aca="false">'1. Raw Data'!B150</f>
        <v>37</v>
      </c>
      <c r="C151" s="3" t="str">
        <f aca="false">'1. Raw Data'!C150</f>
        <v>Engineering</v>
      </c>
      <c r="D151" s="3" t="str">
        <f aca="false">'1. Raw Data'!D150</f>
        <v>Junior</v>
      </c>
      <c r="E151" s="3" t="str">
        <f aca="false">'1. Raw Data'!E150</f>
        <v>Other</v>
      </c>
      <c r="F151" s="3" t="n">
        <f aca="false">'1. Raw Data'!F150</f>
        <v>3.4</v>
      </c>
      <c r="G151" s="3" t="n">
        <f aca="false">IF('1. Raw Data'!G150="",ROUND(IFERROR(AVERAGEIFS('1. Raw Data'!G2:G1201,'1. Raw Data'!C2:C1201,'1. Raw Data'!C150,'1. Raw Data'!D2:D1201,'1. Raw Data'!D150),0),2),'1. Raw Data'!G150)</f>
        <v>3283.91</v>
      </c>
      <c r="H151" s="3" t="str">
        <f aca="false">PROPER('1. Raw Data'!H150)</f>
        <v>No</v>
      </c>
      <c r="I151" s="3" t="n">
        <f aca="false">'1. Raw Data'!I150</f>
        <v>3</v>
      </c>
      <c r="J151" s="3" t="n">
        <f aca="false">'1. Raw Data'!J150</f>
        <v>3</v>
      </c>
      <c r="K151" s="3" t="n">
        <f aca="false">'1. Raw Data'!K150</f>
        <v>3</v>
      </c>
      <c r="L151" s="3" t="n">
        <f aca="false">'1. Raw Data'!L150</f>
        <v>0</v>
      </c>
      <c r="M151" s="3" t="n">
        <f aca="false">'1. Raw Data'!M150</f>
        <v>3</v>
      </c>
      <c r="N151" s="3" t="str">
        <f aca="false">'1. Raw Data'!N150</f>
        <v>No</v>
      </c>
    </row>
    <row r="152" customFormat="false" ht="15" hidden="false" customHeight="false" outlineLevel="0" collapsed="false">
      <c r="A152" s="3" t="str">
        <f aca="false">'1. Raw Data'!A151</f>
        <v>EMP-0150</v>
      </c>
      <c r="B152" s="3" t="n">
        <f aca="false">'1. Raw Data'!B151</f>
        <v>35</v>
      </c>
      <c r="C152" s="3" t="str">
        <f aca="false">'1. Raw Data'!C151</f>
        <v>Customer Support</v>
      </c>
      <c r="D152" s="3" t="str">
        <f aca="false">'1. Raw Data'!D151</f>
        <v>Mid</v>
      </c>
      <c r="E152" s="3" t="str">
        <f aca="false">'1. Raw Data'!E151</f>
        <v>Marketing</v>
      </c>
      <c r="F152" s="3" t="n">
        <f aca="false">'1. Raw Data'!F151</f>
        <v>0.8</v>
      </c>
      <c r="G152" s="3" t="n">
        <f aca="false">IF('1. Raw Data'!G151="",ROUND(IFERROR(AVERAGEIFS('1. Raw Data'!G2:G1201,'1. Raw Data'!C2:C1201,'1. Raw Data'!C151,'1. Raw Data'!D2:D1201,'1. Raw Data'!D151),0),2),'1. Raw Data'!G151)</f>
        <v>5674.56</v>
      </c>
      <c r="H152" s="3" t="str">
        <f aca="false">PROPER('1. Raw Data'!H151)</f>
        <v>No</v>
      </c>
      <c r="I152" s="3" t="n">
        <f aca="false">'1. Raw Data'!I151</f>
        <v>3</v>
      </c>
      <c r="J152" s="3" t="n">
        <f aca="false">'1. Raw Data'!J151</f>
        <v>3</v>
      </c>
      <c r="K152" s="3" t="n">
        <f aca="false">'1. Raw Data'!K151</f>
        <v>14</v>
      </c>
      <c r="L152" s="3" t="n">
        <f aca="false">'1. Raw Data'!L151</f>
        <v>0</v>
      </c>
      <c r="M152" s="3" t="n">
        <f aca="false">'1. Raw Data'!M151</f>
        <v>1</v>
      </c>
      <c r="N152" s="3" t="str">
        <f aca="false">'1. Raw Data'!N151</f>
        <v>No</v>
      </c>
    </row>
    <row r="153" customFormat="false" ht="15" hidden="false" customHeight="false" outlineLevel="0" collapsed="false">
      <c r="A153" s="3" t="str">
        <f aca="false">'1. Raw Data'!A152</f>
        <v>EMP-0151</v>
      </c>
      <c r="B153" s="3" t="n">
        <f aca="false">'1. Raw Data'!B152</f>
        <v>37</v>
      </c>
      <c r="C153" s="3" t="str">
        <f aca="false">'1. Raw Data'!C152</f>
        <v>Engineering</v>
      </c>
      <c r="D153" s="3" t="str">
        <f aca="false">'1. Raw Data'!D152</f>
        <v>Junior</v>
      </c>
      <c r="E153" s="3" t="str">
        <f aca="false">'1. Raw Data'!E152</f>
        <v>Technical</v>
      </c>
      <c r="F153" s="3" t="n">
        <f aca="false">'1. Raw Data'!F152</f>
        <v>2.3</v>
      </c>
      <c r="G153" s="3" t="n">
        <f aca="false">IF('1. Raw Data'!G152="",ROUND(IFERROR(AVERAGEIFS('1. Raw Data'!G2:G1201,'1. Raw Data'!C2:C1201,'1. Raw Data'!C152,'1. Raw Data'!D2:D1201,'1. Raw Data'!D152),0),2),'1. Raw Data'!G152)</f>
        <v>2915.62</v>
      </c>
      <c r="H153" s="3" t="str">
        <f aca="false">PROPER('1. Raw Data'!H152)</f>
        <v>No</v>
      </c>
      <c r="I153" s="3" t="n">
        <f aca="false">'1. Raw Data'!I152</f>
        <v>4</v>
      </c>
      <c r="J153" s="3" t="n">
        <f aca="false">'1. Raw Data'!J152</f>
        <v>3</v>
      </c>
      <c r="K153" s="3" t="n">
        <f aca="false">'1. Raw Data'!K152</f>
        <v>11</v>
      </c>
      <c r="L153" s="3" t="n">
        <f aca="false">'1. Raw Data'!L152</f>
        <v>2</v>
      </c>
      <c r="M153" s="3" t="n">
        <f aca="false">'1. Raw Data'!M152</f>
        <v>3</v>
      </c>
      <c r="N153" s="3" t="str">
        <f aca="false">'1. Raw Data'!N152</f>
        <v>No</v>
      </c>
    </row>
    <row r="154" customFormat="false" ht="15" hidden="false" customHeight="false" outlineLevel="0" collapsed="false">
      <c r="A154" s="3" t="str">
        <f aca="false">'1. Raw Data'!A153</f>
        <v>EMP-0152</v>
      </c>
      <c r="B154" s="3" t="n">
        <f aca="false">'1. Raw Data'!B153</f>
        <v>40</v>
      </c>
      <c r="C154" s="3" t="str">
        <f aca="false">'1. Raw Data'!C153</f>
        <v>Customer Support</v>
      </c>
      <c r="D154" s="3" t="str">
        <f aca="false">'1. Raw Data'!D153</f>
        <v>Senior</v>
      </c>
      <c r="E154" s="3" t="str">
        <f aca="false">'1. Raw Data'!E153</f>
        <v>Other</v>
      </c>
      <c r="F154" s="3" t="n">
        <f aca="false">'1. Raw Data'!F153</f>
        <v>8.9</v>
      </c>
      <c r="G154" s="3" t="n">
        <f aca="false">IF('1. Raw Data'!G153="",ROUND(IFERROR(AVERAGEIFS('1. Raw Data'!G2:G1201,'1. Raw Data'!C2:C1201,'1. Raw Data'!C153,'1. Raw Data'!D2:D1201,'1. Raw Data'!D153),0),2),'1. Raw Data'!G153)</f>
        <v>8327.29</v>
      </c>
      <c r="H154" s="3" t="str">
        <f aca="false">PROPER('1. Raw Data'!H153)</f>
        <v>Yes</v>
      </c>
      <c r="I154" s="3" t="n">
        <f aca="false">'1. Raw Data'!I153</f>
        <v>3</v>
      </c>
      <c r="J154" s="3" t="n">
        <f aca="false">'1. Raw Data'!J153</f>
        <v>3</v>
      </c>
      <c r="K154" s="3" t="n">
        <f aca="false">'1. Raw Data'!K153</f>
        <v>10</v>
      </c>
      <c r="L154" s="3" t="n">
        <f aca="false">'1. Raw Data'!L153</f>
        <v>1</v>
      </c>
      <c r="M154" s="3" t="n">
        <f aca="false">'1. Raw Data'!M153</f>
        <v>3</v>
      </c>
      <c r="N154" s="3" t="str">
        <f aca="false">'1. Raw Data'!N153</f>
        <v>Yes</v>
      </c>
    </row>
    <row r="155" customFormat="false" ht="15" hidden="false" customHeight="false" outlineLevel="0" collapsed="false">
      <c r="A155" s="3" t="str">
        <f aca="false">'1. Raw Data'!A154</f>
        <v>EMP-0153</v>
      </c>
      <c r="B155" s="3" t="n">
        <f aca="false">'1. Raw Data'!B154</f>
        <v>37</v>
      </c>
      <c r="C155" s="3" t="str">
        <f aca="false">'1. Raw Data'!C154</f>
        <v>Finance</v>
      </c>
      <c r="D155" s="3" t="str">
        <f aca="false">'1. Raw Data'!D154</f>
        <v>Senior</v>
      </c>
      <c r="E155" s="3" t="str">
        <f aca="false">'1. Raw Data'!E154</f>
        <v>Other</v>
      </c>
      <c r="F155" s="3" t="n">
        <f aca="false">'1. Raw Data'!F154</f>
        <v>1.9</v>
      </c>
      <c r="G155" s="3" t="n">
        <f aca="false">IF('1. Raw Data'!G154="",ROUND(IFERROR(AVERAGEIFS('1. Raw Data'!G2:G1201,'1. Raw Data'!C2:C1201,'1. Raw Data'!C154,'1. Raw Data'!D2:D1201,'1. Raw Data'!D154),0),2),'1. Raw Data'!G154)</f>
        <v>7666.42</v>
      </c>
      <c r="H155" s="3" t="str">
        <f aca="false">PROPER('1. Raw Data'!H154)</f>
        <v>No</v>
      </c>
      <c r="I155" s="3" t="n">
        <f aca="false">'1. Raw Data'!I154</f>
        <v>1</v>
      </c>
      <c r="J155" s="3" t="n">
        <f aca="false">'1. Raw Data'!J154</f>
        <v>2</v>
      </c>
      <c r="K155" s="3" t="n">
        <f aca="false">'1. Raw Data'!K154</f>
        <v>2</v>
      </c>
      <c r="L155" s="3" t="n">
        <f aca="false">'1. Raw Data'!L154</f>
        <v>1</v>
      </c>
      <c r="M155" s="3" t="n">
        <f aca="false">'1. Raw Data'!M154</f>
        <v>1</v>
      </c>
      <c r="N155" s="3" t="str">
        <f aca="false">'1. Raw Data'!N154</f>
        <v>Yes</v>
      </c>
    </row>
    <row r="156" customFormat="false" ht="15" hidden="false" customHeight="false" outlineLevel="0" collapsed="false">
      <c r="A156" s="3" t="str">
        <f aca="false">'1. Raw Data'!A155</f>
        <v>EMP-0154</v>
      </c>
      <c r="B156" s="3" t="n">
        <f aca="false">'1. Raw Data'!B155</f>
        <v>32</v>
      </c>
      <c r="C156" s="3" t="str">
        <f aca="false">'1. Raw Data'!C155</f>
        <v>Sales</v>
      </c>
      <c r="D156" s="3" t="str">
        <f aca="false">'1. Raw Data'!D155</f>
        <v>Senior</v>
      </c>
      <c r="E156" s="3" t="str">
        <f aca="false">'1. Raw Data'!E155</f>
        <v>Technical</v>
      </c>
      <c r="F156" s="3" t="n">
        <f aca="false">'1. Raw Data'!F155</f>
        <v>0.6</v>
      </c>
      <c r="G156" s="3" t="n">
        <f aca="false">IF('1. Raw Data'!G155="",ROUND(IFERROR(AVERAGEIFS('1. Raw Data'!G2:G1201,'1. Raw Data'!C2:C1201,'1. Raw Data'!C155,'1. Raw Data'!D2:D1201,'1. Raw Data'!D155),0),2),'1. Raw Data'!G155)</f>
        <v>8427.3</v>
      </c>
      <c r="H156" s="3" t="str">
        <f aca="false">PROPER('1. Raw Data'!H155)</f>
        <v>No</v>
      </c>
      <c r="I156" s="3" t="n">
        <f aca="false">'1. Raw Data'!I155</f>
        <v>4</v>
      </c>
      <c r="J156" s="3" t="n">
        <f aca="false">'1. Raw Data'!J155</f>
        <v>4</v>
      </c>
      <c r="K156" s="3" t="n">
        <f aca="false">'1. Raw Data'!K155</f>
        <v>27</v>
      </c>
      <c r="L156" s="3" t="n">
        <f aca="false">'1. Raw Data'!L155</f>
        <v>0</v>
      </c>
      <c r="M156" s="3" t="n">
        <f aca="false">'1. Raw Data'!M155</f>
        <v>2</v>
      </c>
      <c r="N156" s="3" t="str">
        <f aca="false">'1. Raw Data'!N155</f>
        <v>No</v>
      </c>
    </row>
    <row r="157" customFormat="false" ht="15" hidden="false" customHeight="false" outlineLevel="0" collapsed="false">
      <c r="A157" s="3" t="str">
        <f aca="false">'1. Raw Data'!A156</f>
        <v>EMP-0155</v>
      </c>
      <c r="B157" s="3" t="n">
        <f aca="false">'1. Raw Data'!B156</f>
        <v>31</v>
      </c>
      <c r="C157" s="3" t="str">
        <f aca="false">'1. Raw Data'!C156</f>
        <v>Sales</v>
      </c>
      <c r="D157" s="3" t="str">
        <f aca="false">'1. Raw Data'!D156</f>
        <v>Senior</v>
      </c>
      <c r="E157" s="3" t="str">
        <f aca="false">'1. Raw Data'!E156</f>
        <v>Other</v>
      </c>
      <c r="F157" s="3" t="n">
        <f aca="false">'1. Raw Data'!F156</f>
        <v>4.8</v>
      </c>
      <c r="G157" s="3" t="n">
        <f aca="false">IF('1. Raw Data'!G156="",ROUND(IFERROR(AVERAGEIFS('1. Raw Data'!G2:G1201,'1. Raw Data'!C2:C1201,'1. Raw Data'!C156,'1. Raw Data'!D2:D1201,'1. Raw Data'!D156),0),2),'1. Raw Data'!G156)</f>
        <v>7120.37</v>
      </c>
      <c r="H157" s="3" t="str">
        <f aca="false">PROPER('1. Raw Data'!H156)</f>
        <v>Yes</v>
      </c>
      <c r="I157" s="3" t="n">
        <f aca="false">'1. Raw Data'!I156</f>
        <v>2</v>
      </c>
      <c r="J157" s="3" t="n">
        <f aca="false">'1. Raw Data'!J156</f>
        <v>3</v>
      </c>
      <c r="K157" s="3" t="n">
        <f aca="false">'1. Raw Data'!K156</f>
        <v>2</v>
      </c>
      <c r="L157" s="3" t="n">
        <f aca="false">'1. Raw Data'!L156</f>
        <v>2</v>
      </c>
      <c r="M157" s="3" t="n">
        <f aca="false">'1. Raw Data'!M156</f>
        <v>4</v>
      </c>
      <c r="N157" s="3" t="str">
        <f aca="false">'1. Raw Data'!N156</f>
        <v>Yes</v>
      </c>
    </row>
    <row r="158" customFormat="false" ht="15" hidden="false" customHeight="false" outlineLevel="0" collapsed="false">
      <c r="A158" s="3" t="str">
        <f aca="false">'1. Raw Data'!A157</f>
        <v>EMP-0156</v>
      </c>
      <c r="B158" s="3" t="n">
        <f aca="false">'1. Raw Data'!B157</f>
        <v>21</v>
      </c>
      <c r="C158" s="3" t="str">
        <f aca="false">'1. Raw Data'!C157</f>
        <v>HR</v>
      </c>
      <c r="D158" s="3" t="str">
        <f aca="false">'1. Raw Data'!D157</f>
        <v>Senior</v>
      </c>
      <c r="E158" s="3" t="str">
        <f aca="false">'1. Raw Data'!E157</f>
        <v>Technical</v>
      </c>
      <c r="F158" s="3" t="n">
        <f aca="false">'1. Raw Data'!F157</f>
        <v>0</v>
      </c>
      <c r="G158" s="3" t="n">
        <f aca="false">IF('1. Raw Data'!G157="",ROUND(IFERROR(AVERAGEIFS('1. Raw Data'!G2:G1201,'1. Raw Data'!C2:C1201,'1. Raw Data'!C157,'1. Raw Data'!D2:D1201,'1. Raw Data'!D157),0),2),'1. Raw Data'!G157)</f>
        <v>7721.69</v>
      </c>
      <c r="H158" s="3" t="str">
        <f aca="false">PROPER('1. Raw Data'!H157)</f>
        <v>Yes</v>
      </c>
      <c r="I158" s="3" t="n">
        <f aca="false">'1. Raw Data'!I157</f>
        <v>3</v>
      </c>
      <c r="J158" s="3" t="n">
        <f aca="false">'1. Raw Data'!J157</f>
        <v>4</v>
      </c>
      <c r="K158" s="3" t="n">
        <f aca="false">'1. Raw Data'!K157</f>
        <v>13</v>
      </c>
      <c r="L158" s="3" t="n">
        <f aca="false">'1. Raw Data'!L157</f>
        <v>0</v>
      </c>
      <c r="M158" s="3" t="n">
        <f aca="false">'1. Raw Data'!M157</f>
        <v>3</v>
      </c>
      <c r="N158" s="3" t="str">
        <f aca="false">'1. Raw Data'!N157</f>
        <v>No</v>
      </c>
    </row>
    <row r="159" customFormat="false" ht="15" hidden="false" customHeight="false" outlineLevel="0" collapsed="false">
      <c r="A159" s="3" t="str">
        <f aca="false">'1. Raw Data'!A158</f>
        <v>EMP-0157</v>
      </c>
      <c r="B159" s="3" t="n">
        <f aca="false">'1. Raw Data'!B158</f>
        <v>22</v>
      </c>
      <c r="C159" s="3" t="str">
        <f aca="false">'1. Raw Data'!C158</f>
        <v>Marketing</v>
      </c>
      <c r="D159" s="3" t="str">
        <f aca="false">'1. Raw Data'!D158</f>
        <v>Senior</v>
      </c>
      <c r="E159" s="3" t="str">
        <f aca="false">'1. Raw Data'!E158</f>
        <v>Business</v>
      </c>
      <c r="F159" s="3" t="n">
        <f aca="false">'1. Raw Data'!F158</f>
        <v>0.9</v>
      </c>
      <c r="G159" s="3" t="n">
        <f aca="false">IF('1. Raw Data'!G158="",ROUND(IFERROR(AVERAGEIFS('1. Raw Data'!G2:G1201,'1. Raw Data'!C2:C1201,'1. Raw Data'!C158,'1. Raw Data'!D2:D1201,'1. Raw Data'!D158),0),2),'1. Raw Data'!G158)</f>
        <v>7903.51</v>
      </c>
      <c r="H159" s="3" t="str">
        <f aca="false">PROPER('1. Raw Data'!H158)</f>
        <v>No</v>
      </c>
      <c r="I159" s="3" t="n">
        <f aca="false">'1. Raw Data'!I158</f>
        <v>3</v>
      </c>
      <c r="J159" s="3" t="n">
        <f aca="false">'1. Raw Data'!J158</f>
        <v>3</v>
      </c>
      <c r="K159" s="3" t="n">
        <f aca="false">'1. Raw Data'!K158</f>
        <v>11</v>
      </c>
      <c r="L159" s="3" t="n">
        <f aca="false">'1. Raw Data'!L158</f>
        <v>0</v>
      </c>
      <c r="M159" s="3" t="n">
        <f aca="false">'1. Raw Data'!M158</f>
        <v>0</v>
      </c>
      <c r="N159" s="3" t="str">
        <f aca="false">'1. Raw Data'!N158</f>
        <v>No</v>
      </c>
    </row>
    <row r="160" customFormat="false" ht="15" hidden="false" customHeight="false" outlineLevel="0" collapsed="false">
      <c r="A160" s="3" t="str">
        <f aca="false">'1. Raw Data'!A159</f>
        <v>EMP-0158</v>
      </c>
      <c r="B160" s="3" t="n">
        <f aca="false">'1. Raw Data'!B159</f>
        <v>34</v>
      </c>
      <c r="C160" s="3" t="str">
        <f aca="false">'1. Raw Data'!C159</f>
        <v>Finance</v>
      </c>
      <c r="D160" s="3" t="str">
        <f aca="false">'1. Raw Data'!D159</f>
        <v>Mid</v>
      </c>
      <c r="E160" s="3" t="str">
        <f aca="false">'1. Raw Data'!E159</f>
        <v>Technical</v>
      </c>
      <c r="F160" s="3" t="n">
        <f aca="false">'1. Raw Data'!F159</f>
        <v>3.7</v>
      </c>
      <c r="G160" s="3" t="n">
        <f aca="false">IF('1. Raw Data'!G159="",ROUND(IFERROR(AVERAGEIFS('1. Raw Data'!G2:G1201,'1. Raw Data'!C2:C1201,'1. Raw Data'!C159,'1. Raw Data'!D2:D1201,'1. Raw Data'!D159),0),2),'1. Raw Data'!G159)</f>
        <v>4164.8</v>
      </c>
      <c r="H160" s="3" t="str">
        <f aca="false">PROPER('1. Raw Data'!H159)</f>
        <v>No</v>
      </c>
      <c r="I160" s="3" t="n">
        <f aca="false">'1. Raw Data'!I159</f>
        <v>3</v>
      </c>
      <c r="J160" s="3" t="n">
        <f aca="false">'1. Raw Data'!J159</f>
        <v>3</v>
      </c>
      <c r="K160" s="3" t="n">
        <f aca="false">'1. Raw Data'!K159</f>
        <v>3</v>
      </c>
      <c r="L160" s="3" t="n">
        <f aca="false">'1. Raw Data'!L159</f>
        <v>1</v>
      </c>
      <c r="M160" s="3" t="n">
        <f aca="false">'1. Raw Data'!M159</f>
        <v>0</v>
      </c>
      <c r="N160" s="3" t="str">
        <f aca="false">'1. Raw Data'!N159</f>
        <v>No</v>
      </c>
    </row>
    <row r="161" customFormat="false" ht="15" hidden="false" customHeight="false" outlineLevel="0" collapsed="false">
      <c r="A161" s="3" t="str">
        <f aca="false">'1. Raw Data'!A160</f>
        <v>EMP-0159</v>
      </c>
      <c r="B161" s="3" t="n">
        <f aca="false">'1. Raw Data'!B160</f>
        <v>25</v>
      </c>
      <c r="C161" s="3" t="str">
        <f aca="false">'1. Raw Data'!C160</f>
        <v>Sales</v>
      </c>
      <c r="D161" s="3" t="str">
        <f aca="false">'1. Raw Data'!D160</f>
        <v>Junior</v>
      </c>
      <c r="E161" s="3" t="str">
        <f aca="false">'1. Raw Data'!E160</f>
        <v>Marketing</v>
      </c>
      <c r="F161" s="3" t="n">
        <f aca="false">'1. Raw Data'!F160</f>
        <v>2.2</v>
      </c>
      <c r="G161" s="3" t="n">
        <f aca="false">IF('1. Raw Data'!G160="",ROUND(IFERROR(AVERAGEIFS('1. Raw Data'!G2:G1201,'1. Raw Data'!C2:C1201,'1. Raw Data'!C160,'1. Raw Data'!D2:D1201,'1. Raw Data'!D160),0),2),'1. Raw Data'!G160)</f>
        <v>3066.55</v>
      </c>
      <c r="H161" s="3" t="str">
        <f aca="false">PROPER('1. Raw Data'!H160)</f>
        <v>Yes</v>
      </c>
      <c r="I161" s="3" t="n">
        <f aca="false">'1. Raw Data'!I160</f>
        <v>2</v>
      </c>
      <c r="J161" s="3" t="n">
        <f aca="false">'1. Raw Data'!J160</f>
        <v>2</v>
      </c>
      <c r="K161" s="3" t="n">
        <f aca="false">'1. Raw Data'!K160</f>
        <v>8</v>
      </c>
      <c r="L161" s="3" t="n">
        <f aca="false">'1. Raw Data'!L160</f>
        <v>2</v>
      </c>
      <c r="M161" s="3" t="n">
        <f aca="false">'1. Raw Data'!M160</f>
        <v>1</v>
      </c>
      <c r="N161" s="3" t="str">
        <f aca="false">'1. Raw Data'!N160</f>
        <v>No</v>
      </c>
    </row>
    <row r="162" customFormat="false" ht="15" hidden="false" customHeight="false" outlineLevel="0" collapsed="false">
      <c r="A162" s="3" t="str">
        <f aca="false">'1. Raw Data'!A161</f>
        <v>EMP-0160</v>
      </c>
      <c r="B162" s="3" t="n">
        <f aca="false">'1. Raw Data'!B161</f>
        <v>31</v>
      </c>
      <c r="C162" s="3" t="str">
        <f aca="false">'1. Raw Data'!C161</f>
        <v>Marketing</v>
      </c>
      <c r="D162" s="3" t="str">
        <f aca="false">'1. Raw Data'!D161</f>
        <v>Mid</v>
      </c>
      <c r="E162" s="3" t="str">
        <f aca="false">'1. Raw Data'!E161</f>
        <v>Other</v>
      </c>
      <c r="F162" s="3" t="n">
        <f aca="false">'1. Raw Data'!F161</f>
        <v>7.1</v>
      </c>
      <c r="G162" s="3" t="n">
        <f aca="false">IF('1. Raw Data'!G161="",ROUND(IFERROR(AVERAGEIFS('1. Raw Data'!G2:G1201,'1. Raw Data'!C2:C1201,'1. Raw Data'!C161,'1. Raw Data'!D2:D1201,'1. Raw Data'!D161),0),2),'1. Raw Data'!G161)</f>
        <v>4166.56</v>
      </c>
      <c r="H162" s="3" t="str">
        <f aca="false">PROPER('1. Raw Data'!H161)</f>
        <v>No</v>
      </c>
      <c r="I162" s="3" t="n">
        <f aca="false">'1. Raw Data'!I161</f>
        <v>1</v>
      </c>
      <c r="J162" s="3" t="n">
        <f aca="false">'1. Raw Data'!J161</f>
        <v>3</v>
      </c>
      <c r="K162" s="3" t="n">
        <f aca="false">'1. Raw Data'!K161</f>
        <v>1</v>
      </c>
      <c r="L162" s="3" t="n">
        <f aca="false">'1. Raw Data'!L161</f>
        <v>5</v>
      </c>
      <c r="M162" s="3" t="n">
        <f aca="false">'1. Raw Data'!M161</f>
        <v>2</v>
      </c>
      <c r="N162" s="3" t="str">
        <f aca="false">'1. Raw Data'!N161</f>
        <v>No</v>
      </c>
    </row>
    <row r="163" customFormat="false" ht="15" hidden="false" customHeight="false" outlineLevel="0" collapsed="false">
      <c r="A163" s="3" t="str">
        <f aca="false">'1. Raw Data'!A162</f>
        <v>EMP-0161</v>
      </c>
      <c r="B163" s="3" t="n">
        <f aca="false">'1. Raw Data'!B162</f>
        <v>26</v>
      </c>
      <c r="C163" s="3" t="str">
        <f aca="false">'1. Raw Data'!C162</f>
        <v>Customer Support</v>
      </c>
      <c r="D163" s="3" t="str">
        <f aca="false">'1. Raw Data'!D162</f>
        <v>Mid</v>
      </c>
      <c r="E163" s="3" t="str">
        <f aca="false">'1. Raw Data'!E162</f>
        <v>Technical</v>
      </c>
      <c r="F163" s="3" t="n">
        <f aca="false">'1. Raw Data'!F162</f>
        <v>1.3</v>
      </c>
      <c r="G163" s="3" t="n">
        <f aca="false">IF('1. Raw Data'!G162="",ROUND(IFERROR(AVERAGEIFS('1. Raw Data'!G2:G1201,'1. Raw Data'!C2:C1201,'1. Raw Data'!C162,'1. Raw Data'!D2:D1201,'1. Raw Data'!D162),0),2),'1. Raw Data'!G162)</f>
        <v>4389.32</v>
      </c>
      <c r="H163" s="3" t="str">
        <f aca="false">PROPER('1. Raw Data'!H162)</f>
        <v>Yes</v>
      </c>
      <c r="I163" s="3" t="n">
        <f aca="false">'1. Raw Data'!I162</f>
        <v>2</v>
      </c>
      <c r="J163" s="3" t="n">
        <f aca="false">'1. Raw Data'!J162</f>
        <v>4</v>
      </c>
      <c r="K163" s="3" t="n">
        <f aca="false">'1. Raw Data'!K162</f>
        <v>16</v>
      </c>
      <c r="L163" s="3" t="n">
        <f aca="false">'1. Raw Data'!L162</f>
        <v>0</v>
      </c>
      <c r="M163" s="3" t="n">
        <f aca="false">'1. Raw Data'!M162</f>
        <v>1</v>
      </c>
      <c r="N163" s="3" t="str">
        <f aca="false">'1. Raw Data'!N162</f>
        <v>No</v>
      </c>
    </row>
    <row r="164" customFormat="false" ht="15" hidden="false" customHeight="false" outlineLevel="0" collapsed="false">
      <c r="A164" s="3" t="str">
        <f aca="false">'1. Raw Data'!A163</f>
        <v>EMP-0162</v>
      </c>
      <c r="B164" s="3" t="n">
        <f aca="false">'1. Raw Data'!B163</f>
        <v>27</v>
      </c>
      <c r="C164" s="3" t="str">
        <f aca="false">'1. Raw Data'!C163</f>
        <v>Customer Support</v>
      </c>
      <c r="D164" s="3" t="str">
        <f aca="false">'1. Raw Data'!D163</f>
        <v>Junior</v>
      </c>
      <c r="E164" s="3" t="str">
        <f aca="false">'1. Raw Data'!E163</f>
        <v>Business</v>
      </c>
      <c r="F164" s="3" t="n">
        <f aca="false">'1. Raw Data'!F163</f>
        <v>6</v>
      </c>
      <c r="G164" s="3" t="n">
        <f aca="false">IF('1. Raw Data'!G163="",ROUND(IFERROR(AVERAGEIFS('1. Raw Data'!G2:G1201,'1. Raw Data'!C2:C1201,'1. Raw Data'!C163,'1. Raw Data'!D2:D1201,'1. Raw Data'!D163),0),2),'1. Raw Data'!G163)</f>
        <v>2962.92</v>
      </c>
      <c r="H164" s="3" t="str">
        <f aca="false">PROPER('1. Raw Data'!H163)</f>
        <v>Yes</v>
      </c>
      <c r="I164" s="3" t="n">
        <f aca="false">'1. Raw Data'!I163</f>
        <v>4</v>
      </c>
      <c r="J164" s="3" t="n">
        <f aca="false">'1. Raw Data'!J163</f>
        <v>3</v>
      </c>
      <c r="K164" s="3" t="n">
        <f aca="false">'1. Raw Data'!K163</f>
        <v>29</v>
      </c>
      <c r="L164" s="3" t="n">
        <f aca="false">'1. Raw Data'!L163</f>
        <v>0</v>
      </c>
      <c r="M164" s="3" t="n">
        <f aca="false">'1. Raw Data'!M163</f>
        <v>1</v>
      </c>
      <c r="N164" s="3" t="str">
        <f aca="false">'1. Raw Data'!N163</f>
        <v>Yes</v>
      </c>
    </row>
    <row r="165" customFormat="false" ht="15" hidden="false" customHeight="false" outlineLevel="0" collapsed="false">
      <c r="A165" s="3" t="str">
        <f aca="false">'1. Raw Data'!A164</f>
        <v>EMP-0163</v>
      </c>
      <c r="B165" s="3" t="n">
        <f aca="false">'1. Raw Data'!B164</f>
        <v>35</v>
      </c>
      <c r="C165" s="3" t="str">
        <f aca="false">'1. Raw Data'!C164</f>
        <v>HR</v>
      </c>
      <c r="D165" s="3" t="str">
        <f aca="false">'1. Raw Data'!D164</f>
        <v>Mid</v>
      </c>
      <c r="E165" s="3" t="str">
        <f aca="false">'1. Raw Data'!E164</f>
        <v>Business</v>
      </c>
      <c r="F165" s="3" t="n">
        <f aca="false">'1. Raw Data'!F164</f>
        <v>0.3</v>
      </c>
      <c r="G165" s="3" t="n">
        <f aca="false">IF('1. Raw Data'!G164="",ROUND(IFERROR(AVERAGEIFS('1. Raw Data'!G2:G1201,'1. Raw Data'!C2:C1201,'1. Raw Data'!C164,'1. Raw Data'!D2:D1201,'1. Raw Data'!D164),0),2),'1. Raw Data'!G164)</f>
        <v>4843.12</v>
      </c>
      <c r="H165" s="3" t="str">
        <f aca="false">PROPER('1. Raw Data'!H164)</f>
        <v>No</v>
      </c>
      <c r="I165" s="3" t="n">
        <f aca="false">'1. Raw Data'!I164</f>
        <v>1</v>
      </c>
      <c r="J165" s="3" t="n">
        <f aca="false">'1. Raw Data'!J164</f>
        <v>3</v>
      </c>
      <c r="K165" s="3" t="n">
        <f aca="false">'1. Raw Data'!K164</f>
        <v>37</v>
      </c>
      <c r="L165" s="3" t="n">
        <f aca="false">'1. Raw Data'!L164</f>
        <v>0</v>
      </c>
      <c r="M165" s="3" t="n">
        <f aca="false">'1. Raw Data'!M164</f>
        <v>5</v>
      </c>
      <c r="N165" s="3" t="str">
        <f aca="false">'1. Raw Data'!N164</f>
        <v>Yes</v>
      </c>
    </row>
    <row r="166" customFormat="false" ht="15" hidden="false" customHeight="false" outlineLevel="0" collapsed="false">
      <c r="A166" s="3" t="str">
        <f aca="false">'1. Raw Data'!A165</f>
        <v>EMP-0164</v>
      </c>
      <c r="B166" s="3" t="n">
        <f aca="false">'1. Raw Data'!B165</f>
        <v>29</v>
      </c>
      <c r="C166" s="3" t="str">
        <f aca="false">'1. Raw Data'!C165</f>
        <v>Customer Support</v>
      </c>
      <c r="D166" s="3" t="str">
        <f aca="false">'1. Raw Data'!D165</f>
        <v>Junior</v>
      </c>
      <c r="E166" s="3" t="str">
        <f aca="false">'1. Raw Data'!E165</f>
        <v>Other</v>
      </c>
      <c r="F166" s="3" t="n">
        <f aca="false">'1. Raw Data'!F165</f>
        <v>0</v>
      </c>
      <c r="G166" s="3" t="n">
        <f aca="false">IF('1. Raw Data'!G165="",ROUND(IFERROR(AVERAGEIFS('1. Raw Data'!G2:G1201,'1. Raw Data'!C2:C1201,'1. Raw Data'!C165,'1. Raw Data'!D2:D1201,'1. Raw Data'!D165),0),2),'1. Raw Data'!G165)</f>
        <v>2806.09</v>
      </c>
      <c r="H166" s="3" t="str">
        <f aca="false">PROPER('1. Raw Data'!H165)</f>
        <v>No</v>
      </c>
      <c r="I166" s="3" t="n">
        <f aca="false">'1. Raw Data'!I165</f>
        <v>3</v>
      </c>
      <c r="J166" s="3" t="n">
        <f aca="false">'1. Raw Data'!J165</f>
        <v>3</v>
      </c>
      <c r="K166" s="3" t="n">
        <f aca="false">'1. Raw Data'!K165</f>
        <v>1</v>
      </c>
      <c r="L166" s="3" t="n">
        <f aca="false">'1. Raw Data'!L165</f>
        <v>0</v>
      </c>
      <c r="M166" s="3" t="n">
        <f aca="false">'1. Raw Data'!M165</f>
        <v>0</v>
      </c>
      <c r="N166" s="3" t="str">
        <f aca="false">'1. Raw Data'!N165</f>
        <v>No</v>
      </c>
    </row>
    <row r="167" customFormat="false" ht="15" hidden="false" customHeight="false" outlineLevel="0" collapsed="false">
      <c r="A167" s="3" t="str">
        <f aca="false">'1. Raw Data'!A166</f>
        <v>EMP-0165</v>
      </c>
      <c r="B167" s="3" t="n">
        <f aca="false">'1. Raw Data'!B166</f>
        <v>46</v>
      </c>
      <c r="C167" s="3" t="str">
        <f aca="false">'1. Raw Data'!C166</f>
        <v>Engineering</v>
      </c>
      <c r="D167" s="3" t="str">
        <f aca="false">'1. Raw Data'!D166</f>
        <v>Junior</v>
      </c>
      <c r="E167" s="3" t="str">
        <f aca="false">'1. Raw Data'!E166</f>
        <v>Marketing</v>
      </c>
      <c r="F167" s="3" t="n">
        <f aca="false">'1. Raw Data'!F166</f>
        <v>4.1</v>
      </c>
      <c r="G167" s="3" t="n">
        <f aca="false">IF('1. Raw Data'!G166="",ROUND(IFERROR(AVERAGEIFS('1. Raw Data'!G2:G1201,'1. Raw Data'!C2:C1201,'1. Raw Data'!C166,'1. Raw Data'!D2:D1201,'1. Raw Data'!D166),0),2),'1. Raw Data'!G166)</f>
        <v>3475.44</v>
      </c>
      <c r="H167" s="3" t="str">
        <f aca="false">PROPER('1. Raw Data'!H166)</f>
        <v>No</v>
      </c>
      <c r="I167" s="3" t="n">
        <f aca="false">'1. Raw Data'!I166</f>
        <v>3</v>
      </c>
      <c r="J167" s="3" t="n">
        <f aca="false">'1. Raw Data'!J166</f>
        <v>4</v>
      </c>
      <c r="K167" s="3" t="n">
        <f aca="false">'1. Raw Data'!K166</f>
        <v>1</v>
      </c>
      <c r="L167" s="3" t="n">
        <f aca="false">'1. Raw Data'!L166</f>
        <v>0</v>
      </c>
      <c r="M167" s="3" t="n">
        <f aca="false">'1. Raw Data'!M166</f>
        <v>3</v>
      </c>
      <c r="N167" s="3" t="str">
        <f aca="false">'1. Raw Data'!N166</f>
        <v>No</v>
      </c>
    </row>
    <row r="168" customFormat="false" ht="15" hidden="false" customHeight="false" outlineLevel="0" collapsed="false">
      <c r="A168" s="3" t="str">
        <f aca="false">'1. Raw Data'!A167</f>
        <v>EMP-0166</v>
      </c>
      <c r="B168" s="3" t="n">
        <f aca="false">'1. Raw Data'!B167</f>
        <v>39</v>
      </c>
      <c r="C168" s="3" t="str">
        <f aca="false">'1. Raw Data'!C167</f>
        <v>Sales</v>
      </c>
      <c r="D168" s="3" t="str">
        <f aca="false">'1. Raw Data'!D167</f>
        <v>Senior</v>
      </c>
      <c r="E168" s="3" t="str">
        <f aca="false">'1. Raw Data'!E167</f>
        <v>Technical</v>
      </c>
      <c r="F168" s="3" t="n">
        <f aca="false">'1. Raw Data'!F167</f>
        <v>10.4</v>
      </c>
      <c r="G168" s="3" t="n">
        <f aca="false">IF('1. Raw Data'!G167="",ROUND(IFERROR(AVERAGEIFS('1. Raw Data'!G2:G1201,'1. Raw Data'!C2:C1201,'1. Raw Data'!C167,'1. Raw Data'!D2:D1201,'1. Raw Data'!D167),0),2),'1. Raw Data'!G167)</f>
        <v>7280.13</v>
      </c>
      <c r="H168" s="3" t="str">
        <f aca="false">PROPER('1. Raw Data'!H167)</f>
        <v>Yes</v>
      </c>
      <c r="I168" s="3" t="n">
        <f aca="false">'1. Raw Data'!I167</f>
        <v>3</v>
      </c>
      <c r="J168" s="3" t="n">
        <f aca="false">'1. Raw Data'!J167</f>
        <v>3</v>
      </c>
      <c r="K168" s="3" t="n">
        <f aca="false">'1. Raw Data'!K167</f>
        <v>1</v>
      </c>
      <c r="L168" s="3" t="n">
        <f aca="false">'1. Raw Data'!L167</f>
        <v>0</v>
      </c>
      <c r="M168" s="3" t="n">
        <f aca="false">'1. Raw Data'!M167</f>
        <v>3</v>
      </c>
      <c r="N168" s="3" t="str">
        <f aca="false">'1. Raw Data'!N167</f>
        <v>Yes</v>
      </c>
    </row>
    <row r="169" customFormat="false" ht="15" hidden="false" customHeight="false" outlineLevel="0" collapsed="false">
      <c r="A169" s="3" t="str">
        <f aca="false">'1. Raw Data'!A168</f>
        <v>EMP-0167</v>
      </c>
      <c r="B169" s="3" t="n">
        <f aca="false">'1. Raw Data'!B168</f>
        <v>41</v>
      </c>
      <c r="C169" s="3" t="str">
        <f aca="false">'1. Raw Data'!C168</f>
        <v>HR</v>
      </c>
      <c r="D169" s="3" t="str">
        <f aca="false">'1. Raw Data'!D168</f>
        <v>Lead</v>
      </c>
      <c r="E169" s="3" t="str">
        <f aca="false">'1. Raw Data'!E168</f>
        <v>Other</v>
      </c>
      <c r="F169" s="3" t="n">
        <f aca="false">'1. Raw Data'!F168</f>
        <v>9.1</v>
      </c>
      <c r="G169" s="3" t="n">
        <f aca="false">IF('1. Raw Data'!G168="",ROUND(IFERROR(AVERAGEIFS('1. Raw Data'!G2:G1201,'1. Raw Data'!C2:C1201,'1. Raw Data'!C168,'1. Raw Data'!D2:D1201,'1. Raw Data'!D168),0),2),'1. Raw Data'!G168)</f>
        <v>11335.64</v>
      </c>
      <c r="H169" s="3" t="str">
        <f aca="false">PROPER('1. Raw Data'!H168)</f>
        <v>Yes</v>
      </c>
      <c r="I169" s="3" t="n">
        <f aca="false">'1. Raw Data'!I168</f>
        <v>1</v>
      </c>
      <c r="J169" s="3" t="n">
        <f aca="false">'1. Raw Data'!J168</f>
        <v>3</v>
      </c>
      <c r="K169" s="3" t="n">
        <f aca="false">'1. Raw Data'!K168</f>
        <v>2</v>
      </c>
      <c r="L169" s="3" t="n">
        <f aca="false">'1. Raw Data'!L168</f>
        <v>5</v>
      </c>
      <c r="M169" s="3" t="n">
        <f aca="false">'1. Raw Data'!M168</f>
        <v>2</v>
      </c>
      <c r="N169" s="3" t="str">
        <f aca="false">'1. Raw Data'!N168</f>
        <v>Yes</v>
      </c>
    </row>
    <row r="170" customFormat="false" ht="15" hidden="false" customHeight="false" outlineLevel="0" collapsed="false">
      <c r="A170" s="3" t="str">
        <f aca="false">'1. Raw Data'!A169</f>
        <v>EMP-0168</v>
      </c>
      <c r="B170" s="3" t="n">
        <f aca="false">'1. Raw Data'!B169</f>
        <v>39</v>
      </c>
      <c r="C170" s="3" t="str">
        <f aca="false">'1. Raw Data'!C169</f>
        <v>Finance</v>
      </c>
      <c r="D170" s="3" t="str">
        <f aca="false">'1. Raw Data'!D169</f>
        <v>Junior</v>
      </c>
      <c r="E170" s="3" t="str">
        <f aca="false">'1. Raw Data'!E169</f>
        <v>Marketing</v>
      </c>
      <c r="F170" s="3" t="n">
        <f aca="false">'1. Raw Data'!F169</f>
        <v>2.5</v>
      </c>
      <c r="G170" s="3" t="n">
        <f aca="false">IF('1. Raw Data'!G169="",ROUND(IFERROR(AVERAGEIFS('1. Raw Data'!G2:G1201,'1. Raw Data'!C2:C1201,'1. Raw Data'!C169,'1. Raw Data'!D2:D1201,'1. Raw Data'!D169),0),2),'1. Raw Data'!G169)</f>
        <v>2927</v>
      </c>
      <c r="H170" s="3" t="str">
        <f aca="false">PROPER('1. Raw Data'!H169)</f>
        <v>No</v>
      </c>
      <c r="I170" s="3" t="n">
        <f aca="false">'1. Raw Data'!I169</f>
        <v>4</v>
      </c>
      <c r="J170" s="3" t="n">
        <f aca="false">'1. Raw Data'!J169</f>
        <v>4</v>
      </c>
      <c r="K170" s="3" t="n">
        <f aca="false">'1. Raw Data'!K169</f>
        <v>23</v>
      </c>
      <c r="L170" s="3" t="n">
        <f aca="false">'1. Raw Data'!L169</f>
        <v>2</v>
      </c>
      <c r="M170" s="3" t="n">
        <f aca="false">'1. Raw Data'!M169</f>
        <v>3</v>
      </c>
      <c r="N170" s="3" t="str">
        <f aca="false">'1. Raw Data'!N169</f>
        <v>No</v>
      </c>
    </row>
    <row r="171" customFormat="false" ht="15" hidden="false" customHeight="false" outlineLevel="0" collapsed="false">
      <c r="A171" s="3" t="str">
        <f aca="false">'1. Raw Data'!A170</f>
        <v>EMP-0169</v>
      </c>
      <c r="B171" s="3" t="n">
        <f aca="false">'1. Raw Data'!B170</f>
        <v>47</v>
      </c>
      <c r="C171" s="3" t="str">
        <f aca="false">'1. Raw Data'!C170</f>
        <v>Finance</v>
      </c>
      <c r="D171" s="3" t="str">
        <f aca="false">'1. Raw Data'!D170</f>
        <v>Mid</v>
      </c>
      <c r="E171" s="3" t="str">
        <f aca="false">'1. Raw Data'!E170</f>
        <v>Technical</v>
      </c>
      <c r="F171" s="3" t="n">
        <f aca="false">'1. Raw Data'!F170</f>
        <v>6.1</v>
      </c>
      <c r="G171" s="3" t="n">
        <f aca="false">IF('1. Raw Data'!G170="",ROUND(IFERROR(AVERAGEIFS('1. Raw Data'!G2:G1201,'1. Raw Data'!C2:C1201,'1. Raw Data'!C170,'1. Raw Data'!D2:D1201,'1. Raw Data'!D170),0),2),'1. Raw Data'!G170)</f>
        <v>5136.2</v>
      </c>
      <c r="H171" s="3" t="str">
        <f aca="false">PROPER('1. Raw Data'!H170)</f>
        <v>Yes</v>
      </c>
      <c r="I171" s="3" t="n">
        <f aca="false">'1. Raw Data'!I170</f>
        <v>1</v>
      </c>
      <c r="J171" s="3" t="n">
        <f aca="false">'1. Raw Data'!J170</f>
        <v>4</v>
      </c>
      <c r="K171" s="3" t="n">
        <f aca="false">'1. Raw Data'!K170</f>
        <v>17</v>
      </c>
      <c r="L171" s="3" t="n">
        <f aca="false">'1. Raw Data'!L170</f>
        <v>1</v>
      </c>
      <c r="M171" s="3" t="n">
        <f aca="false">'1. Raw Data'!M170</f>
        <v>0</v>
      </c>
      <c r="N171" s="3" t="str">
        <f aca="false">'1. Raw Data'!N170</f>
        <v>Yes</v>
      </c>
    </row>
    <row r="172" customFormat="false" ht="15" hidden="false" customHeight="false" outlineLevel="0" collapsed="false">
      <c r="A172" s="3" t="str">
        <f aca="false">'1. Raw Data'!A171</f>
        <v>EMP-0170</v>
      </c>
      <c r="B172" s="3" t="n">
        <f aca="false">'1. Raw Data'!B171</f>
        <v>36</v>
      </c>
      <c r="C172" s="3" t="str">
        <f aca="false">'1. Raw Data'!C171</f>
        <v>Sales</v>
      </c>
      <c r="D172" s="3" t="str">
        <f aca="false">'1. Raw Data'!D171</f>
        <v>Junior</v>
      </c>
      <c r="E172" s="3" t="str">
        <f aca="false">'1. Raw Data'!E171</f>
        <v>Marketing</v>
      </c>
      <c r="F172" s="3" t="n">
        <f aca="false">'1. Raw Data'!F171</f>
        <v>0.4</v>
      </c>
      <c r="G172" s="3" t="n">
        <f aca="false">IF('1. Raw Data'!G171="",ROUND(IFERROR(AVERAGEIFS('1. Raw Data'!G2:G1201,'1. Raw Data'!C2:C1201,'1. Raw Data'!C171,'1. Raw Data'!D2:D1201,'1. Raw Data'!D171),0),2),'1. Raw Data'!G171)</f>
        <v>3743.35</v>
      </c>
      <c r="H172" s="3" t="str">
        <f aca="false">PROPER('1. Raw Data'!H171)</f>
        <v>No</v>
      </c>
      <c r="I172" s="3" t="n">
        <f aca="false">'1. Raw Data'!I171</f>
        <v>3</v>
      </c>
      <c r="J172" s="3" t="n">
        <f aca="false">'1. Raw Data'!J171</f>
        <v>4</v>
      </c>
      <c r="K172" s="3" t="n">
        <f aca="false">'1. Raw Data'!K171</f>
        <v>2</v>
      </c>
      <c r="L172" s="3" t="n">
        <f aca="false">'1. Raw Data'!L171</f>
        <v>0</v>
      </c>
      <c r="M172" s="3" t="n">
        <f aca="false">'1. Raw Data'!M171</f>
        <v>2</v>
      </c>
      <c r="N172" s="3" t="str">
        <f aca="false">'1. Raw Data'!N171</f>
        <v>No</v>
      </c>
    </row>
    <row r="173" customFormat="false" ht="15" hidden="false" customHeight="false" outlineLevel="0" collapsed="false">
      <c r="A173" s="3" t="str">
        <f aca="false">'1. Raw Data'!A172</f>
        <v>EMP-0171</v>
      </c>
      <c r="B173" s="3" t="n">
        <f aca="false">'1. Raw Data'!B172</f>
        <v>31</v>
      </c>
      <c r="C173" s="3" t="str">
        <f aca="false">'1. Raw Data'!C172</f>
        <v>Customer Support</v>
      </c>
      <c r="D173" s="3" t="str">
        <f aca="false">'1. Raw Data'!D172</f>
        <v>Mid</v>
      </c>
      <c r="E173" s="3" t="str">
        <f aca="false">'1. Raw Data'!E172</f>
        <v>Technical</v>
      </c>
      <c r="F173" s="3" t="n">
        <f aca="false">'1. Raw Data'!F172</f>
        <v>1.5</v>
      </c>
      <c r="G173" s="3" t="n">
        <f aca="false">IF('1. Raw Data'!G172="",ROUND(IFERROR(AVERAGEIFS('1. Raw Data'!G2:G1201,'1. Raw Data'!C2:C1201,'1. Raw Data'!C172,'1. Raw Data'!D2:D1201,'1. Raw Data'!D172),0),2),'1. Raw Data'!G172)</f>
        <v>4399.77</v>
      </c>
      <c r="H173" s="3" t="str">
        <f aca="false">PROPER('1. Raw Data'!H172)</f>
        <v>No</v>
      </c>
      <c r="I173" s="3" t="n">
        <f aca="false">'1. Raw Data'!I172</f>
        <v>3</v>
      </c>
      <c r="J173" s="3" t="n">
        <f aca="false">'1. Raw Data'!J172</f>
        <v>4</v>
      </c>
      <c r="K173" s="3" t="n">
        <f aca="false">'1. Raw Data'!K172</f>
        <v>21</v>
      </c>
      <c r="L173" s="3" t="n">
        <f aca="false">'1. Raw Data'!L172</f>
        <v>0</v>
      </c>
      <c r="M173" s="3" t="n">
        <f aca="false">'1. Raw Data'!M172</f>
        <v>2</v>
      </c>
      <c r="N173" s="3" t="str">
        <f aca="false">'1. Raw Data'!N172</f>
        <v>No</v>
      </c>
    </row>
    <row r="174" customFormat="false" ht="15" hidden="false" customHeight="false" outlineLevel="0" collapsed="false">
      <c r="A174" s="3" t="str">
        <f aca="false">'1. Raw Data'!A173</f>
        <v>EMP-0172</v>
      </c>
      <c r="B174" s="3" t="n">
        <f aca="false">'1. Raw Data'!B173</f>
        <v>28</v>
      </c>
      <c r="C174" s="3" t="str">
        <f aca="false">'1. Raw Data'!C173</f>
        <v>Sales</v>
      </c>
      <c r="D174" s="3" t="str">
        <f aca="false">'1. Raw Data'!D173</f>
        <v>Junior</v>
      </c>
      <c r="E174" s="3" t="str">
        <f aca="false">'1. Raw Data'!E173</f>
        <v>Marketing</v>
      </c>
      <c r="F174" s="3" t="n">
        <f aca="false">'1. Raw Data'!F173</f>
        <v>6</v>
      </c>
      <c r="G174" s="3" t="n">
        <f aca="false">IF('1. Raw Data'!G173="",ROUND(IFERROR(AVERAGEIFS('1. Raw Data'!G2:G1201,'1. Raw Data'!C2:C1201,'1. Raw Data'!C173,'1. Raw Data'!D2:D1201,'1. Raw Data'!D173),0),2),'1. Raw Data'!G173)</f>
        <v>3100.69</v>
      </c>
      <c r="H174" s="3" t="str">
        <f aca="false">PROPER('1. Raw Data'!H173)</f>
        <v>No</v>
      </c>
      <c r="I174" s="3" t="n">
        <f aca="false">'1. Raw Data'!I173</f>
        <v>2</v>
      </c>
      <c r="J174" s="3" t="n">
        <f aca="false">'1. Raw Data'!J173</f>
        <v>2</v>
      </c>
      <c r="K174" s="3" t="n">
        <f aca="false">'1. Raw Data'!K173</f>
        <v>1</v>
      </c>
      <c r="L174" s="3" t="n">
        <f aca="false">'1. Raw Data'!L173</f>
        <v>0</v>
      </c>
      <c r="M174" s="3" t="n">
        <f aca="false">'1. Raw Data'!M173</f>
        <v>2</v>
      </c>
      <c r="N174" s="3" t="str">
        <f aca="false">'1. Raw Data'!N173</f>
        <v>No</v>
      </c>
    </row>
    <row r="175" customFormat="false" ht="15" hidden="false" customHeight="false" outlineLevel="0" collapsed="false">
      <c r="A175" s="3" t="str">
        <f aca="false">'1. Raw Data'!A174</f>
        <v>EMP-0173</v>
      </c>
      <c r="B175" s="3" t="n">
        <f aca="false">'1. Raw Data'!B174</f>
        <v>26</v>
      </c>
      <c r="C175" s="3" t="str">
        <f aca="false">'1. Raw Data'!C174</f>
        <v>Marketing</v>
      </c>
      <c r="D175" s="3" t="str">
        <f aca="false">'1. Raw Data'!D174</f>
        <v>Junior</v>
      </c>
      <c r="E175" s="3" t="str">
        <f aca="false">'1. Raw Data'!E174</f>
        <v>Technical</v>
      </c>
      <c r="F175" s="3" t="n">
        <f aca="false">'1. Raw Data'!F174</f>
        <v>2.6</v>
      </c>
      <c r="G175" s="3" t="n">
        <f aca="false">IF('1. Raw Data'!G174="",ROUND(IFERROR(AVERAGEIFS('1. Raw Data'!G2:G1201,'1. Raw Data'!C2:C1201,'1. Raw Data'!C174,'1. Raw Data'!D2:D1201,'1. Raw Data'!D174),0),2),'1. Raw Data'!G174)</f>
        <v>3023.67</v>
      </c>
      <c r="H175" s="3" t="str">
        <f aca="false">PROPER('1. Raw Data'!H174)</f>
        <v>No</v>
      </c>
      <c r="I175" s="3" t="n">
        <f aca="false">'1. Raw Data'!I174</f>
        <v>3</v>
      </c>
      <c r="J175" s="3" t="n">
        <f aca="false">'1. Raw Data'!J174</f>
        <v>2</v>
      </c>
      <c r="K175" s="3" t="n">
        <f aca="false">'1. Raw Data'!K174</f>
        <v>11</v>
      </c>
      <c r="L175" s="3" t="n">
        <f aca="false">'1. Raw Data'!L174</f>
        <v>0</v>
      </c>
      <c r="M175" s="3" t="n">
        <f aca="false">'1. Raw Data'!M174</f>
        <v>2</v>
      </c>
      <c r="N175" s="3" t="str">
        <f aca="false">'1. Raw Data'!N174</f>
        <v>No</v>
      </c>
    </row>
    <row r="176" customFormat="false" ht="15" hidden="false" customHeight="false" outlineLevel="0" collapsed="false">
      <c r="A176" s="3" t="str">
        <f aca="false">'1. Raw Data'!A175</f>
        <v>EMP-0174</v>
      </c>
      <c r="B176" s="3" t="n">
        <f aca="false">'1. Raw Data'!B175</f>
        <v>28</v>
      </c>
      <c r="C176" s="3" t="str">
        <f aca="false">'1. Raw Data'!C175</f>
        <v>HR</v>
      </c>
      <c r="D176" s="3" t="str">
        <f aca="false">'1. Raw Data'!D175</f>
        <v>Junior</v>
      </c>
      <c r="E176" s="3" t="str">
        <f aca="false">'1. Raw Data'!E175</f>
        <v>Marketing</v>
      </c>
      <c r="F176" s="3" t="n">
        <f aca="false">'1. Raw Data'!F175</f>
        <v>2.8</v>
      </c>
      <c r="G176" s="3" t="n">
        <f aca="false">IF('1. Raw Data'!G175="",ROUND(IFERROR(AVERAGEIFS('1. Raw Data'!G2:G1201,'1. Raw Data'!C2:C1201,'1. Raw Data'!C175,'1. Raw Data'!D2:D1201,'1. Raw Data'!D175),0),2),'1. Raw Data'!G175)</f>
        <v>2831.94</v>
      </c>
      <c r="H176" s="3" t="str">
        <f aca="false">PROPER('1. Raw Data'!H175)</f>
        <v>No</v>
      </c>
      <c r="I176" s="3" t="n">
        <f aca="false">'1. Raw Data'!I175</f>
        <v>3</v>
      </c>
      <c r="J176" s="3" t="n">
        <f aca="false">'1. Raw Data'!J175</f>
        <v>3</v>
      </c>
      <c r="K176" s="3" t="n">
        <f aca="false">'1. Raw Data'!K175</f>
        <v>1</v>
      </c>
      <c r="L176" s="3" t="n">
        <f aca="false">'1. Raw Data'!L175</f>
        <v>1</v>
      </c>
      <c r="M176" s="3" t="n">
        <f aca="false">'1. Raw Data'!M175</f>
        <v>1</v>
      </c>
      <c r="N176" s="3" t="str">
        <f aca="false">'1. Raw Data'!N175</f>
        <v>No</v>
      </c>
    </row>
    <row r="177" customFormat="false" ht="15" hidden="false" customHeight="false" outlineLevel="0" collapsed="false">
      <c r="A177" s="3" t="str">
        <f aca="false">'1. Raw Data'!A176</f>
        <v>EMP-0175</v>
      </c>
      <c r="B177" s="3" t="n">
        <f aca="false">'1. Raw Data'!B176</f>
        <v>32</v>
      </c>
      <c r="C177" s="3" t="str">
        <f aca="false">'1. Raw Data'!C176</f>
        <v>Engineering</v>
      </c>
      <c r="D177" s="3" t="str">
        <f aca="false">'1. Raw Data'!D176</f>
        <v>Mid</v>
      </c>
      <c r="E177" s="3" t="str">
        <f aca="false">'1. Raw Data'!E176</f>
        <v>Business</v>
      </c>
      <c r="F177" s="3" t="n">
        <f aca="false">'1. Raw Data'!F176</f>
        <v>1</v>
      </c>
      <c r="G177" s="3" t="n">
        <f aca="false">IF('1. Raw Data'!G176="",ROUND(IFERROR(AVERAGEIFS('1. Raw Data'!G2:G1201,'1. Raw Data'!C2:C1201,'1. Raw Data'!C176,'1. Raw Data'!D2:D1201,'1. Raw Data'!D176),0),2),'1. Raw Data'!G176)</f>
        <v>4852.94</v>
      </c>
      <c r="H177" s="3" t="str">
        <f aca="false">PROPER('1. Raw Data'!H176)</f>
        <v>No</v>
      </c>
      <c r="I177" s="3" t="n">
        <f aca="false">'1. Raw Data'!I176</f>
        <v>4</v>
      </c>
      <c r="J177" s="3" t="n">
        <f aca="false">'1. Raw Data'!J176</f>
        <v>4</v>
      </c>
      <c r="K177" s="3" t="n">
        <f aca="false">'1. Raw Data'!K176</f>
        <v>21</v>
      </c>
      <c r="L177" s="3" t="n">
        <f aca="false">'1. Raw Data'!L176</f>
        <v>1</v>
      </c>
      <c r="M177" s="3" t="n">
        <f aca="false">'1. Raw Data'!M176</f>
        <v>3</v>
      </c>
      <c r="N177" s="3" t="str">
        <f aca="false">'1. Raw Data'!N176</f>
        <v>No</v>
      </c>
    </row>
    <row r="178" customFormat="false" ht="15" hidden="false" customHeight="false" outlineLevel="0" collapsed="false">
      <c r="A178" s="3" t="str">
        <f aca="false">'1. Raw Data'!A177</f>
        <v>EMP-0176</v>
      </c>
      <c r="B178" s="3" t="n">
        <f aca="false">'1. Raw Data'!B177</f>
        <v>21</v>
      </c>
      <c r="C178" s="3" t="str">
        <f aca="false">'1. Raw Data'!C177</f>
        <v>Marketing</v>
      </c>
      <c r="D178" s="3" t="str">
        <f aca="false">'1. Raw Data'!D177</f>
        <v>Mid</v>
      </c>
      <c r="E178" s="3" t="str">
        <f aca="false">'1. Raw Data'!E177</f>
        <v>Marketing</v>
      </c>
      <c r="F178" s="3" t="n">
        <f aca="false">'1. Raw Data'!F177</f>
        <v>0</v>
      </c>
      <c r="G178" s="3" t="n">
        <f aca="false">IF('1. Raw Data'!G177="",ROUND(IFERROR(AVERAGEIFS('1. Raw Data'!G2:G1201,'1. Raw Data'!C2:C1201,'1. Raw Data'!C177,'1. Raw Data'!D2:D1201,'1. Raw Data'!D177),0),2),'1. Raw Data'!G177)</f>
        <v>4413.89</v>
      </c>
      <c r="H178" s="3" t="str">
        <f aca="false">PROPER('1. Raw Data'!H177)</f>
        <v>No</v>
      </c>
      <c r="I178" s="3" t="n">
        <f aca="false">'1. Raw Data'!I177</f>
        <v>3</v>
      </c>
      <c r="J178" s="3" t="n">
        <f aca="false">'1. Raw Data'!J177</f>
        <v>3</v>
      </c>
      <c r="K178" s="3" t="n">
        <f aca="false">'1. Raw Data'!K177</f>
        <v>1</v>
      </c>
      <c r="L178" s="3" t="n">
        <f aca="false">'1. Raw Data'!L177</f>
        <v>0</v>
      </c>
      <c r="M178" s="3" t="n">
        <f aca="false">'1. Raw Data'!M177</f>
        <v>2</v>
      </c>
      <c r="N178" s="3" t="str">
        <f aca="false">'1. Raw Data'!N177</f>
        <v>No</v>
      </c>
    </row>
    <row r="179" customFormat="false" ht="15" hidden="false" customHeight="false" outlineLevel="0" collapsed="false">
      <c r="A179" s="3" t="str">
        <f aca="false">'1. Raw Data'!A178</f>
        <v>EMP-0177</v>
      </c>
      <c r="B179" s="3" t="n">
        <f aca="false">'1. Raw Data'!B178</f>
        <v>34</v>
      </c>
      <c r="C179" s="3" t="str">
        <f aca="false">'1. Raw Data'!C178</f>
        <v>Marketing</v>
      </c>
      <c r="D179" s="3" t="str">
        <f aca="false">'1. Raw Data'!D178</f>
        <v>Lead</v>
      </c>
      <c r="E179" s="3" t="str">
        <f aca="false">'1. Raw Data'!E178</f>
        <v>Business</v>
      </c>
      <c r="F179" s="3" t="n">
        <f aca="false">'1. Raw Data'!F178</f>
        <v>3.1</v>
      </c>
      <c r="G179" s="3" t="n">
        <f aca="false">IF('1. Raw Data'!G178="",ROUND(IFERROR(AVERAGEIFS('1. Raw Data'!G2:G1201,'1. Raw Data'!C2:C1201,'1. Raw Data'!C178,'1. Raw Data'!D2:D1201,'1. Raw Data'!D178),0),2),'1. Raw Data'!G178)</f>
        <v>9362.99</v>
      </c>
      <c r="H179" s="3" t="str">
        <f aca="false">PROPER('1. Raw Data'!H178)</f>
        <v>No</v>
      </c>
      <c r="I179" s="3" t="n">
        <f aca="false">'1. Raw Data'!I178</f>
        <v>3</v>
      </c>
      <c r="J179" s="3" t="n">
        <f aca="false">'1. Raw Data'!J178</f>
        <v>1</v>
      </c>
      <c r="K179" s="3" t="n">
        <f aca="false">'1. Raw Data'!K178</f>
        <v>1</v>
      </c>
      <c r="L179" s="3" t="n">
        <f aca="false">'1. Raw Data'!L178</f>
        <v>0</v>
      </c>
      <c r="M179" s="3" t="n">
        <f aca="false">'1. Raw Data'!M178</f>
        <v>2</v>
      </c>
      <c r="N179" s="3" t="str">
        <f aca="false">'1. Raw Data'!N178</f>
        <v>No</v>
      </c>
    </row>
    <row r="180" customFormat="false" ht="15" hidden="false" customHeight="false" outlineLevel="0" collapsed="false">
      <c r="A180" s="3" t="str">
        <f aca="false">'1. Raw Data'!A179</f>
        <v>EMP-0178</v>
      </c>
      <c r="B180" s="3" t="n">
        <f aca="false">'1. Raw Data'!B179</f>
        <v>28</v>
      </c>
      <c r="C180" s="3" t="str">
        <f aca="false">'1. Raw Data'!C179</f>
        <v>Engineering</v>
      </c>
      <c r="D180" s="3" t="str">
        <f aca="false">'1. Raw Data'!D179</f>
        <v>Junior</v>
      </c>
      <c r="E180" s="3" t="str">
        <f aca="false">'1. Raw Data'!E179</f>
        <v>Other</v>
      </c>
      <c r="F180" s="3" t="n">
        <f aca="false">'1. Raw Data'!F179</f>
        <v>3.1</v>
      </c>
      <c r="G180" s="3" t="n">
        <f aca="false">IF('1. Raw Data'!G179="",ROUND(IFERROR(AVERAGEIFS('1. Raw Data'!G2:G1201,'1. Raw Data'!C2:C1201,'1. Raw Data'!C179,'1. Raw Data'!D2:D1201,'1. Raw Data'!D179),0),2),'1. Raw Data'!G179)</f>
        <v>3507.24</v>
      </c>
      <c r="H180" s="3" t="str">
        <f aca="false">PROPER('1. Raw Data'!H179)</f>
        <v>No</v>
      </c>
      <c r="I180" s="3" t="n">
        <f aca="false">'1. Raw Data'!I179</f>
        <v>2</v>
      </c>
      <c r="J180" s="3" t="n">
        <f aca="false">'1. Raw Data'!J179</f>
        <v>4</v>
      </c>
      <c r="K180" s="3" t="n">
        <f aca="false">'1. Raw Data'!K179</f>
        <v>4</v>
      </c>
      <c r="L180" s="3" t="n">
        <f aca="false">'1. Raw Data'!L179</f>
        <v>3</v>
      </c>
      <c r="M180" s="3" t="n">
        <f aca="false">'1. Raw Data'!M179</f>
        <v>0</v>
      </c>
      <c r="N180" s="3" t="str">
        <f aca="false">'1. Raw Data'!N179</f>
        <v>Yes</v>
      </c>
    </row>
    <row r="181" customFormat="false" ht="15" hidden="false" customHeight="false" outlineLevel="0" collapsed="false">
      <c r="A181" s="3" t="str">
        <f aca="false">'1. Raw Data'!A180</f>
        <v>EMP-0179</v>
      </c>
      <c r="B181" s="3" t="n">
        <f aca="false">'1. Raw Data'!B180</f>
        <v>37</v>
      </c>
      <c r="C181" s="3" t="str">
        <f aca="false">'1. Raw Data'!C180</f>
        <v>Marketing</v>
      </c>
      <c r="D181" s="3" t="str">
        <f aca="false">'1. Raw Data'!D180</f>
        <v>Mid</v>
      </c>
      <c r="E181" s="3" t="str">
        <f aca="false">'1. Raw Data'!E180</f>
        <v>Technical</v>
      </c>
      <c r="F181" s="3" t="n">
        <f aca="false">'1. Raw Data'!F180</f>
        <v>0.3</v>
      </c>
      <c r="G181" s="3" t="n">
        <f aca="false">IF('1. Raw Data'!G180="",ROUND(IFERROR(AVERAGEIFS('1. Raw Data'!G2:G1201,'1. Raw Data'!C2:C1201,'1. Raw Data'!C180,'1. Raw Data'!D2:D1201,'1. Raw Data'!D180),0),2),'1. Raw Data'!G180)</f>
        <v>4805.14</v>
      </c>
      <c r="H181" s="3" t="str">
        <f aca="false">PROPER('1. Raw Data'!H180)</f>
        <v>No</v>
      </c>
      <c r="I181" s="3" t="n">
        <f aca="false">'1. Raw Data'!I180</f>
        <v>3</v>
      </c>
      <c r="J181" s="3" t="n">
        <f aca="false">'1. Raw Data'!J180</f>
        <v>2</v>
      </c>
      <c r="K181" s="3" t="n">
        <f aca="false">'1. Raw Data'!K180</f>
        <v>17</v>
      </c>
      <c r="L181" s="3" t="n">
        <f aca="false">'1. Raw Data'!L180</f>
        <v>0</v>
      </c>
      <c r="M181" s="3" t="n">
        <f aca="false">'1. Raw Data'!M180</f>
        <v>1</v>
      </c>
      <c r="N181" s="3" t="str">
        <f aca="false">'1. Raw Data'!N180</f>
        <v>Yes</v>
      </c>
    </row>
    <row r="182" customFormat="false" ht="15" hidden="false" customHeight="false" outlineLevel="0" collapsed="false">
      <c r="A182" s="3" t="str">
        <f aca="false">'1. Raw Data'!A181</f>
        <v>EMP-0180</v>
      </c>
      <c r="B182" s="3" t="n">
        <f aca="false">'1. Raw Data'!B181</f>
        <v>28</v>
      </c>
      <c r="C182" s="3" t="str">
        <f aca="false">'1. Raw Data'!C181</f>
        <v>Sales</v>
      </c>
      <c r="D182" s="3" t="str">
        <f aca="false">'1. Raw Data'!D181</f>
        <v>Junior</v>
      </c>
      <c r="E182" s="3" t="str">
        <f aca="false">'1. Raw Data'!E181</f>
        <v>Marketing</v>
      </c>
      <c r="F182" s="3" t="n">
        <f aca="false">'1. Raw Data'!F181</f>
        <v>3.3</v>
      </c>
      <c r="G182" s="3" t="n">
        <f aca="false">IF('1. Raw Data'!G181="",ROUND(IFERROR(AVERAGEIFS('1. Raw Data'!G2:G1201,'1. Raw Data'!C2:C1201,'1. Raw Data'!C181,'1. Raw Data'!D2:D1201,'1. Raw Data'!D181),0),2),'1. Raw Data'!G181)</f>
        <v>2914.16</v>
      </c>
      <c r="H182" s="3" t="str">
        <f aca="false">PROPER('1. Raw Data'!H181)</f>
        <v>No</v>
      </c>
      <c r="I182" s="3" t="n">
        <f aca="false">'1. Raw Data'!I181</f>
        <v>1</v>
      </c>
      <c r="J182" s="3" t="n">
        <f aca="false">'1. Raw Data'!J181</f>
        <v>2</v>
      </c>
      <c r="K182" s="3" t="n">
        <f aca="false">'1. Raw Data'!K181</f>
        <v>1</v>
      </c>
      <c r="L182" s="3" t="n">
        <f aca="false">'1. Raw Data'!L181</f>
        <v>1</v>
      </c>
      <c r="M182" s="3" t="n">
        <f aca="false">'1. Raw Data'!M181</f>
        <v>2</v>
      </c>
      <c r="N182" s="3" t="str">
        <f aca="false">'1. Raw Data'!N181</f>
        <v>No</v>
      </c>
    </row>
    <row r="183" customFormat="false" ht="15" hidden="false" customHeight="false" outlineLevel="0" collapsed="false">
      <c r="A183" s="3" t="str">
        <f aca="false">'1. Raw Data'!A182</f>
        <v>EMP-0181</v>
      </c>
      <c r="B183" s="3" t="n">
        <f aca="false">'1. Raw Data'!B182</f>
        <v>27</v>
      </c>
      <c r="C183" s="3" t="str">
        <f aca="false">'1. Raw Data'!C182</f>
        <v>Marketing</v>
      </c>
      <c r="D183" s="3" t="str">
        <f aca="false">'1. Raw Data'!D182</f>
        <v>Junior</v>
      </c>
      <c r="E183" s="3" t="str">
        <f aca="false">'1. Raw Data'!E182</f>
        <v>Marketing</v>
      </c>
      <c r="F183" s="3" t="n">
        <f aca="false">'1. Raw Data'!F182</f>
        <v>0.9</v>
      </c>
      <c r="G183" s="3" t="n">
        <f aca="false">IF('1. Raw Data'!G182="",ROUND(IFERROR(AVERAGEIFS('1. Raw Data'!G2:G1201,'1. Raw Data'!C2:C1201,'1. Raw Data'!C182,'1. Raw Data'!D2:D1201,'1. Raw Data'!D182),0),2),'1. Raw Data'!G182)</f>
        <v>2882.29</v>
      </c>
      <c r="H183" s="3" t="str">
        <f aca="false">PROPER('1. Raw Data'!H182)</f>
        <v>No</v>
      </c>
      <c r="I183" s="3" t="n">
        <f aca="false">'1. Raw Data'!I182</f>
        <v>4</v>
      </c>
      <c r="J183" s="3" t="n">
        <f aca="false">'1. Raw Data'!J182</f>
        <v>4</v>
      </c>
      <c r="K183" s="3" t="n">
        <f aca="false">'1. Raw Data'!K182</f>
        <v>26</v>
      </c>
      <c r="L183" s="3" t="n">
        <f aca="false">'1. Raw Data'!L182</f>
        <v>0</v>
      </c>
      <c r="M183" s="3" t="n">
        <f aca="false">'1. Raw Data'!M182</f>
        <v>1</v>
      </c>
      <c r="N183" s="3" t="str">
        <f aca="false">'1. Raw Data'!N182</f>
        <v>No</v>
      </c>
    </row>
    <row r="184" customFormat="false" ht="15" hidden="false" customHeight="false" outlineLevel="0" collapsed="false">
      <c r="A184" s="3" t="str">
        <f aca="false">'1. Raw Data'!A183</f>
        <v>EMP-0182</v>
      </c>
      <c r="B184" s="3" t="n">
        <f aca="false">'1. Raw Data'!B183</f>
        <v>24</v>
      </c>
      <c r="C184" s="3" t="str">
        <f aca="false">'1. Raw Data'!C183</f>
        <v>Marketing</v>
      </c>
      <c r="D184" s="3" t="str">
        <f aca="false">'1. Raw Data'!D183</f>
        <v>Senior</v>
      </c>
      <c r="E184" s="3" t="str">
        <f aca="false">'1. Raw Data'!E183</f>
        <v>Technical</v>
      </c>
      <c r="F184" s="3" t="n">
        <f aca="false">'1. Raw Data'!F183</f>
        <v>3</v>
      </c>
      <c r="G184" s="3" t="n">
        <f aca="false">IF('1. Raw Data'!G183="",ROUND(IFERROR(AVERAGEIFS('1. Raw Data'!G2:G1201,'1. Raw Data'!C2:C1201,'1. Raw Data'!C183,'1. Raw Data'!D2:D1201,'1. Raw Data'!D183),0),2),'1. Raw Data'!G183)</f>
        <v>7327.8</v>
      </c>
      <c r="H184" s="3" t="str">
        <f aca="false">PROPER('1. Raw Data'!H183)</f>
        <v>No</v>
      </c>
      <c r="I184" s="3" t="n">
        <f aca="false">'1. Raw Data'!I183</f>
        <v>3</v>
      </c>
      <c r="J184" s="3" t="n">
        <f aca="false">'1. Raw Data'!J183</f>
        <v>3</v>
      </c>
      <c r="K184" s="3" t="n">
        <f aca="false">'1. Raw Data'!K183</f>
        <v>3</v>
      </c>
      <c r="L184" s="3" t="n">
        <f aca="false">'1. Raw Data'!L183</f>
        <v>3</v>
      </c>
      <c r="M184" s="3" t="n">
        <f aca="false">'1. Raw Data'!M183</f>
        <v>2</v>
      </c>
      <c r="N184" s="3" t="str">
        <f aca="false">'1. Raw Data'!N183</f>
        <v>No</v>
      </c>
    </row>
    <row r="185" customFormat="false" ht="15" hidden="false" customHeight="false" outlineLevel="0" collapsed="false">
      <c r="A185" s="3" t="str">
        <f aca="false">'1. Raw Data'!A184</f>
        <v>EMP-0183</v>
      </c>
      <c r="B185" s="3" t="n">
        <f aca="false">'1. Raw Data'!B184</f>
        <v>35</v>
      </c>
      <c r="C185" s="3" t="str">
        <f aca="false">'1. Raw Data'!C184</f>
        <v>Customer Support</v>
      </c>
      <c r="D185" s="3" t="str">
        <f aca="false">'1. Raw Data'!D184</f>
        <v>Senior</v>
      </c>
      <c r="E185" s="3" t="str">
        <f aca="false">'1. Raw Data'!E184</f>
        <v>Other</v>
      </c>
      <c r="F185" s="3" t="n">
        <f aca="false">'1. Raw Data'!F184</f>
        <v>0.2</v>
      </c>
      <c r="G185" s="3" t="n">
        <f aca="false">IF('1. Raw Data'!G184="",ROUND(IFERROR(AVERAGEIFS('1. Raw Data'!G2:G1201,'1. Raw Data'!C2:C1201,'1. Raw Data'!C184,'1. Raw Data'!D2:D1201,'1. Raw Data'!D184),0),2),'1. Raw Data'!G184)</f>
        <v>6667.18</v>
      </c>
      <c r="H185" s="3" t="str">
        <f aca="false">PROPER('1. Raw Data'!H184)</f>
        <v>Yes</v>
      </c>
      <c r="I185" s="3" t="n">
        <f aca="false">'1. Raw Data'!I184</f>
        <v>3</v>
      </c>
      <c r="J185" s="3" t="n">
        <f aca="false">'1. Raw Data'!J184</f>
        <v>4</v>
      </c>
      <c r="K185" s="3" t="n">
        <f aca="false">'1. Raw Data'!K184</f>
        <v>1</v>
      </c>
      <c r="L185" s="3" t="n">
        <f aca="false">'1. Raw Data'!L184</f>
        <v>0</v>
      </c>
      <c r="M185" s="3" t="n">
        <f aca="false">'1. Raw Data'!M184</f>
        <v>1</v>
      </c>
      <c r="N185" s="3" t="str">
        <f aca="false">'1. Raw Data'!N184</f>
        <v>No</v>
      </c>
    </row>
    <row r="186" customFormat="false" ht="15" hidden="false" customHeight="false" outlineLevel="0" collapsed="false">
      <c r="A186" s="3" t="str">
        <f aca="false">'1. Raw Data'!A185</f>
        <v>EMP-0184</v>
      </c>
      <c r="B186" s="3" t="n">
        <f aca="false">'1. Raw Data'!B185</f>
        <v>28</v>
      </c>
      <c r="C186" s="3" t="str">
        <f aca="false">'1. Raw Data'!C185</f>
        <v>Sales</v>
      </c>
      <c r="D186" s="3" t="str">
        <f aca="false">'1. Raw Data'!D185</f>
        <v>Junior</v>
      </c>
      <c r="E186" s="3" t="str">
        <f aca="false">'1. Raw Data'!E185</f>
        <v>Other</v>
      </c>
      <c r="F186" s="3" t="n">
        <f aca="false">'1. Raw Data'!F185</f>
        <v>1.8</v>
      </c>
      <c r="G186" s="3" t="n">
        <f aca="false">IF('1. Raw Data'!G185="",ROUND(IFERROR(AVERAGEIFS('1. Raw Data'!G2:G1201,'1. Raw Data'!C2:C1201,'1. Raw Data'!C185,'1. Raw Data'!D2:D1201,'1. Raw Data'!D185),0),2),'1. Raw Data'!G185)</f>
        <v>2806.83</v>
      </c>
      <c r="H186" s="3" t="str">
        <f aca="false">PROPER('1. Raw Data'!H185)</f>
        <v>No</v>
      </c>
      <c r="I186" s="3" t="n">
        <f aca="false">'1. Raw Data'!I185</f>
        <v>3</v>
      </c>
      <c r="J186" s="3" t="n">
        <f aca="false">'1. Raw Data'!J185</f>
        <v>3</v>
      </c>
      <c r="K186" s="3" t="n">
        <f aca="false">'1. Raw Data'!K185</f>
        <v>1</v>
      </c>
      <c r="L186" s="3" t="n">
        <f aca="false">'1. Raw Data'!L185</f>
        <v>1</v>
      </c>
      <c r="M186" s="3" t="n">
        <f aca="false">'1. Raw Data'!M185</f>
        <v>1</v>
      </c>
      <c r="N186" s="3" t="str">
        <f aca="false">'1. Raw Data'!N185</f>
        <v>No</v>
      </c>
    </row>
    <row r="187" customFormat="false" ht="15" hidden="false" customHeight="false" outlineLevel="0" collapsed="false">
      <c r="A187" s="3" t="str">
        <f aca="false">'1. Raw Data'!A186</f>
        <v>EMP-0185</v>
      </c>
      <c r="B187" s="3" t="n">
        <f aca="false">'1. Raw Data'!B186</f>
        <v>27</v>
      </c>
      <c r="C187" s="3" t="str">
        <f aca="false">'1. Raw Data'!C186</f>
        <v>HR</v>
      </c>
      <c r="D187" s="3" t="str">
        <f aca="false">'1. Raw Data'!D186</f>
        <v>Mid</v>
      </c>
      <c r="E187" s="3" t="str">
        <f aca="false">'1. Raw Data'!E186</f>
        <v>Technical</v>
      </c>
      <c r="F187" s="3" t="n">
        <f aca="false">'1. Raw Data'!F186</f>
        <v>1.9</v>
      </c>
      <c r="G187" s="3" t="n">
        <f aca="false">IF('1. Raw Data'!G186="",ROUND(IFERROR(AVERAGEIFS('1. Raw Data'!G2:G1201,'1. Raw Data'!C2:C1201,'1. Raw Data'!C186,'1. Raw Data'!D2:D1201,'1. Raw Data'!D186),0),2),'1. Raw Data'!G186)</f>
        <v>5029.57</v>
      </c>
      <c r="H187" s="3" t="str">
        <f aca="false">PROPER('1. Raw Data'!H186)</f>
        <v>Yes</v>
      </c>
      <c r="I187" s="3" t="n">
        <f aca="false">'1. Raw Data'!I186</f>
        <v>4</v>
      </c>
      <c r="J187" s="3" t="n">
        <f aca="false">'1. Raw Data'!J186</f>
        <v>1</v>
      </c>
      <c r="K187" s="3" t="n">
        <f aca="false">'1. Raw Data'!K186</f>
        <v>6</v>
      </c>
      <c r="L187" s="3" t="n">
        <f aca="false">'1. Raw Data'!L186</f>
        <v>1</v>
      </c>
      <c r="M187" s="3" t="n">
        <f aca="false">'1. Raw Data'!M186</f>
        <v>1</v>
      </c>
      <c r="N187" s="3" t="str">
        <f aca="false">'1. Raw Data'!N186</f>
        <v>Yes</v>
      </c>
    </row>
    <row r="188" customFormat="false" ht="15" hidden="false" customHeight="false" outlineLevel="0" collapsed="false">
      <c r="A188" s="3" t="str">
        <f aca="false">'1. Raw Data'!A187</f>
        <v>EMP-0186</v>
      </c>
      <c r="B188" s="3" t="n">
        <f aca="false">'1. Raw Data'!B187</f>
        <v>32</v>
      </c>
      <c r="C188" s="3" t="str">
        <f aca="false">'1. Raw Data'!C187</f>
        <v>Engineering</v>
      </c>
      <c r="D188" s="3" t="str">
        <f aca="false">'1. Raw Data'!D187</f>
        <v>Mid</v>
      </c>
      <c r="E188" s="3" t="str">
        <f aca="false">'1. Raw Data'!E187</f>
        <v>Business</v>
      </c>
      <c r="F188" s="3" t="n">
        <f aca="false">'1. Raw Data'!F187</f>
        <v>0.1</v>
      </c>
      <c r="G188" s="3" t="n">
        <f aca="false">IF('1. Raw Data'!G187="",ROUND(IFERROR(AVERAGEIFS('1. Raw Data'!G2:G1201,'1. Raw Data'!C2:C1201,'1. Raw Data'!C187,'1. Raw Data'!D2:D1201,'1. Raw Data'!D187),0),2),'1. Raw Data'!G187)</f>
        <v>4296.94</v>
      </c>
      <c r="H188" s="3" t="str">
        <f aca="false">PROPER('1. Raw Data'!H187)</f>
        <v>No</v>
      </c>
      <c r="I188" s="3" t="n">
        <f aca="false">'1. Raw Data'!I187</f>
        <v>4</v>
      </c>
      <c r="J188" s="3" t="n">
        <f aca="false">'1. Raw Data'!J187</f>
        <v>3</v>
      </c>
      <c r="K188" s="3" t="n">
        <f aca="false">'1. Raw Data'!K187</f>
        <v>12</v>
      </c>
      <c r="L188" s="3" t="n">
        <f aca="false">'1. Raw Data'!L187</f>
        <v>0</v>
      </c>
      <c r="M188" s="3" t="n">
        <f aca="false">'1. Raw Data'!M187</f>
        <v>2</v>
      </c>
      <c r="N188" s="3" t="str">
        <f aca="false">'1. Raw Data'!N187</f>
        <v>No</v>
      </c>
    </row>
    <row r="189" customFormat="false" ht="15" hidden="false" customHeight="false" outlineLevel="0" collapsed="false">
      <c r="A189" s="3" t="str">
        <f aca="false">'1. Raw Data'!A188</f>
        <v>EMP-0187</v>
      </c>
      <c r="B189" s="3" t="n">
        <f aca="false">'1. Raw Data'!B188</f>
        <v>35</v>
      </c>
      <c r="C189" s="3" t="str">
        <f aca="false">'1. Raw Data'!C188</f>
        <v>Finance</v>
      </c>
      <c r="D189" s="3" t="str">
        <f aca="false">'1. Raw Data'!D188</f>
        <v>Junior</v>
      </c>
      <c r="E189" s="3" t="str">
        <f aca="false">'1. Raw Data'!E188</f>
        <v>Marketing</v>
      </c>
      <c r="F189" s="3" t="n">
        <f aca="false">'1. Raw Data'!F188</f>
        <v>0.5</v>
      </c>
      <c r="G189" s="3" t="n">
        <f aca="false">IF('1. Raw Data'!G188="",ROUND(IFERROR(AVERAGEIFS('1. Raw Data'!G2:G1201,'1. Raw Data'!C2:C1201,'1. Raw Data'!C188,'1. Raw Data'!D2:D1201,'1. Raw Data'!D188),0),2),'1. Raw Data'!G188)</f>
        <v>3394.35</v>
      </c>
      <c r="H189" s="3" t="str">
        <f aca="false">PROPER('1. Raw Data'!H188)</f>
        <v>No</v>
      </c>
      <c r="I189" s="3" t="n">
        <f aca="false">'1. Raw Data'!I188</f>
        <v>1</v>
      </c>
      <c r="J189" s="3" t="n">
        <f aca="false">'1. Raw Data'!J188</f>
        <v>4</v>
      </c>
      <c r="K189" s="3" t="n">
        <f aca="false">'1. Raw Data'!K188</f>
        <v>2</v>
      </c>
      <c r="L189" s="3" t="n">
        <f aca="false">'1. Raw Data'!L188</f>
        <v>0</v>
      </c>
      <c r="M189" s="3" t="n">
        <f aca="false">'1. Raw Data'!M188</f>
        <v>3</v>
      </c>
      <c r="N189" s="3" t="str">
        <f aca="false">'1. Raw Data'!N188</f>
        <v>Yes</v>
      </c>
    </row>
    <row r="190" customFormat="false" ht="15" hidden="false" customHeight="false" outlineLevel="0" collapsed="false">
      <c r="A190" s="3" t="str">
        <f aca="false">'1. Raw Data'!A189</f>
        <v>EMP-0188</v>
      </c>
      <c r="B190" s="3" t="n">
        <f aca="false">'1. Raw Data'!B189</f>
        <v>36</v>
      </c>
      <c r="C190" s="3" t="str">
        <f aca="false">'1. Raw Data'!C189</f>
        <v>Finance</v>
      </c>
      <c r="D190" s="3" t="str">
        <f aca="false">'1. Raw Data'!D189</f>
        <v>Junior</v>
      </c>
      <c r="E190" s="3" t="str">
        <f aca="false">'1. Raw Data'!E189</f>
        <v>Technical</v>
      </c>
      <c r="F190" s="3" t="n">
        <f aca="false">'1. Raw Data'!F189</f>
        <v>3.7</v>
      </c>
      <c r="G190" s="3" t="n">
        <f aca="false">IF('1. Raw Data'!G189="",ROUND(IFERROR(AVERAGEIFS('1. Raw Data'!G2:G1201,'1. Raw Data'!C2:C1201,'1. Raw Data'!C189,'1. Raw Data'!D2:D1201,'1. Raw Data'!D189),0),2),'1. Raw Data'!G189)</f>
        <v>3240.28</v>
      </c>
      <c r="H190" s="3" t="str">
        <f aca="false">PROPER('1. Raw Data'!H189)</f>
        <v>No</v>
      </c>
      <c r="I190" s="3" t="n">
        <f aca="false">'1. Raw Data'!I189</f>
        <v>3</v>
      </c>
      <c r="J190" s="3" t="n">
        <f aca="false">'1. Raw Data'!J189</f>
        <v>2</v>
      </c>
      <c r="K190" s="3" t="n">
        <f aca="false">'1. Raw Data'!K189</f>
        <v>13</v>
      </c>
      <c r="L190" s="3" t="n">
        <f aca="false">'1. Raw Data'!L189</f>
        <v>0</v>
      </c>
      <c r="M190" s="3" t="n">
        <f aca="false">'1. Raw Data'!M189</f>
        <v>0</v>
      </c>
      <c r="N190" s="3" t="str">
        <f aca="false">'1. Raw Data'!N189</f>
        <v>No</v>
      </c>
    </row>
    <row r="191" customFormat="false" ht="15" hidden="false" customHeight="false" outlineLevel="0" collapsed="false">
      <c r="A191" s="3" t="str">
        <f aca="false">'1. Raw Data'!A190</f>
        <v>EMP-0189</v>
      </c>
      <c r="B191" s="3" t="n">
        <f aca="false">'1. Raw Data'!B190</f>
        <v>38</v>
      </c>
      <c r="C191" s="3" t="str">
        <f aca="false">'1. Raw Data'!C190</f>
        <v>HR</v>
      </c>
      <c r="D191" s="3" t="str">
        <f aca="false">'1. Raw Data'!D190</f>
        <v>Senior</v>
      </c>
      <c r="E191" s="3" t="str">
        <f aca="false">'1. Raw Data'!E190</f>
        <v>Marketing</v>
      </c>
      <c r="F191" s="3" t="n">
        <f aca="false">'1. Raw Data'!F190</f>
        <v>6.1</v>
      </c>
      <c r="G191" s="3" t="n">
        <f aca="false">IF('1. Raw Data'!G190="",ROUND(IFERROR(AVERAGEIFS('1. Raw Data'!G2:G1201,'1. Raw Data'!C2:C1201,'1. Raw Data'!C190,'1. Raw Data'!D2:D1201,'1. Raw Data'!D190),0),2),'1. Raw Data'!G190)</f>
        <v>7952.13</v>
      </c>
      <c r="H191" s="3" t="str">
        <f aca="false">PROPER('1. Raw Data'!H190)</f>
        <v>No</v>
      </c>
      <c r="I191" s="3" t="n">
        <f aca="false">'1. Raw Data'!I190</f>
        <v>2</v>
      </c>
      <c r="J191" s="3" t="n">
        <f aca="false">'1. Raw Data'!J190</f>
        <v>3</v>
      </c>
      <c r="K191" s="3" t="n">
        <f aca="false">'1. Raw Data'!K190</f>
        <v>8</v>
      </c>
      <c r="L191" s="3" t="n">
        <f aca="false">'1. Raw Data'!L190</f>
        <v>0</v>
      </c>
      <c r="M191" s="3" t="n">
        <f aca="false">'1. Raw Data'!M190</f>
        <v>4</v>
      </c>
      <c r="N191" s="3" t="str">
        <f aca="false">'1. Raw Data'!N190</f>
        <v>Yes</v>
      </c>
    </row>
    <row r="192" customFormat="false" ht="15" hidden="false" customHeight="false" outlineLevel="0" collapsed="false">
      <c r="A192" s="3" t="str">
        <f aca="false">'1. Raw Data'!A191</f>
        <v>EMP-0190</v>
      </c>
      <c r="B192" s="3" t="n">
        <f aca="false">'1. Raw Data'!B191</f>
        <v>27</v>
      </c>
      <c r="C192" s="3" t="str">
        <f aca="false">'1. Raw Data'!C191</f>
        <v>Engineering</v>
      </c>
      <c r="D192" s="3" t="str">
        <f aca="false">'1. Raw Data'!D191</f>
        <v>Junior</v>
      </c>
      <c r="E192" s="3" t="str">
        <f aca="false">'1. Raw Data'!E191</f>
        <v>Other</v>
      </c>
      <c r="F192" s="3" t="n">
        <f aca="false">'1. Raw Data'!F191</f>
        <v>0.3</v>
      </c>
      <c r="G192" s="3" t="n">
        <f aca="false">IF('1. Raw Data'!G191="",ROUND(IFERROR(AVERAGEIFS('1. Raw Data'!G2:G1201,'1. Raw Data'!C2:C1201,'1. Raw Data'!C191,'1. Raw Data'!D2:D1201,'1. Raw Data'!D191),0),2),'1. Raw Data'!G191)</f>
        <v>3294.41</v>
      </c>
      <c r="H192" s="3" t="str">
        <f aca="false">PROPER('1. Raw Data'!H191)</f>
        <v>Yes</v>
      </c>
      <c r="I192" s="3" t="n">
        <f aca="false">'1. Raw Data'!I191</f>
        <v>3</v>
      </c>
      <c r="J192" s="3" t="n">
        <f aca="false">'1. Raw Data'!J191</f>
        <v>2</v>
      </c>
      <c r="K192" s="3" t="n">
        <f aca="false">'1. Raw Data'!K191</f>
        <v>20</v>
      </c>
      <c r="L192" s="3" t="n">
        <f aca="false">'1. Raw Data'!L191</f>
        <v>0</v>
      </c>
      <c r="M192" s="3" t="n">
        <f aca="false">'1. Raw Data'!M191</f>
        <v>3</v>
      </c>
      <c r="N192" s="3" t="str">
        <f aca="false">'1. Raw Data'!N191</f>
        <v>No</v>
      </c>
    </row>
    <row r="193" customFormat="false" ht="15" hidden="false" customHeight="false" outlineLevel="0" collapsed="false">
      <c r="A193" s="3" t="str">
        <f aca="false">'1. Raw Data'!A192</f>
        <v>EMP-0191</v>
      </c>
      <c r="B193" s="3" t="n">
        <f aca="false">'1. Raw Data'!B192</f>
        <v>25</v>
      </c>
      <c r="C193" s="3" t="str">
        <f aca="false">'1. Raw Data'!C192</f>
        <v>Marketing</v>
      </c>
      <c r="D193" s="3" t="str">
        <f aca="false">'1. Raw Data'!D192</f>
        <v>Mid</v>
      </c>
      <c r="E193" s="3" t="str">
        <f aca="false">'1. Raw Data'!E192</f>
        <v>Marketing</v>
      </c>
      <c r="F193" s="3" t="n">
        <f aca="false">'1. Raw Data'!F192</f>
        <v>4</v>
      </c>
      <c r="G193" s="3" t="n">
        <f aca="false">IF('1. Raw Data'!G192="",ROUND(IFERROR(AVERAGEIFS('1. Raw Data'!G2:G1201,'1. Raw Data'!C2:C1201,'1. Raw Data'!C192,'1. Raw Data'!D2:D1201,'1. Raw Data'!D192),0),2),'1. Raw Data'!G192)</f>
        <v>4933.02</v>
      </c>
      <c r="H193" s="3" t="str">
        <f aca="false">PROPER('1. Raw Data'!H192)</f>
        <v>No</v>
      </c>
      <c r="I193" s="3" t="n">
        <f aca="false">'1. Raw Data'!I192</f>
        <v>2</v>
      </c>
      <c r="J193" s="3" t="n">
        <f aca="false">'1. Raw Data'!J192</f>
        <v>3</v>
      </c>
      <c r="K193" s="3" t="n">
        <f aca="false">'1. Raw Data'!K192</f>
        <v>1</v>
      </c>
      <c r="L193" s="3" t="n">
        <f aca="false">'1. Raw Data'!L192</f>
        <v>0</v>
      </c>
      <c r="M193" s="3" t="n">
        <f aca="false">'1. Raw Data'!M192</f>
        <v>2</v>
      </c>
      <c r="N193" s="3" t="str">
        <f aca="false">'1. Raw Data'!N192</f>
        <v>No</v>
      </c>
    </row>
    <row r="194" customFormat="false" ht="15" hidden="false" customHeight="false" outlineLevel="0" collapsed="false">
      <c r="A194" s="3" t="str">
        <f aca="false">'1. Raw Data'!A193</f>
        <v>EMP-0192</v>
      </c>
      <c r="B194" s="3" t="n">
        <f aca="false">'1. Raw Data'!B193</f>
        <v>31</v>
      </c>
      <c r="C194" s="3" t="str">
        <f aca="false">'1. Raw Data'!C193</f>
        <v>Marketing</v>
      </c>
      <c r="D194" s="3" t="str">
        <f aca="false">'1. Raw Data'!D193</f>
        <v>Senior</v>
      </c>
      <c r="E194" s="3" t="str">
        <f aca="false">'1. Raw Data'!E193</f>
        <v>Business</v>
      </c>
      <c r="F194" s="3" t="n">
        <f aca="false">'1. Raw Data'!F193</f>
        <v>2.2</v>
      </c>
      <c r="G194" s="3" t="n">
        <f aca="false">IF('1. Raw Data'!G193="",ROUND(IFERROR(AVERAGEIFS('1. Raw Data'!G2:G1201,'1. Raw Data'!C2:C1201,'1. Raw Data'!C193,'1. Raw Data'!D2:D1201,'1. Raw Data'!D193),0),2),'1. Raw Data'!G193)</f>
        <v>7787.1</v>
      </c>
      <c r="H194" s="3" t="str">
        <f aca="false">PROPER('1. Raw Data'!H193)</f>
        <v>Yes</v>
      </c>
      <c r="I194" s="3" t="n">
        <f aca="false">'1. Raw Data'!I193</f>
        <v>3</v>
      </c>
      <c r="J194" s="3" t="n">
        <f aca="false">'1. Raw Data'!J193</f>
        <v>3</v>
      </c>
      <c r="K194" s="3" t="n">
        <f aca="false">'1. Raw Data'!K193</f>
        <v>2</v>
      </c>
      <c r="L194" s="3" t="n">
        <f aca="false">'1. Raw Data'!L193</f>
        <v>0</v>
      </c>
      <c r="M194" s="3" t="n">
        <f aca="false">'1. Raw Data'!M193</f>
        <v>3</v>
      </c>
      <c r="N194" s="3" t="str">
        <f aca="false">'1. Raw Data'!N193</f>
        <v>No</v>
      </c>
    </row>
    <row r="195" customFormat="false" ht="15" hidden="false" customHeight="false" outlineLevel="0" collapsed="false">
      <c r="A195" s="3" t="str">
        <f aca="false">'1. Raw Data'!A194</f>
        <v>EMP-0193</v>
      </c>
      <c r="B195" s="3" t="n">
        <f aca="false">'1. Raw Data'!B194</f>
        <v>46</v>
      </c>
      <c r="C195" s="3" t="str">
        <f aca="false">'1. Raw Data'!C194</f>
        <v>Engineering</v>
      </c>
      <c r="D195" s="3" t="str">
        <f aca="false">'1. Raw Data'!D194</f>
        <v>Junior</v>
      </c>
      <c r="E195" s="3" t="str">
        <f aca="false">'1. Raw Data'!E194</f>
        <v>Marketing</v>
      </c>
      <c r="F195" s="3" t="n">
        <f aca="false">'1. Raw Data'!F194</f>
        <v>9.8</v>
      </c>
      <c r="G195" s="3" t="n">
        <f aca="false">IF('1. Raw Data'!G194="",ROUND(IFERROR(AVERAGEIFS('1. Raw Data'!G2:G1201,'1. Raw Data'!C2:C1201,'1. Raw Data'!C194,'1. Raw Data'!D2:D1201,'1. Raw Data'!D194),0),2),'1. Raw Data'!G194)</f>
        <v>3645.19</v>
      </c>
      <c r="H195" s="3" t="str">
        <f aca="false">PROPER('1. Raw Data'!H194)</f>
        <v>Yes</v>
      </c>
      <c r="I195" s="3" t="n">
        <f aca="false">'1. Raw Data'!I194</f>
        <v>2</v>
      </c>
      <c r="J195" s="3" t="n">
        <f aca="false">'1. Raw Data'!J194</f>
        <v>1</v>
      </c>
      <c r="K195" s="3" t="n">
        <f aca="false">'1. Raw Data'!K194</f>
        <v>1</v>
      </c>
      <c r="L195" s="3" t="n">
        <f aca="false">'1. Raw Data'!L194</f>
        <v>1</v>
      </c>
      <c r="M195" s="3" t="n">
        <f aca="false">'1. Raw Data'!M194</f>
        <v>1</v>
      </c>
      <c r="N195" s="3" t="str">
        <f aca="false">'1. Raw Data'!N194</f>
        <v>No</v>
      </c>
    </row>
    <row r="196" customFormat="false" ht="15" hidden="false" customHeight="false" outlineLevel="0" collapsed="false">
      <c r="A196" s="3" t="str">
        <f aca="false">'1. Raw Data'!A195</f>
        <v>EMP-0194</v>
      </c>
      <c r="B196" s="3" t="n">
        <f aca="false">'1. Raw Data'!B195</f>
        <v>42</v>
      </c>
      <c r="C196" s="3" t="str">
        <f aca="false">'1. Raw Data'!C195</f>
        <v>Customer Support</v>
      </c>
      <c r="D196" s="3" t="str">
        <f aca="false">'1. Raw Data'!D195</f>
        <v>Junior</v>
      </c>
      <c r="E196" s="3" t="str">
        <f aca="false">'1. Raw Data'!E195</f>
        <v>Marketing</v>
      </c>
      <c r="F196" s="3" t="n">
        <f aca="false">'1. Raw Data'!F195</f>
        <v>7.6</v>
      </c>
      <c r="G196" s="3" t="n">
        <f aca="false">IF('1. Raw Data'!G195="",ROUND(IFERROR(AVERAGEIFS('1. Raw Data'!G2:G1201,'1. Raw Data'!C2:C1201,'1. Raw Data'!C195,'1. Raw Data'!D2:D1201,'1. Raw Data'!D195),0),2),'1. Raw Data'!G195)</f>
        <v>3644.27</v>
      </c>
      <c r="H196" s="3" t="str">
        <f aca="false">PROPER('1. Raw Data'!H195)</f>
        <v>Yes</v>
      </c>
      <c r="I196" s="3" t="n">
        <f aca="false">'1. Raw Data'!I195</f>
        <v>2</v>
      </c>
      <c r="J196" s="3" t="n">
        <f aca="false">'1. Raw Data'!J195</f>
        <v>1</v>
      </c>
      <c r="K196" s="3" t="n">
        <f aca="false">'1. Raw Data'!K195</f>
        <v>4</v>
      </c>
      <c r="L196" s="3" t="n">
        <f aca="false">'1. Raw Data'!L195</f>
        <v>5</v>
      </c>
      <c r="M196" s="3" t="n">
        <f aca="false">'1. Raw Data'!M195</f>
        <v>2</v>
      </c>
      <c r="N196" s="3" t="str">
        <f aca="false">'1. Raw Data'!N195</f>
        <v>Yes</v>
      </c>
    </row>
    <row r="197" customFormat="false" ht="15" hidden="false" customHeight="false" outlineLevel="0" collapsed="false">
      <c r="A197" s="3" t="str">
        <f aca="false">'1. Raw Data'!A196</f>
        <v>EMP-0195</v>
      </c>
      <c r="B197" s="3" t="n">
        <f aca="false">'1. Raw Data'!B196</f>
        <v>29</v>
      </c>
      <c r="C197" s="3" t="str">
        <f aca="false">'1. Raw Data'!C196</f>
        <v>Engineering</v>
      </c>
      <c r="D197" s="3" t="str">
        <f aca="false">'1. Raw Data'!D196</f>
        <v>Junior</v>
      </c>
      <c r="E197" s="3" t="str">
        <f aca="false">'1. Raw Data'!E196</f>
        <v>Marketing</v>
      </c>
      <c r="F197" s="3" t="n">
        <f aca="false">'1. Raw Data'!F196</f>
        <v>1.2</v>
      </c>
      <c r="G197" s="3" t="n">
        <f aca="false">IF('1. Raw Data'!G196="",ROUND(IFERROR(AVERAGEIFS('1. Raw Data'!G2:G1201,'1. Raw Data'!C2:C1201,'1. Raw Data'!C196,'1. Raw Data'!D2:D1201,'1. Raw Data'!D196),0),2),'1. Raw Data'!G196)</f>
        <v>3546.51</v>
      </c>
      <c r="H197" s="3" t="str">
        <f aca="false">PROPER('1. Raw Data'!H196)</f>
        <v>Yes</v>
      </c>
      <c r="I197" s="3" t="n">
        <f aca="false">'1. Raw Data'!I196</f>
        <v>1</v>
      </c>
      <c r="J197" s="3" t="n">
        <f aca="false">'1. Raw Data'!J196</f>
        <v>3</v>
      </c>
      <c r="K197" s="3" t="n">
        <f aca="false">'1. Raw Data'!K196</f>
        <v>4</v>
      </c>
      <c r="L197" s="3" t="n">
        <f aca="false">'1. Raw Data'!L196</f>
        <v>0</v>
      </c>
      <c r="M197" s="3" t="n">
        <f aca="false">'1. Raw Data'!M196</f>
        <v>2</v>
      </c>
      <c r="N197" s="3" t="str">
        <f aca="false">'1. Raw Data'!N196</f>
        <v>Yes</v>
      </c>
    </row>
    <row r="198" customFormat="false" ht="15" hidden="false" customHeight="false" outlineLevel="0" collapsed="false">
      <c r="A198" s="3" t="str">
        <f aca="false">'1. Raw Data'!A197</f>
        <v>EMP-0196</v>
      </c>
      <c r="B198" s="3" t="n">
        <f aca="false">'1. Raw Data'!B197</f>
        <v>41</v>
      </c>
      <c r="C198" s="3" t="str">
        <f aca="false">'1. Raw Data'!C197</f>
        <v>Finance</v>
      </c>
      <c r="D198" s="3" t="str">
        <f aca="false">'1. Raw Data'!D197</f>
        <v>Mid</v>
      </c>
      <c r="E198" s="3" t="str">
        <f aca="false">'1. Raw Data'!E197</f>
        <v>Business</v>
      </c>
      <c r="F198" s="3" t="n">
        <f aca="false">'1. Raw Data'!F197</f>
        <v>4.6</v>
      </c>
      <c r="G198" s="3" t="n">
        <f aca="false">IF('1. Raw Data'!G197="",ROUND(IFERROR(AVERAGEIFS('1. Raw Data'!G2:G1201,'1. Raw Data'!C2:C1201,'1. Raw Data'!C197,'1. Raw Data'!D2:D1201,'1. Raw Data'!D197),0),2),'1. Raw Data'!G197)</f>
        <v>5501.18</v>
      </c>
      <c r="H198" s="3" t="str">
        <f aca="false">PROPER('1. Raw Data'!H197)</f>
        <v>No</v>
      </c>
      <c r="I198" s="3" t="n">
        <f aca="false">'1. Raw Data'!I197</f>
        <v>4</v>
      </c>
      <c r="J198" s="3" t="n">
        <f aca="false">'1. Raw Data'!J197</f>
        <v>2</v>
      </c>
      <c r="K198" s="3" t="n">
        <f aca="false">'1. Raw Data'!K197</f>
        <v>4</v>
      </c>
      <c r="L198" s="3" t="n">
        <f aca="false">'1. Raw Data'!L197</f>
        <v>3</v>
      </c>
      <c r="M198" s="3" t="n">
        <f aca="false">'1. Raw Data'!M197</f>
        <v>3</v>
      </c>
      <c r="N198" s="3" t="str">
        <f aca="false">'1. Raw Data'!N197</f>
        <v>No</v>
      </c>
    </row>
    <row r="199" customFormat="false" ht="15" hidden="false" customHeight="false" outlineLevel="0" collapsed="false">
      <c r="A199" s="3" t="str">
        <f aca="false">'1. Raw Data'!A198</f>
        <v>EMP-0197</v>
      </c>
      <c r="B199" s="3" t="n">
        <f aca="false">'1. Raw Data'!B198</f>
        <v>40</v>
      </c>
      <c r="C199" s="3" t="str">
        <f aca="false">'1. Raw Data'!C198</f>
        <v>Finance</v>
      </c>
      <c r="D199" s="3" t="str">
        <f aca="false">'1. Raw Data'!D198</f>
        <v>Mid</v>
      </c>
      <c r="E199" s="3" t="str">
        <f aca="false">'1. Raw Data'!E198</f>
        <v>Technical</v>
      </c>
      <c r="F199" s="3" t="n">
        <f aca="false">'1. Raw Data'!F198</f>
        <v>0.2</v>
      </c>
      <c r="G199" s="3" t="n">
        <f aca="false">IF('1. Raw Data'!G198="",ROUND(IFERROR(AVERAGEIFS('1. Raw Data'!G2:G1201,'1. Raw Data'!C2:C1201,'1. Raw Data'!C198,'1. Raw Data'!D2:D1201,'1. Raw Data'!D198),0),2),'1. Raw Data'!G198)</f>
        <v>4509.16</v>
      </c>
      <c r="H199" s="3" t="str">
        <f aca="false">PROPER('1. Raw Data'!H198)</f>
        <v>No</v>
      </c>
      <c r="I199" s="3" t="n">
        <f aca="false">'1. Raw Data'!I198</f>
        <v>3</v>
      </c>
      <c r="J199" s="3" t="n">
        <f aca="false">'1. Raw Data'!J198</f>
        <v>3</v>
      </c>
      <c r="K199" s="3" t="n">
        <f aca="false">'1. Raw Data'!K198</f>
        <v>2</v>
      </c>
      <c r="L199" s="3" t="n">
        <f aca="false">'1. Raw Data'!L198</f>
        <v>0</v>
      </c>
      <c r="M199" s="3" t="n">
        <f aca="false">'1. Raw Data'!M198</f>
        <v>1</v>
      </c>
      <c r="N199" s="3" t="str">
        <f aca="false">'1. Raw Data'!N198</f>
        <v>No</v>
      </c>
    </row>
    <row r="200" customFormat="false" ht="15" hidden="false" customHeight="false" outlineLevel="0" collapsed="false">
      <c r="A200" s="3" t="str">
        <f aca="false">'1. Raw Data'!A199</f>
        <v>EMP-0198</v>
      </c>
      <c r="B200" s="3" t="n">
        <f aca="false">'1. Raw Data'!B199</f>
        <v>40</v>
      </c>
      <c r="C200" s="3" t="str">
        <f aca="false">'1. Raw Data'!C199</f>
        <v>HR</v>
      </c>
      <c r="D200" s="3" t="str">
        <f aca="false">'1. Raw Data'!D199</f>
        <v>Junior</v>
      </c>
      <c r="E200" s="3" t="str">
        <f aca="false">'1. Raw Data'!E199</f>
        <v>Other</v>
      </c>
      <c r="F200" s="3" t="n">
        <f aca="false">'1. Raw Data'!F199</f>
        <v>2.4</v>
      </c>
      <c r="G200" s="3" t="n">
        <f aca="false">IF('1. Raw Data'!G199="",ROUND(IFERROR(AVERAGEIFS('1. Raw Data'!G2:G1201,'1. Raw Data'!C2:C1201,'1. Raw Data'!C199,'1. Raw Data'!D2:D1201,'1. Raw Data'!D199),0),2),'1. Raw Data'!G199)</f>
        <v>3306.38</v>
      </c>
      <c r="H200" s="3" t="str">
        <f aca="false">PROPER('1. Raw Data'!H199)</f>
        <v>No</v>
      </c>
      <c r="I200" s="3" t="n">
        <f aca="false">'1. Raw Data'!I199</f>
        <v>3</v>
      </c>
      <c r="J200" s="3" t="n">
        <f aca="false">'1. Raw Data'!J199</f>
        <v>3</v>
      </c>
      <c r="K200" s="3" t="n">
        <f aca="false">'1. Raw Data'!K199</f>
        <v>16</v>
      </c>
      <c r="L200" s="3" t="n">
        <f aca="false">'1. Raw Data'!L199</f>
        <v>2</v>
      </c>
      <c r="M200" s="3" t="n">
        <f aca="false">'1. Raw Data'!M199</f>
        <v>2</v>
      </c>
      <c r="N200" s="3" t="str">
        <f aca="false">'1. Raw Data'!N199</f>
        <v>No</v>
      </c>
    </row>
    <row r="201" customFormat="false" ht="15" hidden="false" customHeight="false" outlineLevel="0" collapsed="false">
      <c r="A201" s="3" t="str">
        <f aca="false">'1. Raw Data'!A200</f>
        <v>EMP-0199</v>
      </c>
      <c r="B201" s="3" t="n">
        <f aca="false">'1. Raw Data'!B200</f>
        <v>31</v>
      </c>
      <c r="C201" s="3" t="str">
        <f aca="false">'1. Raw Data'!C200</f>
        <v>Engineering</v>
      </c>
      <c r="D201" s="3" t="str">
        <f aca="false">'1. Raw Data'!D200</f>
        <v>Senior</v>
      </c>
      <c r="E201" s="3" t="str">
        <f aca="false">'1. Raw Data'!E200</f>
        <v>Marketing</v>
      </c>
      <c r="F201" s="3" t="n">
        <f aca="false">'1. Raw Data'!F200</f>
        <v>5.8</v>
      </c>
      <c r="G201" s="3" t="n">
        <f aca="false">IF('1. Raw Data'!G200="",ROUND(IFERROR(AVERAGEIFS('1. Raw Data'!G2:G1201,'1. Raw Data'!C2:C1201,'1. Raw Data'!C200,'1. Raw Data'!D2:D1201,'1. Raw Data'!D200),0),2),'1. Raw Data'!G200)</f>
        <v>7892.16</v>
      </c>
      <c r="H201" s="3" t="str">
        <f aca="false">PROPER('1. Raw Data'!H200)</f>
        <v>No</v>
      </c>
      <c r="I201" s="3" t="n">
        <f aca="false">'1. Raw Data'!I200</f>
        <v>1</v>
      </c>
      <c r="J201" s="3" t="n">
        <f aca="false">'1. Raw Data'!J200</f>
        <v>1</v>
      </c>
      <c r="K201" s="3" t="n">
        <f aca="false">'1. Raw Data'!K200</f>
        <v>9</v>
      </c>
      <c r="L201" s="3" t="n">
        <f aca="false">'1. Raw Data'!L200</f>
        <v>1</v>
      </c>
      <c r="M201" s="3" t="n">
        <f aca="false">'1. Raw Data'!M200</f>
        <v>1</v>
      </c>
      <c r="N201" s="3" t="str">
        <f aca="false">'1. Raw Data'!N200</f>
        <v>Yes</v>
      </c>
    </row>
    <row r="202" customFormat="false" ht="15" hidden="false" customHeight="false" outlineLevel="0" collapsed="false">
      <c r="A202" s="3" t="str">
        <f aca="false">'1. Raw Data'!A201</f>
        <v>EMP-0200</v>
      </c>
      <c r="B202" s="3" t="n">
        <f aca="false">'1. Raw Data'!B201</f>
        <v>21</v>
      </c>
      <c r="C202" s="3" t="str">
        <f aca="false">'1. Raw Data'!C201</f>
        <v>Customer Support</v>
      </c>
      <c r="D202" s="3" t="str">
        <f aca="false">'1. Raw Data'!D201</f>
        <v>Senior</v>
      </c>
      <c r="E202" s="3" t="str">
        <f aca="false">'1. Raw Data'!E201</f>
        <v>Technical</v>
      </c>
      <c r="F202" s="3" t="n">
        <f aca="false">'1. Raw Data'!F201</f>
        <v>0</v>
      </c>
      <c r="G202" s="3" t="n">
        <f aca="false">IF('1. Raw Data'!G201="",ROUND(IFERROR(AVERAGEIFS('1. Raw Data'!G2:G1201,'1. Raw Data'!C2:C1201,'1. Raw Data'!C201,'1. Raw Data'!D2:D1201,'1. Raw Data'!D201),0),2),'1. Raw Data'!G201)</f>
        <v>7033.25</v>
      </c>
      <c r="H202" s="3" t="str">
        <f aca="false">PROPER('1. Raw Data'!H201)</f>
        <v>No</v>
      </c>
      <c r="I202" s="3" t="n">
        <f aca="false">'1. Raw Data'!I201</f>
        <v>2</v>
      </c>
      <c r="J202" s="3" t="n">
        <f aca="false">'1. Raw Data'!J201</f>
        <v>3</v>
      </c>
      <c r="K202" s="3" t="n">
        <f aca="false">'1. Raw Data'!K201</f>
        <v>1</v>
      </c>
      <c r="L202" s="3" t="n">
        <f aca="false">'1. Raw Data'!L201</f>
        <v>0</v>
      </c>
      <c r="M202" s="3" t="n">
        <f aca="false">'1. Raw Data'!M201</f>
        <v>1</v>
      </c>
      <c r="N202" s="3" t="str">
        <f aca="false">'1. Raw Data'!N201</f>
        <v>No</v>
      </c>
    </row>
    <row r="203" customFormat="false" ht="15" hidden="false" customHeight="false" outlineLevel="0" collapsed="false">
      <c r="A203" s="3" t="str">
        <f aca="false">'1. Raw Data'!A202</f>
        <v>EMP-0201</v>
      </c>
      <c r="B203" s="3" t="n">
        <f aca="false">'1. Raw Data'!B202</f>
        <v>27</v>
      </c>
      <c r="C203" s="3" t="str">
        <f aca="false">'1. Raw Data'!C202</f>
        <v>Sales</v>
      </c>
      <c r="D203" s="3" t="str">
        <f aca="false">'1. Raw Data'!D202</f>
        <v>Mid</v>
      </c>
      <c r="E203" s="3" t="str">
        <f aca="false">'1. Raw Data'!E202</f>
        <v>Marketing</v>
      </c>
      <c r="F203" s="3" t="n">
        <f aca="false">'1. Raw Data'!F202</f>
        <v>0.5</v>
      </c>
      <c r="G203" s="3" t="n">
        <f aca="false">IF('1. Raw Data'!G202="",ROUND(IFERROR(AVERAGEIFS('1. Raw Data'!G2:G1201,'1. Raw Data'!C2:C1201,'1. Raw Data'!C202,'1. Raw Data'!D2:D1201,'1. Raw Data'!D202),0),2),'1. Raw Data'!G202)</f>
        <v>4421.59</v>
      </c>
      <c r="H203" s="3" t="str">
        <f aca="false">PROPER('1. Raw Data'!H202)</f>
        <v>Yes</v>
      </c>
      <c r="I203" s="3" t="n">
        <f aca="false">'1. Raw Data'!I202</f>
        <v>2</v>
      </c>
      <c r="J203" s="3" t="n">
        <f aca="false">'1. Raw Data'!J202</f>
        <v>3</v>
      </c>
      <c r="K203" s="3" t="n">
        <f aca="false">'1. Raw Data'!K202</f>
        <v>2</v>
      </c>
      <c r="L203" s="3" t="n">
        <f aca="false">'1. Raw Data'!L202</f>
        <v>0</v>
      </c>
      <c r="M203" s="3" t="n">
        <f aca="false">'1. Raw Data'!M202</f>
        <v>0</v>
      </c>
      <c r="N203" s="3" t="str">
        <f aca="false">'1. Raw Data'!N202</f>
        <v>No</v>
      </c>
    </row>
    <row r="204" customFormat="false" ht="15" hidden="false" customHeight="false" outlineLevel="0" collapsed="false">
      <c r="A204" s="3" t="str">
        <f aca="false">'1. Raw Data'!A203</f>
        <v>EMP-0202</v>
      </c>
      <c r="B204" s="3" t="n">
        <f aca="false">'1. Raw Data'!B203</f>
        <v>21</v>
      </c>
      <c r="C204" s="3" t="str">
        <f aca="false">'1. Raw Data'!C203</f>
        <v>Engineering</v>
      </c>
      <c r="D204" s="3" t="str">
        <f aca="false">'1. Raw Data'!D203</f>
        <v>Senior</v>
      </c>
      <c r="E204" s="3" t="str">
        <f aca="false">'1. Raw Data'!E203</f>
        <v>Marketing</v>
      </c>
      <c r="F204" s="3" t="n">
        <f aca="false">'1. Raw Data'!F203</f>
        <v>0</v>
      </c>
      <c r="G204" s="3" t="n">
        <f aca="false">IF('1. Raw Data'!G203="",ROUND(IFERROR(AVERAGEIFS('1. Raw Data'!G2:G1201,'1. Raw Data'!C2:C1201,'1. Raw Data'!C203,'1. Raw Data'!D2:D1201,'1. Raw Data'!D203),0),2),'1. Raw Data'!G203)</f>
        <v>8384</v>
      </c>
      <c r="H204" s="3" t="str">
        <f aca="false">PROPER('1. Raw Data'!H203)</f>
        <v>No</v>
      </c>
      <c r="I204" s="3" t="n">
        <f aca="false">'1. Raw Data'!I203</f>
        <v>1</v>
      </c>
      <c r="J204" s="3" t="n">
        <f aca="false">'1. Raw Data'!J203</f>
        <v>3</v>
      </c>
      <c r="K204" s="3" t="n">
        <f aca="false">'1. Raw Data'!K203</f>
        <v>11</v>
      </c>
      <c r="L204" s="3" t="n">
        <f aca="false">'1. Raw Data'!L203</f>
        <v>0</v>
      </c>
      <c r="M204" s="3" t="n">
        <f aca="false">'1. Raw Data'!M203</f>
        <v>0</v>
      </c>
      <c r="N204" s="3" t="str">
        <f aca="false">'1. Raw Data'!N203</f>
        <v>Yes</v>
      </c>
    </row>
    <row r="205" customFormat="false" ht="15" hidden="false" customHeight="false" outlineLevel="0" collapsed="false">
      <c r="A205" s="3" t="str">
        <f aca="false">'1. Raw Data'!A204</f>
        <v>EMP-0203</v>
      </c>
      <c r="B205" s="3" t="n">
        <f aca="false">'1. Raw Data'!B204</f>
        <v>21</v>
      </c>
      <c r="C205" s="3" t="str">
        <f aca="false">'1. Raw Data'!C204</f>
        <v>Engineering</v>
      </c>
      <c r="D205" s="3" t="str">
        <f aca="false">'1. Raw Data'!D204</f>
        <v>Junior</v>
      </c>
      <c r="E205" s="3" t="str">
        <f aca="false">'1. Raw Data'!E204</f>
        <v>Other</v>
      </c>
      <c r="F205" s="3" t="n">
        <f aca="false">'1. Raw Data'!F204</f>
        <v>0</v>
      </c>
      <c r="G205" s="3" t="n">
        <f aca="false">IF('1. Raw Data'!G204="",ROUND(IFERROR(AVERAGEIFS('1. Raw Data'!G2:G1201,'1. Raw Data'!C2:C1201,'1. Raw Data'!C204,'1. Raw Data'!D2:D1201,'1. Raw Data'!D204),0),2),'1. Raw Data'!G204)</f>
        <v>3016.61</v>
      </c>
      <c r="H205" s="3" t="str">
        <f aca="false">PROPER('1. Raw Data'!H204)</f>
        <v>No</v>
      </c>
      <c r="I205" s="3" t="n">
        <f aca="false">'1. Raw Data'!I204</f>
        <v>4</v>
      </c>
      <c r="J205" s="3" t="n">
        <f aca="false">'1. Raw Data'!J204</f>
        <v>2</v>
      </c>
      <c r="K205" s="3" t="n">
        <f aca="false">'1. Raw Data'!K204</f>
        <v>13</v>
      </c>
      <c r="L205" s="3" t="n">
        <f aca="false">'1. Raw Data'!L204</f>
        <v>0</v>
      </c>
      <c r="M205" s="3" t="n">
        <f aca="false">'1. Raw Data'!M204</f>
        <v>2</v>
      </c>
      <c r="N205" s="3" t="str">
        <f aca="false">'1. Raw Data'!N204</f>
        <v>No</v>
      </c>
    </row>
    <row r="206" customFormat="false" ht="15" hidden="false" customHeight="false" outlineLevel="0" collapsed="false">
      <c r="A206" s="3" t="str">
        <f aca="false">'1. Raw Data'!A205</f>
        <v>EMP-0204</v>
      </c>
      <c r="B206" s="3" t="n">
        <f aca="false">'1. Raw Data'!B205</f>
        <v>32</v>
      </c>
      <c r="C206" s="3" t="str">
        <f aca="false">'1. Raw Data'!C205</f>
        <v>Customer Support</v>
      </c>
      <c r="D206" s="3" t="str">
        <f aca="false">'1. Raw Data'!D205</f>
        <v>Mid</v>
      </c>
      <c r="E206" s="3" t="str">
        <f aca="false">'1. Raw Data'!E205</f>
        <v>Technical</v>
      </c>
      <c r="F206" s="3" t="n">
        <f aca="false">'1. Raw Data'!F205</f>
        <v>0.3</v>
      </c>
      <c r="G206" s="3" t="n">
        <f aca="false">IF('1. Raw Data'!G205="",ROUND(IFERROR(AVERAGEIFS('1. Raw Data'!G2:G1201,'1. Raw Data'!C2:C1201,'1. Raw Data'!C205,'1. Raw Data'!D2:D1201,'1. Raw Data'!D205),0),2),'1. Raw Data'!G205)</f>
        <v>4622.92</v>
      </c>
      <c r="H206" s="3" t="str">
        <f aca="false">PROPER('1. Raw Data'!H205)</f>
        <v>Yes</v>
      </c>
      <c r="I206" s="3" t="n">
        <f aca="false">'1. Raw Data'!I205</f>
        <v>4</v>
      </c>
      <c r="J206" s="3" t="n">
        <f aca="false">'1. Raw Data'!J205</f>
        <v>4</v>
      </c>
      <c r="K206" s="3" t="n">
        <f aca="false">'1. Raw Data'!K205</f>
        <v>3</v>
      </c>
      <c r="L206" s="3" t="n">
        <f aca="false">'1. Raw Data'!L205</f>
        <v>0</v>
      </c>
      <c r="M206" s="3" t="n">
        <f aca="false">'1. Raw Data'!M205</f>
        <v>2</v>
      </c>
      <c r="N206" s="3" t="str">
        <f aca="false">'1. Raw Data'!N205</f>
        <v>No</v>
      </c>
    </row>
    <row r="207" customFormat="false" ht="15" hidden="false" customHeight="false" outlineLevel="0" collapsed="false">
      <c r="A207" s="3" t="str">
        <f aca="false">'1. Raw Data'!A206</f>
        <v>EMP-0205</v>
      </c>
      <c r="B207" s="3" t="n">
        <f aca="false">'1. Raw Data'!B206</f>
        <v>26</v>
      </c>
      <c r="C207" s="3" t="str">
        <f aca="false">'1. Raw Data'!C206</f>
        <v>Customer Support</v>
      </c>
      <c r="D207" s="3" t="str">
        <f aca="false">'1. Raw Data'!D206</f>
        <v>Junior</v>
      </c>
      <c r="E207" s="3" t="str">
        <f aca="false">'1. Raw Data'!E206</f>
        <v>Other</v>
      </c>
      <c r="F207" s="3" t="n">
        <f aca="false">'1. Raw Data'!F206</f>
        <v>1.1</v>
      </c>
      <c r="G207" s="3" t="n">
        <f aca="false">IF('1. Raw Data'!G206="",ROUND(IFERROR(AVERAGEIFS('1. Raw Data'!G2:G1201,'1. Raw Data'!C2:C1201,'1. Raw Data'!C206,'1. Raw Data'!D2:D1201,'1. Raw Data'!D206),0),2),'1. Raw Data'!G206)</f>
        <v>2886.08</v>
      </c>
      <c r="H207" s="3" t="str">
        <f aca="false">PROPER('1. Raw Data'!H206)</f>
        <v>No</v>
      </c>
      <c r="I207" s="3" t="n">
        <f aca="false">'1. Raw Data'!I206</f>
        <v>4</v>
      </c>
      <c r="J207" s="3" t="n">
        <f aca="false">'1. Raw Data'!J206</f>
        <v>4</v>
      </c>
      <c r="K207" s="3" t="n">
        <f aca="false">'1. Raw Data'!K206</f>
        <v>4</v>
      </c>
      <c r="L207" s="3" t="n">
        <f aca="false">'1. Raw Data'!L206</f>
        <v>0</v>
      </c>
      <c r="M207" s="3" t="n">
        <f aca="false">'1. Raw Data'!M206</f>
        <v>1</v>
      </c>
      <c r="N207" s="3" t="str">
        <f aca="false">'1. Raw Data'!N206</f>
        <v>No</v>
      </c>
    </row>
    <row r="208" customFormat="false" ht="15" hidden="false" customHeight="false" outlineLevel="0" collapsed="false">
      <c r="A208" s="3" t="str">
        <f aca="false">'1. Raw Data'!A207</f>
        <v>EMP-0206</v>
      </c>
      <c r="B208" s="3" t="n">
        <f aca="false">'1. Raw Data'!B207</f>
        <v>37</v>
      </c>
      <c r="C208" s="3" t="str">
        <f aca="false">'1. Raw Data'!C207</f>
        <v>Customer Support</v>
      </c>
      <c r="D208" s="3" t="str">
        <f aca="false">'1. Raw Data'!D207</f>
        <v>Mid</v>
      </c>
      <c r="E208" s="3" t="str">
        <f aca="false">'1. Raw Data'!E207</f>
        <v>Marketing</v>
      </c>
      <c r="F208" s="3" t="n">
        <f aca="false">'1. Raw Data'!F207</f>
        <v>0.1</v>
      </c>
      <c r="G208" s="3" t="n">
        <f aca="false">IF('1. Raw Data'!G207="",ROUND(IFERROR(AVERAGEIFS('1. Raw Data'!G2:G1201,'1. Raw Data'!C2:C1201,'1. Raw Data'!C207,'1. Raw Data'!D2:D1201,'1. Raw Data'!D207),0),2),'1. Raw Data'!G207)</f>
        <v>4744.32</v>
      </c>
      <c r="H208" s="3" t="str">
        <f aca="false">PROPER('1. Raw Data'!H207)</f>
        <v>No</v>
      </c>
      <c r="I208" s="3" t="n">
        <f aca="false">'1. Raw Data'!I207</f>
        <v>4</v>
      </c>
      <c r="J208" s="3" t="n">
        <f aca="false">'1. Raw Data'!J207</f>
        <v>3</v>
      </c>
      <c r="K208" s="3" t="n">
        <f aca="false">'1. Raw Data'!K207</f>
        <v>1</v>
      </c>
      <c r="L208" s="3" t="n">
        <f aca="false">'1. Raw Data'!L207</f>
        <v>0</v>
      </c>
      <c r="M208" s="3" t="n">
        <f aca="false">'1. Raw Data'!M207</f>
        <v>0</v>
      </c>
      <c r="N208" s="3" t="str">
        <f aca="false">'1. Raw Data'!N207</f>
        <v>Yes</v>
      </c>
    </row>
    <row r="209" customFormat="false" ht="15" hidden="false" customHeight="false" outlineLevel="0" collapsed="false">
      <c r="A209" s="3" t="str">
        <f aca="false">'1. Raw Data'!A208</f>
        <v>EMP-0207</v>
      </c>
      <c r="B209" s="3" t="n">
        <f aca="false">'1. Raw Data'!B208</f>
        <v>36</v>
      </c>
      <c r="C209" s="3" t="str">
        <f aca="false">'1. Raw Data'!C208</f>
        <v>Marketing</v>
      </c>
      <c r="D209" s="3" t="str">
        <f aca="false">'1. Raw Data'!D208</f>
        <v>Mid</v>
      </c>
      <c r="E209" s="3" t="str">
        <f aca="false">'1. Raw Data'!E208</f>
        <v>Technical</v>
      </c>
      <c r="F209" s="3" t="n">
        <f aca="false">'1. Raw Data'!F208</f>
        <v>1.6</v>
      </c>
      <c r="G209" s="3" t="n">
        <f aca="false">IF('1. Raw Data'!G208="",ROUND(IFERROR(AVERAGEIFS('1. Raw Data'!G2:G1201,'1. Raw Data'!C2:C1201,'1. Raw Data'!C208,'1. Raw Data'!D2:D1201,'1. Raw Data'!D208),0),2),'1. Raw Data'!G208)</f>
        <v>5496.97</v>
      </c>
      <c r="H209" s="3" t="str">
        <f aca="false">PROPER('1. Raw Data'!H208)</f>
        <v>No</v>
      </c>
      <c r="I209" s="3" t="n">
        <f aca="false">'1. Raw Data'!I208</f>
        <v>3</v>
      </c>
      <c r="J209" s="3" t="n">
        <f aca="false">'1. Raw Data'!J208</f>
        <v>4</v>
      </c>
      <c r="K209" s="3" t="n">
        <f aca="false">'1. Raw Data'!K208</f>
        <v>1</v>
      </c>
      <c r="L209" s="3" t="n">
        <f aca="false">'1. Raw Data'!L208</f>
        <v>0</v>
      </c>
      <c r="M209" s="3" t="n">
        <f aca="false">'1. Raw Data'!M208</f>
        <v>3</v>
      </c>
      <c r="N209" s="3" t="str">
        <f aca="false">'1. Raw Data'!N208</f>
        <v>No</v>
      </c>
    </row>
    <row r="210" customFormat="false" ht="15" hidden="false" customHeight="false" outlineLevel="0" collapsed="false">
      <c r="A210" s="3" t="str">
        <f aca="false">'1. Raw Data'!A209</f>
        <v>EMP-0208</v>
      </c>
      <c r="B210" s="3" t="n">
        <f aca="false">'1. Raw Data'!B209</f>
        <v>31</v>
      </c>
      <c r="C210" s="3" t="str">
        <f aca="false">'1. Raw Data'!C209</f>
        <v>Customer Support</v>
      </c>
      <c r="D210" s="3" t="str">
        <f aca="false">'1. Raw Data'!D209</f>
        <v>Junior</v>
      </c>
      <c r="E210" s="3" t="str">
        <f aca="false">'1. Raw Data'!E209</f>
        <v>Technical</v>
      </c>
      <c r="F210" s="3" t="n">
        <f aca="false">'1. Raw Data'!F209</f>
        <v>3.7</v>
      </c>
      <c r="G210" s="3" t="n">
        <f aca="false">IF('1. Raw Data'!G209="",ROUND(IFERROR(AVERAGEIFS('1. Raw Data'!G2:G1201,'1. Raw Data'!C2:C1201,'1. Raw Data'!C209,'1. Raw Data'!D2:D1201,'1. Raw Data'!D209),0),2),'1. Raw Data'!G209)</f>
        <v>3286.46</v>
      </c>
      <c r="H210" s="3" t="str">
        <f aca="false">PROPER('1. Raw Data'!H209)</f>
        <v>No</v>
      </c>
      <c r="I210" s="3" t="n">
        <f aca="false">'1. Raw Data'!I209</f>
        <v>2</v>
      </c>
      <c r="J210" s="3" t="n">
        <f aca="false">'1. Raw Data'!J209</f>
        <v>3</v>
      </c>
      <c r="K210" s="3" t="n">
        <f aca="false">'1. Raw Data'!K209</f>
        <v>17</v>
      </c>
      <c r="L210" s="3" t="n">
        <f aca="false">'1. Raw Data'!L209</f>
        <v>3</v>
      </c>
      <c r="M210" s="3" t="n">
        <f aca="false">'1. Raw Data'!M209</f>
        <v>0</v>
      </c>
      <c r="N210" s="3" t="str">
        <f aca="false">'1. Raw Data'!N209</f>
        <v>Yes</v>
      </c>
    </row>
    <row r="211" customFormat="false" ht="15" hidden="false" customHeight="false" outlineLevel="0" collapsed="false">
      <c r="A211" s="3" t="str">
        <f aca="false">'1. Raw Data'!A210</f>
        <v>EMP-0209</v>
      </c>
      <c r="B211" s="3" t="n">
        <f aca="false">'1. Raw Data'!B210</f>
        <v>27</v>
      </c>
      <c r="C211" s="3" t="str">
        <f aca="false">'1. Raw Data'!C210</f>
        <v>Engineering</v>
      </c>
      <c r="D211" s="3" t="str">
        <f aca="false">'1. Raw Data'!D210</f>
        <v>Junior</v>
      </c>
      <c r="E211" s="3" t="str">
        <f aca="false">'1. Raw Data'!E210</f>
        <v>Technical</v>
      </c>
      <c r="F211" s="3" t="n">
        <f aca="false">'1. Raw Data'!F210</f>
        <v>1.1</v>
      </c>
      <c r="G211" s="3" t="n">
        <f aca="false">IF('1. Raw Data'!G210="",ROUND(IFERROR(AVERAGEIFS('1. Raw Data'!G2:G1201,'1. Raw Data'!C2:C1201,'1. Raw Data'!C210,'1. Raw Data'!D2:D1201,'1. Raw Data'!D210),0),2),'1. Raw Data'!G210)</f>
        <v>3034.98</v>
      </c>
      <c r="H211" s="3" t="str">
        <f aca="false">PROPER('1. Raw Data'!H210)</f>
        <v>No</v>
      </c>
      <c r="I211" s="3" t="n">
        <f aca="false">'1. Raw Data'!I210</f>
        <v>2</v>
      </c>
      <c r="J211" s="3" t="n">
        <f aca="false">'1. Raw Data'!J210</f>
        <v>3</v>
      </c>
      <c r="K211" s="3" t="n">
        <f aca="false">'1. Raw Data'!K210</f>
        <v>1</v>
      </c>
      <c r="L211" s="3" t="n">
        <f aca="false">'1. Raw Data'!L210</f>
        <v>1</v>
      </c>
      <c r="M211" s="3" t="n">
        <f aca="false">'1. Raw Data'!M210</f>
        <v>2</v>
      </c>
      <c r="N211" s="3" t="str">
        <f aca="false">'1. Raw Data'!N210</f>
        <v>No</v>
      </c>
    </row>
    <row r="212" customFormat="false" ht="15" hidden="false" customHeight="false" outlineLevel="0" collapsed="false">
      <c r="A212" s="3" t="str">
        <f aca="false">'1. Raw Data'!A211</f>
        <v>EMP-0210</v>
      </c>
      <c r="B212" s="3" t="n">
        <f aca="false">'1. Raw Data'!B211</f>
        <v>24</v>
      </c>
      <c r="C212" s="3" t="str">
        <f aca="false">'1. Raw Data'!C211</f>
        <v>Engineering</v>
      </c>
      <c r="D212" s="3" t="str">
        <f aca="false">'1. Raw Data'!D211</f>
        <v>Senior</v>
      </c>
      <c r="E212" s="3" t="str">
        <f aca="false">'1. Raw Data'!E211</f>
        <v>Technical</v>
      </c>
      <c r="F212" s="3" t="n">
        <f aca="false">'1. Raw Data'!F211</f>
        <v>1.7</v>
      </c>
      <c r="G212" s="3" t="n">
        <f aca="false">IF('1. Raw Data'!G211="",ROUND(IFERROR(AVERAGEIFS('1. Raw Data'!G2:G1201,'1. Raw Data'!C2:C1201,'1. Raw Data'!C211,'1. Raw Data'!D2:D1201,'1. Raw Data'!D211),0),2),'1. Raw Data'!G211)</f>
        <v>6936.2</v>
      </c>
      <c r="H212" s="3" t="str">
        <f aca="false">PROPER('1. Raw Data'!H211)</f>
        <v>No</v>
      </c>
      <c r="I212" s="3" t="n">
        <f aca="false">'1. Raw Data'!I211</f>
        <v>2</v>
      </c>
      <c r="J212" s="3" t="n">
        <f aca="false">'1. Raw Data'!J211</f>
        <v>3</v>
      </c>
      <c r="K212" s="3" t="n">
        <f aca="false">'1. Raw Data'!K211</f>
        <v>6</v>
      </c>
      <c r="L212" s="3" t="n">
        <f aca="false">'1. Raw Data'!L211</f>
        <v>0</v>
      </c>
      <c r="M212" s="3" t="n">
        <f aca="false">'1. Raw Data'!M211</f>
        <v>3</v>
      </c>
      <c r="N212" s="3" t="str">
        <f aca="false">'1. Raw Data'!N211</f>
        <v>No</v>
      </c>
    </row>
    <row r="213" customFormat="false" ht="15" hidden="false" customHeight="false" outlineLevel="0" collapsed="false">
      <c r="A213" s="3" t="str">
        <f aca="false">'1. Raw Data'!A212</f>
        <v>EMP-0211</v>
      </c>
      <c r="B213" s="3" t="n">
        <f aca="false">'1. Raw Data'!B212</f>
        <v>31</v>
      </c>
      <c r="C213" s="3" t="str">
        <f aca="false">'1. Raw Data'!C212</f>
        <v>Marketing</v>
      </c>
      <c r="D213" s="3" t="str">
        <f aca="false">'1. Raw Data'!D212</f>
        <v>Senior</v>
      </c>
      <c r="E213" s="3" t="str">
        <f aca="false">'1. Raw Data'!E212</f>
        <v>Other</v>
      </c>
      <c r="F213" s="3" t="n">
        <f aca="false">'1. Raw Data'!F212</f>
        <v>0.4</v>
      </c>
      <c r="G213" s="3" t="n">
        <f aca="false">IF('1. Raw Data'!G212="",ROUND(IFERROR(AVERAGEIFS('1. Raw Data'!G2:G1201,'1. Raw Data'!C2:C1201,'1. Raw Data'!C212,'1. Raw Data'!D2:D1201,'1. Raw Data'!D212),0),2),'1. Raw Data'!G212)</f>
        <v>8546.52</v>
      </c>
      <c r="H213" s="3" t="str">
        <f aca="false">PROPER('1. Raw Data'!H212)</f>
        <v>No</v>
      </c>
      <c r="I213" s="3" t="n">
        <f aca="false">'1. Raw Data'!I212</f>
        <v>4</v>
      </c>
      <c r="J213" s="3" t="n">
        <f aca="false">'1. Raw Data'!J212</f>
        <v>2</v>
      </c>
      <c r="K213" s="3" t="n">
        <f aca="false">'1. Raw Data'!K212</f>
        <v>21</v>
      </c>
      <c r="L213" s="3" t="n">
        <f aca="false">'1. Raw Data'!L212</f>
        <v>0</v>
      </c>
      <c r="M213" s="3" t="n">
        <f aca="false">'1. Raw Data'!M212</f>
        <v>1</v>
      </c>
      <c r="N213" s="3" t="str">
        <f aca="false">'1. Raw Data'!N212</f>
        <v>No</v>
      </c>
    </row>
    <row r="214" customFormat="false" ht="15" hidden="false" customHeight="false" outlineLevel="0" collapsed="false">
      <c r="A214" s="3" t="str">
        <f aca="false">'1. Raw Data'!A213</f>
        <v>EMP-0212</v>
      </c>
      <c r="B214" s="3" t="n">
        <f aca="false">'1. Raw Data'!B213</f>
        <v>31</v>
      </c>
      <c r="C214" s="3" t="str">
        <f aca="false">'1. Raw Data'!C213</f>
        <v>Engineering</v>
      </c>
      <c r="D214" s="3" t="str">
        <f aca="false">'1. Raw Data'!D213</f>
        <v>Senior</v>
      </c>
      <c r="E214" s="3" t="str">
        <f aca="false">'1. Raw Data'!E213</f>
        <v>Technical</v>
      </c>
      <c r="F214" s="3" t="n">
        <f aca="false">'1. Raw Data'!F213</f>
        <v>1.5</v>
      </c>
      <c r="G214" s="3" t="n">
        <f aca="false">IF('1. Raw Data'!G213="",ROUND(IFERROR(AVERAGEIFS('1. Raw Data'!G2:G1201,'1. Raw Data'!C2:C1201,'1. Raw Data'!C213,'1. Raw Data'!D2:D1201,'1. Raw Data'!D213),0),2),'1. Raw Data'!G213)</f>
        <v>7702.5</v>
      </c>
      <c r="H214" s="3" t="str">
        <f aca="false">PROPER('1. Raw Data'!H213)</f>
        <v>No</v>
      </c>
      <c r="I214" s="3" t="n">
        <f aca="false">'1. Raw Data'!I213</f>
        <v>2</v>
      </c>
      <c r="J214" s="3" t="n">
        <f aca="false">'1. Raw Data'!J213</f>
        <v>3</v>
      </c>
      <c r="K214" s="3" t="n">
        <f aca="false">'1. Raw Data'!K213</f>
        <v>1</v>
      </c>
      <c r="L214" s="3" t="n">
        <f aca="false">'1. Raw Data'!L213</f>
        <v>1</v>
      </c>
      <c r="M214" s="3" t="n">
        <f aca="false">'1. Raw Data'!M213</f>
        <v>1</v>
      </c>
      <c r="N214" s="3" t="str">
        <f aca="false">'1. Raw Data'!N213</f>
        <v>No</v>
      </c>
    </row>
    <row r="215" customFormat="false" ht="15" hidden="false" customHeight="false" outlineLevel="0" collapsed="false">
      <c r="A215" s="3" t="str">
        <f aca="false">'1. Raw Data'!A214</f>
        <v>EMP-0213</v>
      </c>
      <c r="B215" s="3" t="n">
        <f aca="false">'1. Raw Data'!B214</f>
        <v>24</v>
      </c>
      <c r="C215" s="3" t="str">
        <f aca="false">'1. Raw Data'!C214</f>
        <v>Engineering</v>
      </c>
      <c r="D215" s="3" t="str">
        <f aca="false">'1. Raw Data'!D214</f>
        <v>Junior</v>
      </c>
      <c r="E215" s="3" t="str">
        <f aca="false">'1. Raw Data'!E214</f>
        <v>Business</v>
      </c>
      <c r="F215" s="3" t="n">
        <f aca="false">'1. Raw Data'!F214</f>
        <v>1.4</v>
      </c>
      <c r="G215" s="3" t="n">
        <f aca="false">IF('1. Raw Data'!G214="",ROUND(IFERROR(AVERAGEIFS('1. Raw Data'!G2:G1201,'1. Raw Data'!C2:C1201,'1. Raw Data'!C214,'1. Raw Data'!D2:D1201,'1. Raw Data'!D214),0),2),'1. Raw Data'!G214)</f>
        <v>3477.7</v>
      </c>
      <c r="H215" s="3" t="str">
        <f aca="false">PROPER('1. Raw Data'!H214)</f>
        <v>No</v>
      </c>
      <c r="I215" s="3" t="n">
        <f aca="false">'1. Raw Data'!I214</f>
        <v>4</v>
      </c>
      <c r="J215" s="3" t="n">
        <f aca="false">'1. Raw Data'!J214</f>
        <v>3</v>
      </c>
      <c r="K215" s="3" t="n">
        <f aca="false">'1. Raw Data'!K214</f>
        <v>14</v>
      </c>
      <c r="L215" s="3" t="n">
        <f aca="false">'1. Raw Data'!L214</f>
        <v>0</v>
      </c>
      <c r="M215" s="3" t="n">
        <f aca="false">'1. Raw Data'!M214</f>
        <v>1</v>
      </c>
      <c r="N215" s="3" t="str">
        <f aca="false">'1. Raw Data'!N214</f>
        <v>No</v>
      </c>
    </row>
    <row r="216" customFormat="false" ht="15" hidden="false" customHeight="false" outlineLevel="0" collapsed="false">
      <c r="A216" s="3" t="str">
        <f aca="false">'1. Raw Data'!A215</f>
        <v>EMP-0214</v>
      </c>
      <c r="B216" s="3" t="n">
        <f aca="false">'1. Raw Data'!B215</f>
        <v>31</v>
      </c>
      <c r="C216" s="3" t="str">
        <f aca="false">'1. Raw Data'!C215</f>
        <v>Customer Support</v>
      </c>
      <c r="D216" s="3" t="str">
        <f aca="false">'1. Raw Data'!D215</f>
        <v>Mid</v>
      </c>
      <c r="E216" s="3" t="str">
        <f aca="false">'1. Raw Data'!E215</f>
        <v>Marketing</v>
      </c>
      <c r="F216" s="3" t="n">
        <f aca="false">'1. Raw Data'!F215</f>
        <v>1.2</v>
      </c>
      <c r="G216" s="3" t="n">
        <f aca="false">IF('1. Raw Data'!G215="",ROUND(IFERROR(AVERAGEIFS('1. Raw Data'!G2:G1201,'1. Raw Data'!C2:C1201,'1. Raw Data'!C215,'1. Raw Data'!D2:D1201,'1. Raw Data'!D215),0),2),'1. Raw Data'!G215)</f>
        <v>5036.42</v>
      </c>
      <c r="H216" s="3" t="str">
        <f aca="false">PROPER('1. Raw Data'!H215)</f>
        <v>Yes</v>
      </c>
      <c r="I216" s="3" t="n">
        <f aca="false">'1. Raw Data'!I215</f>
        <v>3</v>
      </c>
      <c r="J216" s="3" t="n">
        <f aca="false">'1. Raw Data'!J215</f>
        <v>3</v>
      </c>
      <c r="K216" s="3" t="n">
        <f aca="false">'1. Raw Data'!K215</f>
        <v>34</v>
      </c>
      <c r="L216" s="3" t="n">
        <f aca="false">'1. Raw Data'!L215</f>
        <v>1</v>
      </c>
      <c r="M216" s="3" t="n">
        <f aca="false">'1. Raw Data'!M215</f>
        <v>7</v>
      </c>
      <c r="N216" s="3" t="str">
        <f aca="false">'1. Raw Data'!N215</f>
        <v>Yes</v>
      </c>
    </row>
    <row r="217" customFormat="false" ht="15" hidden="false" customHeight="false" outlineLevel="0" collapsed="false">
      <c r="A217" s="3" t="str">
        <f aca="false">'1. Raw Data'!A216</f>
        <v>EMP-0215</v>
      </c>
      <c r="B217" s="3" t="n">
        <f aca="false">'1. Raw Data'!B216</f>
        <v>21</v>
      </c>
      <c r="C217" s="3" t="str">
        <f aca="false">'1. Raw Data'!C216</f>
        <v>Sales</v>
      </c>
      <c r="D217" s="3" t="str">
        <f aca="false">'1. Raw Data'!D216</f>
        <v>Mid</v>
      </c>
      <c r="E217" s="3" t="str">
        <f aca="false">'1. Raw Data'!E216</f>
        <v>Technical</v>
      </c>
      <c r="F217" s="3" t="n">
        <f aca="false">'1. Raw Data'!F216</f>
        <v>0</v>
      </c>
      <c r="G217" s="3" t="n">
        <f aca="false">IF('1. Raw Data'!G216="",ROUND(IFERROR(AVERAGEIFS('1. Raw Data'!G2:G1201,'1. Raw Data'!C2:C1201,'1. Raw Data'!C216,'1. Raw Data'!D2:D1201,'1. Raw Data'!D216),0),2),'1. Raw Data'!G216)</f>
        <v>4585.69</v>
      </c>
      <c r="H217" s="3" t="str">
        <f aca="false">PROPER('1. Raw Data'!H216)</f>
        <v>No</v>
      </c>
      <c r="I217" s="3" t="n">
        <f aca="false">'1. Raw Data'!I216</f>
        <v>3</v>
      </c>
      <c r="J217" s="3" t="n">
        <f aca="false">'1. Raw Data'!J216</f>
        <v>2</v>
      </c>
      <c r="K217" s="3" t="n">
        <f aca="false">'1. Raw Data'!K216</f>
        <v>11</v>
      </c>
      <c r="L217" s="3" t="n">
        <f aca="false">'1. Raw Data'!L216</f>
        <v>0</v>
      </c>
      <c r="M217" s="3" t="n">
        <f aca="false">'1. Raw Data'!M216</f>
        <v>1</v>
      </c>
      <c r="N217" s="3" t="str">
        <f aca="false">'1. Raw Data'!N216</f>
        <v>No</v>
      </c>
    </row>
    <row r="218" customFormat="false" ht="15" hidden="false" customHeight="false" outlineLevel="0" collapsed="false">
      <c r="A218" s="3" t="str">
        <f aca="false">'1. Raw Data'!A217</f>
        <v>EMP-0216</v>
      </c>
      <c r="B218" s="3" t="n">
        <f aca="false">'1. Raw Data'!B217</f>
        <v>43</v>
      </c>
      <c r="C218" s="3" t="str">
        <f aca="false">'1. Raw Data'!C217</f>
        <v>Sales</v>
      </c>
      <c r="D218" s="3" t="str">
        <f aca="false">'1. Raw Data'!D217</f>
        <v>Senior</v>
      </c>
      <c r="E218" s="3" t="str">
        <f aca="false">'1. Raw Data'!E217</f>
        <v>Other</v>
      </c>
      <c r="F218" s="3" t="n">
        <f aca="false">'1. Raw Data'!F217</f>
        <v>0.6</v>
      </c>
      <c r="G218" s="3" t="n">
        <f aca="false">IF('1. Raw Data'!G217="",ROUND(IFERROR(AVERAGEIFS('1. Raw Data'!G2:G1201,'1. Raw Data'!C2:C1201,'1. Raw Data'!C217,'1. Raw Data'!D2:D1201,'1. Raw Data'!D217),0),2),'1. Raw Data'!G217)</f>
        <v>6278.1</v>
      </c>
      <c r="H218" s="3" t="str">
        <f aca="false">PROPER('1. Raw Data'!H217)</f>
        <v>No</v>
      </c>
      <c r="I218" s="3" t="n">
        <f aca="false">'1. Raw Data'!I217</f>
        <v>3</v>
      </c>
      <c r="J218" s="3" t="n">
        <f aca="false">'1. Raw Data'!J217</f>
        <v>3</v>
      </c>
      <c r="K218" s="3" t="n">
        <f aca="false">'1. Raw Data'!K217</f>
        <v>1</v>
      </c>
      <c r="L218" s="3" t="n">
        <f aca="false">'1. Raw Data'!L217</f>
        <v>0</v>
      </c>
      <c r="M218" s="3" t="n">
        <f aca="false">'1. Raw Data'!M217</f>
        <v>0</v>
      </c>
      <c r="N218" s="3" t="str">
        <f aca="false">'1. Raw Data'!N217</f>
        <v>No</v>
      </c>
    </row>
    <row r="219" customFormat="false" ht="15" hidden="false" customHeight="false" outlineLevel="0" collapsed="false">
      <c r="A219" s="3" t="str">
        <f aca="false">'1. Raw Data'!A218</f>
        <v>EMP-0217</v>
      </c>
      <c r="B219" s="3" t="n">
        <f aca="false">'1. Raw Data'!B218</f>
        <v>42</v>
      </c>
      <c r="C219" s="3" t="str">
        <f aca="false">'1. Raw Data'!C218</f>
        <v>Engineering</v>
      </c>
      <c r="D219" s="3" t="str">
        <f aca="false">'1. Raw Data'!D218</f>
        <v>Mid</v>
      </c>
      <c r="E219" s="3" t="str">
        <f aca="false">'1. Raw Data'!E218</f>
        <v>Marketing</v>
      </c>
      <c r="F219" s="3" t="n">
        <f aca="false">'1. Raw Data'!F218</f>
        <v>14.4</v>
      </c>
      <c r="G219" s="3" t="n">
        <f aca="false">IF('1. Raw Data'!G218="",ROUND(IFERROR(AVERAGEIFS('1. Raw Data'!G2:G1201,'1. Raw Data'!C2:C1201,'1. Raw Data'!C218,'1. Raw Data'!D2:D1201,'1. Raw Data'!D218),0),2),'1. Raw Data'!G218)</f>
        <v>5284.64</v>
      </c>
      <c r="H219" s="3" t="str">
        <f aca="false">PROPER('1. Raw Data'!H218)</f>
        <v>No</v>
      </c>
      <c r="I219" s="3" t="n">
        <f aca="false">'1. Raw Data'!I218</f>
        <v>1</v>
      </c>
      <c r="J219" s="3" t="n">
        <f aca="false">'1. Raw Data'!J218</f>
        <v>1</v>
      </c>
      <c r="K219" s="3" t="n">
        <f aca="false">'1. Raw Data'!K218</f>
        <v>7</v>
      </c>
      <c r="L219" s="3" t="n">
        <f aca="false">'1. Raw Data'!L218</f>
        <v>1</v>
      </c>
      <c r="M219" s="3" t="n">
        <f aca="false">'1. Raw Data'!M218</f>
        <v>1</v>
      </c>
      <c r="N219" s="3" t="str">
        <f aca="false">'1. Raw Data'!N218</f>
        <v>Yes</v>
      </c>
    </row>
    <row r="220" customFormat="false" ht="15" hidden="false" customHeight="false" outlineLevel="0" collapsed="false">
      <c r="A220" s="3" t="str">
        <f aca="false">'1. Raw Data'!A219</f>
        <v>EMP-0218</v>
      </c>
      <c r="B220" s="3" t="n">
        <f aca="false">'1. Raw Data'!B219</f>
        <v>23</v>
      </c>
      <c r="C220" s="3" t="str">
        <f aca="false">'1. Raw Data'!C219</f>
        <v>Finance</v>
      </c>
      <c r="D220" s="3" t="str">
        <f aca="false">'1. Raw Data'!D219</f>
        <v>Senior</v>
      </c>
      <c r="E220" s="3" t="str">
        <f aca="false">'1. Raw Data'!E219</f>
        <v>Business</v>
      </c>
      <c r="F220" s="3" t="n">
        <f aca="false">'1. Raw Data'!F219</f>
        <v>2</v>
      </c>
      <c r="G220" s="3" t="n">
        <f aca="false">IF('1. Raw Data'!G219="",ROUND(IFERROR(AVERAGEIFS('1. Raw Data'!G2:G1201,'1. Raw Data'!C2:C1201,'1. Raw Data'!C219,'1. Raw Data'!D2:D1201,'1. Raw Data'!D219),0),2),'1. Raw Data'!G219)</f>
        <v>7039.69</v>
      </c>
      <c r="H220" s="3" t="str">
        <f aca="false">PROPER('1. Raw Data'!H219)</f>
        <v>No</v>
      </c>
      <c r="I220" s="3" t="n">
        <f aca="false">'1. Raw Data'!I219</f>
        <v>2</v>
      </c>
      <c r="J220" s="3" t="n">
        <f aca="false">'1. Raw Data'!J219</f>
        <v>3</v>
      </c>
      <c r="K220" s="3" t="n">
        <f aca="false">'1. Raw Data'!K219</f>
        <v>8</v>
      </c>
      <c r="L220" s="3" t="n">
        <f aca="false">'1. Raw Data'!L219</f>
        <v>2</v>
      </c>
      <c r="M220" s="3" t="n">
        <f aca="false">'1. Raw Data'!M219</f>
        <v>3</v>
      </c>
      <c r="N220" s="3" t="str">
        <f aca="false">'1. Raw Data'!N219</f>
        <v>Yes</v>
      </c>
    </row>
    <row r="221" customFormat="false" ht="15" hidden="false" customHeight="false" outlineLevel="0" collapsed="false">
      <c r="A221" s="3" t="str">
        <f aca="false">'1. Raw Data'!A220</f>
        <v>EMP-0219</v>
      </c>
      <c r="B221" s="3" t="n">
        <f aca="false">'1. Raw Data'!B220</f>
        <v>31</v>
      </c>
      <c r="C221" s="3" t="str">
        <f aca="false">'1. Raw Data'!C220</f>
        <v>Sales</v>
      </c>
      <c r="D221" s="3" t="str">
        <f aca="false">'1. Raw Data'!D220</f>
        <v>Mid</v>
      </c>
      <c r="E221" s="3" t="str">
        <f aca="false">'1. Raw Data'!E220</f>
        <v>Other</v>
      </c>
      <c r="F221" s="3" t="n">
        <f aca="false">'1. Raw Data'!F220</f>
        <v>3.8</v>
      </c>
      <c r="G221" s="3" t="n">
        <f aca="false">IF('1. Raw Data'!G220="",ROUND(IFERROR(AVERAGEIFS('1. Raw Data'!G2:G1201,'1. Raw Data'!C2:C1201,'1. Raw Data'!C220,'1. Raw Data'!D2:D1201,'1. Raw Data'!D220),0),2),'1. Raw Data'!G220)</f>
        <v>4983.63</v>
      </c>
      <c r="H221" s="3" t="str">
        <f aca="false">PROPER('1. Raw Data'!H220)</f>
        <v>No</v>
      </c>
      <c r="I221" s="3" t="n">
        <f aca="false">'1. Raw Data'!I220</f>
        <v>3</v>
      </c>
      <c r="J221" s="3" t="n">
        <f aca="false">'1. Raw Data'!J220</f>
        <v>3</v>
      </c>
      <c r="K221" s="3" t="n">
        <f aca="false">'1. Raw Data'!K220</f>
        <v>1</v>
      </c>
      <c r="L221" s="3" t="n">
        <f aca="false">'1. Raw Data'!L220</f>
        <v>3</v>
      </c>
      <c r="M221" s="3" t="n">
        <f aca="false">'1. Raw Data'!M220</f>
        <v>4</v>
      </c>
      <c r="N221" s="3" t="str">
        <f aca="false">'1. Raw Data'!N220</f>
        <v>No</v>
      </c>
    </row>
    <row r="222" customFormat="false" ht="15" hidden="false" customHeight="false" outlineLevel="0" collapsed="false">
      <c r="A222" s="3" t="str">
        <f aca="false">'1. Raw Data'!A221</f>
        <v>EMP-0220</v>
      </c>
      <c r="B222" s="3" t="n">
        <f aca="false">'1. Raw Data'!B221</f>
        <v>31</v>
      </c>
      <c r="C222" s="3" t="str">
        <f aca="false">'1. Raw Data'!C221</f>
        <v>Marketing</v>
      </c>
      <c r="D222" s="3" t="str">
        <f aca="false">'1. Raw Data'!D221</f>
        <v>Mid</v>
      </c>
      <c r="E222" s="3" t="str">
        <f aca="false">'1. Raw Data'!E221</f>
        <v>Business</v>
      </c>
      <c r="F222" s="3" t="n">
        <f aca="false">'1. Raw Data'!F221</f>
        <v>1.3</v>
      </c>
      <c r="G222" s="3" t="n">
        <f aca="false">IF('1. Raw Data'!G221="",ROUND(IFERROR(AVERAGEIFS('1. Raw Data'!G2:G1201,'1. Raw Data'!C2:C1201,'1. Raw Data'!C221,'1. Raw Data'!D2:D1201,'1. Raw Data'!D221),0),2),'1. Raw Data'!G221)</f>
        <v>4938.84</v>
      </c>
      <c r="H222" s="3" t="str">
        <f aca="false">PROPER('1. Raw Data'!H221)</f>
        <v>No</v>
      </c>
      <c r="I222" s="3" t="n">
        <f aca="false">'1. Raw Data'!I221</f>
        <v>3</v>
      </c>
      <c r="J222" s="3" t="n">
        <f aca="false">'1. Raw Data'!J221</f>
        <v>2</v>
      </c>
      <c r="K222" s="3" t="n">
        <f aca="false">'1. Raw Data'!K221</f>
        <v>10</v>
      </c>
      <c r="L222" s="3" t="n">
        <f aca="false">'1. Raw Data'!L221</f>
        <v>0</v>
      </c>
      <c r="M222" s="3" t="n">
        <f aca="false">'1. Raw Data'!M221</f>
        <v>1</v>
      </c>
      <c r="N222" s="3" t="str">
        <f aca="false">'1. Raw Data'!N221</f>
        <v>No</v>
      </c>
    </row>
    <row r="223" customFormat="false" ht="15" hidden="false" customHeight="false" outlineLevel="0" collapsed="false">
      <c r="A223" s="3" t="str">
        <f aca="false">'1. Raw Data'!A222</f>
        <v>EMP-0221</v>
      </c>
      <c r="B223" s="3" t="n">
        <f aca="false">'1. Raw Data'!B222</f>
        <v>39</v>
      </c>
      <c r="C223" s="3" t="str">
        <f aca="false">'1. Raw Data'!C222</f>
        <v>Engineering</v>
      </c>
      <c r="D223" s="3" t="str">
        <f aca="false">'1. Raw Data'!D222</f>
        <v>Lead</v>
      </c>
      <c r="E223" s="3" t="str">
        <f aca="false">'1. Raw Data'!E222</f>
        <v>Other</v>
      </c>
      <c r="F223" s="3" t="n">
        <f aca="false">'1. Raw Data'!F222</f>
        <v>2.6</v>
      </c>
      <c r="G223" s="3" t="n">
        <f aca="false">IF('1. Raw Data'!G222="",ROUND(IFERROR(AVERAGEIFS('1. Raw Data'!G2:G1201,'1. Raw Data'!C2:C1201,'1. Raw Data'!C222,'1. Raw Data'!D2:D1201,'1. Raw Data'!D222),0),2),'1. Raw Data'!G222)</f>
        <v>10399.56</v>
      </c>
      <c r="H223" s="3" t="str">
        <f aca="false">PROPER('1. Raw Data'!H222)</f>
        <v>No</v>
      </c>
      <c r="I223" s="3" t="n">
        <f aca="false">'1. Raw Data'!I222</f>
        <v>4</v>
      </c>
      <c r="J223" s="3" t="n">
        <f aca="false">'1. Raw Data'!J222</f>
        <v>3</v>
      </c>
      <c r="K223" s="3" t="n">
        <f aca="false">'1. Raw Data'!K222</f>
        <v>1</v>
      </c>
      <c r="L223" s="3" t="n">
        <f aca="false">'1. Raw Data'!L222</f>
        <v>2</v>
      </c>
      <c r="M223" s="3" t="n">
        <f aca="false">'1. Raw Data'!M222</f>
        <v>6</v>
      </c>
      <c r="N223" s="3" t="str">
        <f aca="false">'1. Raw Data'!N222</f>
        <v>No</v>
      </c>
    </row>
    <row r="224" customFormat="false" ht="15" hidden="false" customHeight="false" outlineLevel="0" collapsed="false">
      <c r="A224" s="3" t="str">
        <f aca="false">'1. Raw Data'!A223</f>
        <v>EMP-0222</v>
      </c>
      <c r="B224" s="3" t="n">
        <f aca="false">'1. Raw Data'!B223</f>
        <v>29</v>
      </c>
      <c r="C224" s="3" t="str">
        <f aca="false">'1. Raw Data'!C223</f>
        <v>Marketing</v>
      </c>
      <c r="D224" s="3" t="str">
        <f aca="false">'1. Raw Data'!D223</f>
        <v>Junior</v>
      </c>
      <c r="E224" s="3" t="str">
        <f aca="false">'1. Raw Data'!E223</f>
        <v>Business</v>
      </c>
      <c r="F224" s="3" t="n">
        <f aca="false">'1. Raw Data'!F223</f>
        <v>4.8</v>
      </c>
      <c r="G224" s="3" t="n">
        <f aca="false">IF('1. Raw Data'!G223="",ROUND(IFERROR(AVERAGEIFS('1. Raw Data'!G2:G1201,'1. Raw Data'!C2:C1201,'1. Raw Data'!C223,'1. Raw Data'!D2:D1201,'1. Raw Data'!D223),0),2),'1. Raw Data'!G223)</f>
        <v>3543.49</v>
      </c>
      <c r="H224" s="3" t="str">
        <f aca="false">PROPER('1. Raw Data'!H223)</f>
        <v>No</v>
      </c>
      <c r="I224" s="3" t="n">
        <f aca="false">'1. Raw Data'!I223</f>
        <v>4</v>
      </c>
      <c r="J224" s="3" t="n">
        <f aca="false">'1. Raw Data'!J223</f>
        <v>3</v>
      </c>
      <c r="K224" s="3" t="n">
        <f aca="false">'1. Raw Data'!K223</f>
        <v>12</v>
      </c>
      <c r="L224" s="3" t="n">
        <f aca="false">'1. Raw Data'!L223</f>
        <v>1</v>
      </c>
      <c r="M224" s="3" t="n">
        <f aca="false">'1. Raw Data'!M223</f>
        <v>3</v>
      </c>
      <c r="N224" s="3" t="str">
        <f aca="false">'1. Raw Data'!N223</f>
        <v>Yes</v>
      </c>
    </row>
    <row r="225" customFormat="false" ht="15" hidden="false" customHeight="false" outlineLevel="0" collapsed="false">
      <c r="A225" s="3" t="str">
        <f aca="false">'1. Raw Data'!A224</f>
        <v>EMP-0223</v>
      </c>
      <c r="B225" s="3" t="n">
        <f aca="false">'1. Raw Data'!B224</f>
        <v>28</v>
      </c>
      <c r="C225" s="3" t="str">
        <f aca="false">'1. Raw Data'!C224</f>
        <v>Sales</v>
      </c>
      <c r="D225" s="3" t="str">
        <f aca="false">'1. Raw Data'!D224</f>
        <v>Junior</v>
      </c>
      <c r="E225" s="3" t="str">
        <f aca="false">'1. Raw Data'!E224</f>
        <v>Business</v>
      </c>
      <c r="F225" s="3" t="n">
        <f aca="false">'1. Raw Data'!F224</f>
        <v>2.4</v>
      </c>
      <c r="G225" s="3" t="n">
        <f aca="false">IF('1. Raw Data'!G224="",ROUND(IFERROR(AVERAGEIFS('1. Raw Data'!G2:G1201,'1. Raw Data'!C2:C1201,'1. Raw Data'!C224,'1. Raw Data'!D2:D1201,'1. Raw Data'!D224),0),2),'1. Raw Data'!G224)</f>
        <v>2798</v>
      </c>
      <c r="H225" s="3" t="str">
        <f aca="false">PROPER('1. Raw Data'!H224)</f>
        <v>No</v>
      </c>
      <c r="I225" s="3" t="n">
        <f aca="false">'1. Raw Data'!I224</f>
        <v>4</v>
      </c>
      <c r="J225" s="3" t="n">
        <f aca="false">'1. Raw Data'!J224</f>
        <v>4</v>
      </c>
      <c r="K225" s="3" t="n">
        <f aca="false">'1. Raw Data'!K224</f>
        <v>9</v>
      </c>
      <c r="L225" s="3" t="n">
        <f aca="false">'1. Raw Data'!L224</f>
        <v>1</v>
      </c>
      <c r="M225" s="3" t="n">
        <f aca="false">'1. Raw Data'!M224</f>
        <v>1</v>
      </c>
      <c r="N225" s="3" t="str">
        <f aca="false">'1. Raw Data'!N224</f>
        <v>No</v>
      </c>
    </row>
    <row r="226" customFormat="false" ht="15" hidden="false" customHeight="false" outlineLevel="0" collapsed="false">
      <c r="A226" s="3" t="str">
        <f aca="false">'1. Raw Data'!A225</f>
        <v>EMP-0224</v>
      </c>
      <c r="B226" s="3" t="n">
        <f aca="false">'1. Raw Data'!B225</f>
        <v>21</v>
      </c>
      <c r="C226" s="3" t="str">
        <f aca="false">'1. Raw Data'!C225</f>
        <v>Marketing</v>
      </c>
      <c r="D226" s="3" t="str">
        <f aca="false">'1. Raw Data'!D225</f>
        <v>Senior</v>
      </c>
      <c r="E226" s="3" t="str">
        <f aca="false">'1. Raw Data'!E225</f>
        <v>Other</v>
      </c>
      <c r="F226" s="3" t="n">
        <f aca="false">'1. Raw Data'!F225</f>
        <v>0</v>
      </c>
      <c r="G226" s="3" t="n">
        <f aca="false">IF('1. Raw Data'!G225="",ROUND(IFERROR(AVERAGEIFS('1. Raw Data'!G2:G1201,'1. Raw Data'!C2:C1201,'1. Raw Data'!C225,'1. Raw Data'!D2:D1201,'1. Raw Data'!D225),0),2),'1. Raw Data'!G225)</f>
        <v>7073.34</v>
      </c>
      <c r="H226" s="3" t="str">
        <f aca="false">PROPER('1. Raw Data'!H225)</f>
        <v>No</v>
      </c>
      <c r="I226" s="3" t="n">
        <f aca="false">'1. Raw Data'!I225</f>
        <v>2</v>
      </c>
      <c r="J226" s="3" t="n">
        <f aca="false">'1. Raw Data'!J225</f>
        <v>1</v>
      </c>
      <c r="K226" s="3" t="n">
        <f aca="false">'1. Raw Data'!K225</f>
        <v>3</v>
      </c>
      <c r="L226" s="3" t="n">
        <f aca="false">'1. Raw Data'!L225</f>
        <v>0</v>
      </c>
      <c r="M226" s="3" t="n">
        <f aca="false">'1. Raw Data'!M225</f>
        <v>3</v>
      </c>
      <c r="N226" s="3" t="str">
        <f aca="false">'1. Raw Data'!N225</f>
        <v>No</v>
      </c>
    </row>
    <row r="227" customFormat="false" ht="15" hidden="false" customHeight="false" outlineLevel="0" collapsed="false">
      <c r="A227" s="3" t="str">
        <f aca="false">'1. Raw Data'!A226</f>
        <v>EMP-0225</v>
      </c>
      <c r="B227" s="3" t="n">
        <f aca="false">'1. Raw Data'!B226</f>
        <v>22</v>
      </c>
      <c r="C227" s="3" t="str">
        <f aca="false">'1. Raw Data'!C226</f>
        <v>Sales</v>
      </c>
      <c r="D227" s="3" t="str">
        <f aca="false">'1. Raw Data'!D226</f>
        <v>Senior</v>
      </c>
      <c r="E227" s="3" t="str">
        <f aca="false">'1. Raw Data'!E226</f>
        <v>Business</v>
      </c>
      <c r="F227" s="3" t="n">
        <f aca="false">'1. Raw Data'!F226</f>
        <v>1</v>
      </c>
      <c r="G227" s="3" t="n">
        <f aca="false">IF('1. Raw Data'!G226="",ROUND(IFERROR(AVERAGEIFS('1. Raw Data'!G2:G1201,'1. Raw Data'!C2:C1201,'1. Raw Data'!C226,'1. Raw Data'!D2:D1201,'1. Raw Data'!D226),0),2),'1. Raw Data'!G226)</f>
        <v>7513.74</v>
      </c>
      <c r="H227" s="3" t="str">
        <f aca="false">PROPER('1. Raw Data'!H226)</f>
        <v>Yes</v>
      </c>
      <c r="I227" s="3" t="n">
        <f aca="false">'1. Raw Data'!I226</f>
        <v>4</v>
      </c>
      <c r="J227" s="3" t="n">
        <f aca="false">'1. Raw Data'!J226</f>
        <v>2</v>
      </c>
      <c r="K227" s="3" t="n">
        <f aca="false">'1. Raw Data'!K226</f>
        <v>6</v>
      </c>
      <c r="L227" s="3" t="n">
        <f aca="false">'1. Raw Data'!L226</f>
        <v>1</v>
      </c>
      <c r="M227" s="3" t="n">
        <f aca="false">'1. Raw Data'!M226</f>
        <v>4</v>
      </c>
      <c r="N227" s="3" t="str">
        <f aca="false">'1. Raw Data'!N226</f>
        <v>No</v>
      </c>
    </row>
    <row r="228" customFormat="false" ht="15" hidden="false" customHeight="false" outlineLevel="0" collapsed="false">
      <c r="A228" s="3" t="str">
        <f aca="false">'1. Raw Data'!A227</f>
        <v>EMP-0226</v>
      </c>
      <c r="B228" s="3" t="n">
        <f aca="false">'1. Raw Data'!B227</f>
        <v>35</v>
      </c>
      <c r="C228" s="3" t="str">
        <f aca="false">'1. Raw Data'!C227</f>
        <v>Finance</v>
      </c>
      <c r="D228" s="3" t="str">
        <f aca="false">'1. Raw Data'!D227</f>
        <v>Junior</v>
      </c>
      <c r="E228" s="3" t="str">
        <f aca="false">'1. Raw Data'!E227</f>
        <v>Business</v>
      </c>
      <c r="F228" s="3" t="n">
        <f aca="false">'1. Raw Data'!F227</f>
        <v>2</v>
      </c>
      <c r="G228" s="3" t="n">
        <f aca="false">IF('1. Raw Data'!G227="",ROUND(IFERROR(AVERAGEIFS('1. Raw Data'!G2:G1201,'1. Raw Data'!C2:C1201,'1. Raw Data'!C227,'1. Raw Data'!D2:D1201,'1. Raw Data'!D227),0),2),'1. Raw Data'!G227)</f>
        <v>2869.23</v>
      </c>
      <c r="H228" s="3" t="str">
        <f aca="false">PROPER('1. Raw Data'!H227)</f>
        <v>No</v>
      </c>
      <c r="I228" s="3" t="n">
        <f aca="false">'1. Raw Data'!I227</f>
        <v>4</v>
      </c>
      <c r="J228" s="3" t="n">
        <f aca="false">'1. Raw Data'!J227</f>
        <v>3</v>
      </c>
      <c r="K228" s="3" t="n">
        <f aca="false">'1. Raw Data'!K227</f>
        <v>3</v>
      </c>
      <c r="L228" s="3" t="n">
        <f aca="false">'1. Raw Data'!L227</f>
        <v>1</v>
      </c>
      <c r="M228" s="3" t="n">
        <f aca="false">'1. Raw Data'!M227</f>
        <v>3</v>
      </c>
      <c r="N228" s="3" t="str">
        <f aca="false">'1. Raw Data'!N227</f>
        <v>No</v>
      </c>
    </row>
    <row r="229" customFormat="false" ht="15" hidden="false" customHeight="false" outlineLevel="0" collapsed="false">
      <c r="A229" s="3" t="str">
        <f aca="false">'1. Raw Data'!A228</f>
        <v>EMP-0227</v>
      </c>
      <c r="B229" s="3" t="n">
        <f aca="false">'1. Raw Data'!B228</f>
        <v>40</v>
      </c>
      <c r="C229" s="3" t="str">
        <f aca="false">'1. Raw Data'!C228</f>
        <v>Customer Support</v>
      </c>
      <c r="D229" s="3" t="str">
        <f aca="false">'1. Raw Data'!D228</f>
        <v>Junior</v>
      </c>
      <c r="E229" s="3" t="str">
        <f aca="false">'1. Raw Data'!E228</f>
        <v>Technical</v>
      </c>
      <c r="F229" s="3" t="n">
        <f aca="false">'1. Raw Data'!F228</f>
        <v>6.9</v>
      </c>
      <c r="G229" s="3" t="n">
        <f aca="false">IF('1. Raw Data'!G228="",ROUND(IFERROR(AVERAGEIFS('1. Raw Data'!G2:G1201,'1. Raw Data'!C2:C1201,'1. Raw Data'!C228,'1. Raw Data'!D2:D1201,'1. Raw Data'!D228),0),2),'1. Raw Data'!G228)</f>
        <v>3102.85</v>
      </c>
      <c r="H229" s="3" t="str">
        <f aca="false">PROPER('1. Raw Data'!H228)</f>
        <v>No</v>
      </c>
      <c r="I229" s="3" t="n">
        <f aca="false">'1. Raw Data'!I228</f>
        <v>3</v>
      </c>
      <c r="J229" s="3" t="n">
        <f aca="false">'1. Raw Data'!J228</f>
        <v>4</v>
      </c>
      <c r="K229" s="3" t="n">
        <f aca="false">'1. Raw Data'!K228</f>
        <v>6</v>
      </c>
      <c r="L229" s="3" t="n">
        <f aca="false">'1. Raw Data'!L228</f>
        <v>4</v>
      </c>
      <c r="M229" s="3" t="n">
        <f aca="false">'1. Raw Data'!M228</f>
        <v>3</v>
      </c>
      <c r="N229" s="3" t="str">
        <f aca="false">'1. Raw Data'!N228</f>
        <v>No</v>
      </c>
    </row>
    <row r="230" customFormat="false" ht="15" hidden="false" customHeight="false" outlineLevel="0" collapsed="false">
      <c r="A230" s="3" t="str">
        <f aca="false">'1. Raw Data'!A229</f>
        <v>EMP-0228</v>
      </c>
      <c r="B230" s="3" t="n">
        <f aca="false">'1. Raw Data'!B229</f>
        <v>30</v>
      </c>
      <c r="C230" s="3" t="str">
        <f aca="false">'1. Raw Data'!C229</f>
        <v>Customer Support</v>
      </c>
      <c r="D230" s="3" t="str">
        <f aca="false">'1. Raw Data'!D229</f>
        <v>Mid</v>
      </c>
      <c r="E230" s="3" t="str">
        <f aca="false">'1. Raw Data'!E229</f>
        <v>Other</v>
      </c>
      <c r="F230" s="3" t="n">
        <f aca="false">'1. Raw Data'!F229</f>
        <v>2.3</v>
      </c>
      <c r="G230" s="3" t="n">
        <f aca="false">IF('1. Raw Data'!G229="",ROUND(IFERROR(AVERAGEIFS('1. Raw Data'!G2:G1201,'1. Raw Data'!C2:C1201,'1. Raw Data'!C229,'1. Raw Data'!D2:D1201,'1. Raw Data'!D229),0),2),'1. Raw Data'!G229)</f>
        <v>4623.63</v>
      </c>
      <c r="H230" s="3" t="str">
        <f aca="false">PROPER('1. Raw Data'!H229)</f>
        <v>Yes</v>
      </c>
      <c r="I230" s="3" t="n">
        <f aca="false">'1. Raw Data'!I229</f>
        <v>4</v>
      </c>
      <c r="J230" s="3" t="n">
        <f aca="false">'1. Raw Data'!J229</f>
        <v>2</v>
      </c>
      <c r="K230" s="3" t="n">
        <f aca="false">'1. Raw Data'!K229</f>
        <v>1</v>
      </c>
      <c r="L230" s="3" t="n">
        <f aca="false">'1. Raw Data'!L229</f>
        <v>2</v>
      </c>
      <c r="M230" s="3" t="n">
        <f aca="false">'1. Raw Data'!M229</f>
        <v>0</v>
      </c>
      <c r="N230" s="3" t="str">
        <f aca="false">'1. Raw Data'!N229</f>
        <v>Yes</v>
      </c>
    </row>
    <row r="231" customFormat="false" ht="15" hidden="false" customHeight="false" outlineLevel="0" collapsed="false">
      <c r="A231" s="3" t="str">
        <f aca="false">'1. Raw Data'!A230</f>
        <v>EMP-0229</v>
      </c>
      <c r="B231" s="3" t="n">
        <f aca="false">'1. Raw Data'!B230</f>
        <v>46</v>
      </c>
      <c r="C231" s="3" t="str">
        <f aca="false">'1. Raw Data'!C230</f>
        <v>HR</v>
      </c>
      <c r="D231" s="3" t="str">
        <f aca="false">'1. Raw Data'!D230</f>
        <v>Junior</v>
      </c>
      <c r="E231" s="3" t="str">
        <f aca="false">'1. Raw Data'!E230</f>
        <v>Business</v>
      </c>
      <c r="F231" s="3" t="n">
        <f aca="false">'1. Raw Data'!F230</f>
        <v>11.4</v>
      </c>
      <c r="G231" s="3" t="n">
        <f aca="false">IF('1. Raw Data'!G230="",ROUND(IFERROR(AVERAGEIFS('1. Raw Data'!G2:G1201,'1. Raw Data'!C2:C1201,'1. Raw Data'!C230,'1. Raw Data'!D2:D1201,'1. Raw Data'!D230),0),2),'1. Raw Data'!G230)</f>
        <v>3348.27</v>
      </c>
      <c r="H231" s="3" t="str">
        <f aca="false">PROPER('1. Raw Data'!H230)</f>
        <v>No</v>
      </c>
      <c r="I231" s="3" t="n">
        <f aca="false">'1. Raw Data'!I230</f>
        <v>4</v>
      </c>
      <c r="J231" s="3" t="n">
        <f aca="false">'1. Raw Data'!J230</f>
        <v>3</v>
      </c>
      <c r="K231" s="3" t="n">
        <f aca="false">'1. Raw Data'!K230</f>
        <v>15</v>
      </c>
      <c r="L231" s="3" t="n">
        <f aca="false">'1. Raw Data'!L230</f>
        <v>0</v>
      </c>
      <c r="M231" s="3" t="n">
        <f aca="false">'1. Raw Data'!M230</f>
        <v>2</v>
      </c>
      <c r="N231" s="3" t="str">
        <f aca="false">'1. Raw Data'!N230</f>
        <v>No</v>
      </c>
    </row>
    <row r="232" customFormat="false" ht="15" hidden="false" customHeight="false" outlineLevel="0" collapsed="false">
      <c r="A232" s="3" t="str">
        <f aca="false">'1. Raw Data'!A231</f>
        <v>EMP-0230</v>
      </c>
      <c r="B232" s="3" t="n">
        <f aca="false">'1. Raw Data'!B231</f>
        <v>33</v>
      </c>
      <c r="C232" s="3" t="str">
        <f aca="false">'1. Raw Data'!C231</f>
        <v>Engineering</v>
      </c>
      <c r="D232" s="3" t="str">
        <f aca="false">'1. Raw Data'!D231</f>
        <v>Lead</v>
      </c>
      <c r="E232" s="3" t="str">
        <f aca="false">'1. Raw Data'!E231</f>
        <v>Technical</v>
      </c>
      <c r="F232" s="3" t="n">
        <f aca="false">'1. Raw Data'!F231</f>
        <v>1.4</v>
      </c>
      <c r="G232" s="3" t="n">
        <f aca="false">IF('1. Raw Data'!G231="",ROUND(IFERROR(AVERAGEIFS('1. Raw Data'!G2:G1201,'1. Raw Data'!C2:C1201,'1. Raw Data'!C231,'1. Raw Data'!D2:D1201,'1. Raw Data'!D231),0),2),'1. Raw Data'!G231)</f>
        <v>9189.04</v>
      </c>
      <c r="H232" s="3" t="str">
        <f aca="false">PROPER('1. Raw Data'!H231)</f>
        <v>Yes</v>
      </c>
      <c r="I232" s="3" t="n">
        <f aca="false">'1. Raw Data'!I231</f>
        <v>2</v>
      </c>
      <c r="J232" s="3" t="n">
        <f aca="false">'1. Raw Data'!J231</f>
        <v>2</v>
      </c>
      <c r="K232" s="3" t="n">
        <f aca="false">'1. Raw Data'!K231</f>
        <v>6</v>
      </c>
      <c r="L232" s="3" t="n">
        <f aca="false">'1. Raw Data'!L231</f>
        <v>1</v>
      </c>
      <c r="M232" s="3" t="n">
        <f aca="false">'1. Raw Data'!M231</f>
        <v>1</v>
      </c>
      <c r="N232" s="3" t="str">
        <f aca="false">'1. Raw Data'!N231</f>
        <v>No</v>
      </c>
    </row>
    <row r="233" customFormat="false" ht="15" hidden="false" customHeight="false" outlineLevel="0" collapsed="false">
      <c r="A233" s="3" t="str">
        <f aca="false">'1. Raw Data'!A232</f>
        <v>EMP-0231</v>
      </c>
      <c r="B233" s="3" t="n">
        <f aca="false">'1. Raw Data'!B232</f>
        <v>27</v>
      </c>
      <c r="C233" s="3" t="str">
        <f aca="false">'1. Raw Data'!C232</f>
        <v>Engineering</v>
      </c>
      <c r="D233" s="3" t="str">
        <f aca="false">'1. Raw Data'!D232</f>
        <v>Junior</v>
      </c>
      <c r="E233" s="3" t="str">
        <f aca="false">'1. Raw Data'!E232</f>
        <v>Business</v>
      </c>
      <c r="F233" s="3" t="n">
        <f aca="false">'1. Raw Data'!F232</f>
        <v>2</v>
      </c>
      <c r="G233" s="3" t="n">
        <f aca="false">IF('1. Raw Data'!G232="",ROUND(IFERROR(AVERAGEIFS('1. Raw Data'!G2:G1201,'1. Raw Data'!C2:C1201,'1. Raw Data'!C232,'1. Raw Data'!D2:D1201,'1. Raw Data'!D232),0),2),'1. Raw Data'!G232)</f>
        <v>3807.25</v>
      </c>
      <c r="H233" s="3" t="str">
        <f aca="false">PROPER('1. Raw Data'!H232)</f>
        <v>No</v>
      </c>
      <c r="I233" s="3" t="n">
        <f aca="false">'1. Raw Data'!I232</f>
        <v>3</v>
      </c>
      <c r="J233" s="3" t="n">
        <f aca="false">'1. Raw Data'!J232</f>
        <v>2</v>
      </c>
      <c r="K233" s="3" t="n">
        <f aca="false">'1. Raw Data'!K232</f>
        <v>1</v>
      </c>
      <c r="L233" s="3" t="n">
        <f aca="false">'1. Raw Data'!L232</f>
        <v>0</v>
      </c>
      <c r="M233" s="3" t="n">
        <f aca="false">'1. Raw Data'!M232</f>
        <v>1</v>
      </c>
      <c r="N233" s="3" t="str">
        <f aca="false">'1. Raw Data'!N232</f>
        <v>No</v>
      </c>
    </row>
    <row r="234" customFormat="false" ht="15" hidden="false" customHeight="false" outlineLevel="0" collapsed="false">
      <c r="A234" s="3" t="str">
        <f aca="false">'1. Raw Data'!A233</f>
        <v>EMP-0232</v>
      </c>
      <c r="B234" s="3" t="n">
        <f aca="false">'1. Raw Data'!B233</f>
        <v>38</v>
      </c>
      <c r="C234" s="3" t="str">
        <f aca="false">'1. Raw Data'!C233</f>
        <v>Sales</v>
      </c>
      <c r="D234" s="3" t="str">
        <f aca="false">'1. Raw Data'!D233</f>
        <v>Junior</v>
      </c>
      <c r="E234" s="3" t="str">
        <f aca="false">'1. Raw Data'!E233</f>
        <v>Other</v>
      </c>
      <c r="F234" s="3" t="n">
        <f aca="false">'1. Raw Data'!F233</f>
        <v>0.6</v>
      </c>
      <c r="G234" s="3" t="n">
        <f aca="false">IF('1. Raw Data'!G233="",ROUND(IFERROR(AVERAGEIFS('1. Raw Data'!G2:G1201,'1. Raw Data'!C2:C1201,'1. Raw Data'!C233,'1. Raw Data'!D2:D1201,'1. Raw Data'!D233),0),2),'1. Raw Data'!G233)</f>
        <v>3228.92</v>
      </c>
      <c r="H234" s="3" t="str">
        <f aca="false">PROPER('1. Raw Data'!H233)</f>
        <v>No</v>
      </c>
      <c r="I234" s="3" t="n">
        <f aca="false">'1. Raw Data'!I233</f>
        <v>4</v>
      </c>
      <c r="J234" s="3" t="n">
        <f aca="false">'1. Raw Data'!J233</f>
        <v>4</v>
      </c>
      <c r="K234" s="3" t="n">
        <f aca="false">'1. Raw Data'!K233</f>
        <v>25</v>
      </c>
      <c r="L234" s="3" t="n">
        <f aca="false">'1. Raw Data'!L233</f>
        <v>0</v>
      </c>
      <c r="M234" s="3" t="n">
        <f aca="false">'1. Raw Data'!M233</f>
        <v>2</v>
      </c>
      <c r="N234" s="3" t="str">
        <f aca="false">'1. Raw Data'!N233</f>
        <v>Yes</v>
      </c>
    </row>
    <row r="235" customFormat="false" ht="15" hidden="false" customHeight="false" outlineLevel="0" collapsed="false">
      <c r="A235" s="3" t="str">
        <f aca="false">'1. Raw Data'!A234</f>
        <v>EMP-0233</v>
      </c>
      <c r="B235" s="3" t="n">
        <f aca="false">'1. Raw Data'!B234</f>
        <v>46</v>
      </c>
      <c r="C235" s="3" t="str">
        <f aca="false">'1. Raw Data'!C234</f>
        <v>Engineering</v>
      </c>
      <c r="D235" s="3" t="str">
        <f aca="false">'1. Raw Data'!D234</f>
        <v>Junior</v>
      </c>
      <c r="E235" s="3" t="str">
        <f aca="false">'1. Raw Data'!E234</f>
        <v>Technical</v>
      </c>
      <c r="F235" s="3" t="n">
        <f aca="false">'1. Raw Data'!F234</f>
        <v>3.2</v>
      </c>
      <c r="G235" s="3" t="n">
        <f aca="false">IF('1. Raw Data'!G234="",ROUND(IFERROR(AVERAGEIFS('1. Raw Data'!G2:G1201,'1. Raw Data'!C2:C1201,'1. Raw Data'!C234,'1. Raw Data'!D2:D1201,'1. Raw Data'!D234),0),2),'1. Raw Data'!G234)</f>
        <v>3261.99</v>
      </c>
      <c r="H235" s="3" t="str">
        <f aca="false">PROPER('1. Raw Data'!H234)</f>
        <v>No</v>
      </c>
      <c r="I235" s="3" t="n">
        <f aca="false">'1. Raw Data'!I234</f>
        <v>3</v>
      </c>
      <c r="J235" s="3" t="n">
        <f aca="false">'1. Raw Data'!J234</f>
        <v>3</v>
      </c>
      <c r="K235" s="3" t="n">
        <f aca="false">'1. Raw Data'!K234</f>
        <v>1</v>
      </c>
      <c r="L235" s="3" t="n">
        <f aca="false">'1. Raw Data'!L234</f>
        <v>1</v>
      </c>
      <c r="M235" s="3" t="n">
        <f aca="false">'1. Raw Data'!M234</f>
        <v>2</v>
      </c>
      <c r="N235" s="3" t="str">
        <f aca="false">'1. Raw Data'!N234</f>
        <v>No</v>
      </c>
    </row>
    <row r="236" customFormat="false" ht="15" hidden="false" customHeight="false" outlineLevel="0" collapsed="false">
      <c r="A236" s="3" t="str">
        <f aca="false">'1. Raw Data'!A235</f>
        <v>EMP-0234</v>
      </c>
      <c r="B236" s="3" t="n">
        <f aca="false">'1. Raw Data'!B235</f>
        <v>41</v>
      </c>
      <c r="C236" s="3" t="str">
        <f aca="false">'1. Raw Data'!C235</f>
        <v>Customer Support</v>
      </c>
      <c r="D236" s="3" t="str">
        <f aca="false">'1. Raw Data'!D235</f>
        <v>Junior</v>
      </c>
      <c r="E236" s="3" t="str">
        <f aca="false">'1. Raw Data'!E235</f>
        <v>Technical</v>
      </c>
      <c r="F236" s="3" t="n">
        <f aca="false">'1. Raw Data'!F235</f>
        <v>4.7</v>
      </c>
      <c r="G236" s="3" t="n">
        <f aca="false">IF('1. Raw Data'!G235="",ROUND(IFERROR(AVERAGEIFS('1. Raw Data'!G2:G1201,'1. Raw Data'!C2:C1201,'1. Raw Data'!C235,'1. Raw Data'!D2:D1201,'1. Raw Data'!D235),0),2),'1. Raw Data'!G235)</f>
        <v>3304.6</v>
      </c>
      <c r="H236" s="3" t="str">
        <f aca="false">PROPER('1. Raw Data'!H235)</f>
        <v>No</v>
      </c>
      <c r="I236" s="3" t="n">
        <f aca="false">'1. Raw Data'!I235</f>
        <v>1</v>
      </c>
      <c r="J236" s="3" t="n">
        <f aca="false">'1. Raw Data'!J235</f>
        <v>1</v>
      </c>
      <c r="K236" s="3" t="n">
        <f aca="false">'1. Raw Data'!K235</f>
        <v>1</v>
      </c>
      <c r="L236" s="3" t="n">
        <f aca="false">'1. Raw Data'!L235</f>
        <v>4</v>
      </c>
      <c r="M236" s="3" t="n">
        <f aca="false">'1. Raw Data'!M235</f>
        <v>2</v>
      </c>
      <c r="N236" s="3" t="str">
        <f aca="false">'1. Raw Data'!N235</f>
        <v>No</v>
      </c>
    </row>
    <row r="237" customFormat="false" ht="15" hidden="false" customHeight="false" outlineLevel="0" collapsed="false">
      <c r="A237" s="3" t="str">
        <f aca="false">'1. Raw Data'!A236</f>
        <v>EMP-0235</v>
      </c>
      <c r="B237" s="3" t="n">
        <f aca="false">'1. Raw Data'!B236</f>
        <v>38</v>
      </c>
      <c r="C237" s="3" t="str">
        <f aca="false">'1. Raw Data'!C236</f>
        <v>Sales</v>
      </c>
      <c r="D237" s="3" t="str">
        <f aca="false">'1. Raw Data'!D236</f>
        <v>Mid</v>
      </c>
      <c r="E237" s="3" t="str">
        <f aca="false">'1. Raw Data'!E236</f>
        <v>Marketing</v>
      </c>
      <c r="F237" s="3" t="n">
        <f aca="false">'1. Raw Data'!F236</f>
        <v>3</v>
      </c>
      <c r="G237" s="3" t="n">
        <f aca="false">IF('1. Raw Data'!G236="",ROUND(IFERROR(AVERAGEIFS('1. Raw Data'!G2:G1201,'1. Raw Data'!C2:C1201,'1. Raw Data'!C236,'1. Raw Data'!D2:D1201,'1. Raw Data'!D236),0),2),'1. Raw Data'!G236)</f>
        <v>5090.74</v>
      </c>
      <c r="H237" s="3" t="str">
        <f aca="false">PROPER('1. Raw Data'!H236)</f>
        <v>Yes</v>
      </c>
      <c r="I237" s="3" t="n">
        <f aca="false">'1. Raw Data'!I236</f>
        <v>3</v>
      </c>
      <c r="J237" s="3" t="n">
        <f aca="false">'1. Raw Data'!J236</f>
        <v>4</v>
      </c>
      <c r="K237" s="3" t="n">
        <f aca="false">'1. Raw Data'!K236</f>
        <v>7</v>
      </c>
      <c r="L237" s="3" t="n">
        <f aca="false">'1. Raw Data'!L236</f>
        <v>2</v>
      </c>
      <c r="M237" s="3" t="n">
        <f aca="false">'1. Raw Data'!M236</f>
        <v>4</v>
      </c>
      <c r="N237" s="3" t="str">
        <f aca="false">'1. Raw Data'!N236</f>
        <v>No</v>
      </c>
    </row>
    <row r="238" customFormat="false" ht="15" hidden="false" customHeight="false" outlineLevel="0" collapsed="false">
      <c r="A238" s="3" t="str">
        <f aca="false">'1. Raw Data'!A237</f>
        <v>EMP-0236</v>
      </c>
      <c r="B238" s="3" t="n">
        <f aca="false">'1. Raw Data'!B237</f>
        <v>34</v>
      </c>
      <c r="C238" s="3" t="str">
        <f aca="false">'1. Raw Data'!C237</f>
        <v>Sales</v>
      </c>
      <c r="D238" s="3" t="str">
        <f aca="false">'1. Raw Data'!D237</f>
        <v>Junior</v>
      </c>
      <c r="E238" s="3" t="str">
        <f aca="false">'1. Raw Data'!E237</f>
        <v>Other</v>
      </c>
      <c r="F238" s="3" t="n">
        <f aca="false">'1. Raw Data'!F237</f>
        <v>5.3</v>
      </c>
      <c r="G238" s="3" t="n">
        <f aca="false">IF('1. Raw Data'!G237="",ROUND(IFERROR(AVERAGEIFS('1. Raw Data'!G2:G1201,'1. Raw Data'!C2:C1201,'1. Raw Data'!C237,'1. Raw Data'!D2:D1201,'1. Raw Data'!D237),0),2),'1. Raw Data'!G237)</f>
        <v>3535.88</v>
      </c>
      <c r="H238" s="3" t="str">
        <f aca="false">PROPER('1. Raw Data'!H237)</f>
        <v>Yes</v>
      </c>
      <c r="I238" s="3" t="n">
        <f aca="false">'1. Raw Data'!I237</f>
        <v>2</v>
      </c>
      <c r="J238" s="3" t="n">
        <f aca="false">'1. Raw Data'!J237</f>
        <v>3</v>
      </c>
      <c r="K238" s="3" t="n">
        <f aca="false">'1. Raw Data'!K237</f>
        <v>6</v>
      </c>
      <c r="L238" s="3" t="n">
        <f aca="false">'1. Raw Data'!L237</f>
        <v>4</v>
      </c>
      <c r="M238" s="3" t="n">
        <f aca="false">'1. Raw Data'!M237</f>
        <v>5</v>
      </c>
      <c r="N238" s="3" t="str">
        <f aca="false">'1. Raw Data'!N237</f>
        <v>Yes</v>
      </c>
    </row>
    <row r="239" customFormat="false" ht="15" hidden="false" customHeight="false" outlineLevel="0" collapsed="false">
      <c r="A239" s="3" t="str">
        <f aca="false">'1. Raw Data'!A238</f>
        <v>EMP-0237</v>
      </c>
      <c r="B239" s="3" t="n">
        <f aca="false">'1. Raw Data'!B238</f>
        <v>34</v>
      </c>
      <c r="C239" s="3" t="str">
        <f aca="false">'1. Raw Data'!C238</f>
        <v>Sales</v>
      </c>
      <c r="D239" s="3" t="str">
        <f aca="false">'1. Raw Data'!D238</f>
        <v>Junior</v>
      </c>
      <c r="E239" s="3" t="str">
        <f aca="false">'1. Raw Data'!E238</f>
        <v>Other</v>
      </c>
      <c r="F239" s="3" t="n">
        <f aca="false">'1. Raw Data'!F238</f>
        <v>7.6</v>
      </c>
      <c r="G239" s="3" t="n">
        <f aca="false">IF('1. Raw Data'!G238="",ROUND(IFERROR(AVERAGEIFS('1. Raw Data'!G2:G1201,'1. Raw Data'!C2:C1201,'1. Raw Data'!C238,'1. Raw Data'!D2:D1201,'1. Raw Data'!D238),0),2),'1. Raw Data'!G238)</f>
        <v>2725.34</v>
      </c>
      <c r="H239" s="3" t="str">
        <f aca="false">PROPER('1. Raw Data'!H238)</f>
        <v>Yes</v>
      </c>
      <c r="I239" s="3" t="n">
        <f aca="false">'1. Raw Data'!I238</f>
        <v>2</v>
      </c>
      <c r="J239" s="3" t="n">
        <f aca="false">'1. Raw Data'!J238</f>
        <v>4</v>
      </c>
      <c r="K239" s="3" t="n">
        <f aca="false">'1. Raw Data'!K238</f>
        <v>3</v>
      </c>
      <c r="L239" s="3" t="n">
        <f aca="false">'1. Raw Data'!L238</f>
        <v>0</v>
      </c>
      <c r="M239" s="3" t="n">
        <f aca="false">'1. Raw Data'!M238</f>
        <v>1</v>
      </c>
      <c r="N239" s="3" t="str">
        <f aca="false">'1. Raw Data'!N238</f>
        <v>Yes</v>
      </c>
    </row>
    <row r="240" customFormat="false" ht="15" hidden="false" customHeight="false" outlineLevel="0" collapsed="false">
      <c r="A240" s="3" t="str">
        <f aca="false">'1. Raw Data'!A239</f>
        <v>EMP-0238</v>
      </c>
      <c r="B240" s="3" t="n">
        <f aca="false">'1. Raw Data'!B239</f>
        <v>31</v>
      </c>
      <c r="C240" s="3" t="str">
        <f aca="false">'1. Raw Data'!C239</f>
        <v>Marketing</v>
      </c>
      <c r="D240" s="3" t="str">
        <f aca="false">'1. Raw Data'!D239</f>
        <v>Junior</v>
      </c>
      <c r="E240" s="3" t="str">
        <f aca="false">'1. Raw Data'!E239</f>
        <v>Business</v>
      </c>
      <c r="F240" s="3" t="n">
        <f aca="false">'1. Raw Data'!F239</f>
        <v>2.5</v>
      </c>
      <c r="G240" s="3" t="n">
        <f aca="false">IF('1. Raw Data'!G239="",ROUND(IFERROR(AVERAGEIFS('1. Raw Data'!G2:G1201,'1. Raw Data'!C2:C1201,'1. Raw Data'!C239,'1. Raw Data'!D2:D1201,'1. Raw Data'!D239),0),2),'1. Raw Data'!G239)</f>
        <v>3470.85</v>
      </c>
      <c r="H240" s="3" t="str">
        <f aca="false">PROPER('1. Raw Data'!H239)</f>
        <v>No</v>
      </c>
      <c r="I240" s="3" t="n">
        <f aca="false">'1. Raw Data'!I239</f>
        <v>3</v>
      </c>
      <c r="J240" s="3" t="n">
        <f aca="false">'1. Raw Data'!J239</f>
        <v>1</v>
      </c>
      <c r="K240" s="3" t="n">
        <f aca="false">'1. Raw Data'!K239</f>
        <v>28</v>
      </c>
      <c r="L240" s="3" t="n">
        <f aca="false">'1. Raw Data'!L239</f>
        <v>0</v>
      </c>
      <c r="M240" s="3" t="n">
        <f aca="false">'1. Raw Data'!M239</f>
        <v>3</v>
      </c>
      <c r="N240" s="3" t="str">
        <f aca="false">'1. Raw Data'!N239</f>
        <v>No</v>
      </c>
    </row>
    <row r="241" customFormat="false" ht="15" hidden="false" customHeight="false" outlineLevel="0" collapsed="false">
      <c r="A241" s="3" t="str">
        <f aca="false">'1. Raw Data'!A240</f>
        <v>EMP-0239</v>
      </c>
      <c r="B241" s="3" t="n">
        <f aca="false">'1. Raw Data'!B240</f>
        <v>21</v>
      </c>
      <c r="C241" s="3" t="str">
        <f aca="false">'1. Raw Data'!C240</f>
        <v>HR</v>
      </c>
      <c r="D241" s="3" t="str">
        <f aca="false">'1. Raw Data'!D240</f>
        <v>Senior</v>
      </c>
      <c r="E241" s="3" t="str">
        <f aca="false">'1. Raw Data'!E240</f>
        <v>Marketing</v>
      </c>
      <c r="F241" s="3" t="n">
        <f aca="false">'1. Raw Data'!F240</f>
        <v>0</v>
      </c>
      <c r="G241" s="3" t="n">
        <f aca="false">IF('1. Raw Data'!G240="",ROUND(IFERROR(AVERAGEIFS('1. Raw Data'!G2:G1201,'1. Raw Data'!C2:C1201,'1. Raw Data'!C240,'1. Raw Data'!D2:D1201,'1. Raw Data'!D240),0),2),'1. Raw Data'!G240)</f>
        <v>8204.25</v>
      </c>
      <c r="H241" s="3" t="str">
        <f aca="false">PROPER('1. Raw Data'!H240)</f>
        <v>No</v>
      </c>
      <c r="I241" s="3" t="n">
        <f aca="false">'1. Raw Data'!I240</f>
        <v>2</v>
      </c>
      <c r="J241" s="3" t="n">
        <f aca="false">'1. Raw Data'!J240</f>
        <v>3</v>
      </c>
      <c r="K241" s="3" t="n">
        <f aca="false">'1. Raw Data'!K240</f>
        <v>21</v>
      </c>
      <c r="L241" s="3" t="n">
        <f aca="false">'1. Raw Data'!L240</f>
        <v>0</v>
      </c>
      <c r="M241" s="3" t="n">
        <f aca="false">'1. Raw Data'!M240</f>
        <v>3</v>
      </c>
      <c r="N241" s="3" t="str">
        <f aca="false">'1. Raw Data'!N240</f>
        <v>Yes</v>
      </c>
    </row>
    <row r="242" customFormat="false" ht="15" hidden="false" customHeight="false" outlineLevel="0" collapsed="false">
      <c r="A242" s="3" t="str">
        <f aca="false">'1. Raw Data'!A241</f>
        <v>EMP-0240</v>
      </c>
      <c r="B242" s="3" t="n">
        <f aca="false">'1. Raw Data'!B241</f>
        <v>31</v>
      </c>
      <c r="C242" s="3" t="str">
        <f aca="false">'1. Raw Data'!C241</f>
        <v>HR</v>
      </c>
      <c r="D242" s="3" t="str">
        <f aca="false">'1. Raw Data'!D241</f>
        <v>Junior</v>
      </c>
      <c r="E242" s="3" t="str">
        <f aca="false">'1. Raw Data'!E241</f>
        <v>Marketing</v>
      </c>
      <c r="F242" s="3" t="n">
        <f aca="false">'1. Raw Data'!F241</f>
        <v>1.3</v>
      </c>
      <c r="G242" s="3" t="n">
        <f aca="false">IF('1. Raw Data'!G241="",ROUND(IFERROR(AVERAGEIFS('1. Raw Data'!G2:G1201,'1. Raw Data'!C2:C1201,'1. Raw Data'!C241,'1. Raw Data'!D2:D1201,'1. Raw Data'!D241),0),2),'1. Raw Data'!G241)</f>
        <v>3348.27</v>
      </c>
      <c r="H242" s="3" t="str">
        <f aca="false">PROPER('1. Raw Data'!H241)</f>
        <v>No</v>
      </c>
      <c r="I242" s="3" t="n">
        <f aca="false">'1. Raw Data'!I241</f>
        <v>3</v>
      </c>
      <c r="J242" s="3" t="n">
        <f aca="false">'1. Raw Data'!J241</f>
        <v>3</v>
      </c>
      <c r="K242" s="3" t="n">
        <f aca="false">'1. Raw Data'!K241</f>
        <v>1</v>
      </c>
      <c r="L242" s="3" t="n">
        <f aca="false">'1. Raw Data'!L241</f>
        <v>0</v>
      </c>
      <c r="M242" s="3" t="n">
        <f aca="false">'1. Raw Data'!M241</f>
        <v>2</v>
      </c>
      <c r="N242" s="3" t="str">
        <f aca="false">'1. Raw Data'!N241</f>
        <v>No</v>
      </c>
    </row>
    <row r="243" customFormat="false" ht="15" hidden="false" customHeight="false" outlineLevel="0" collapsed="false">
      <c r="A243" s="3" t="str">
        <f aca="false">'1. Raw Data'!A242</f>
        <v>EMP-0241</v>
      </c>
      <c r="B243" s="3" t="n">
        <f aca="false">'1. Raw Data'!B242</f>
        <v>30</v>
      </c>
      <c r="C243" s="3" t="str">
        <f aca="false">'1. Raw Data'!C242</f>
        <v>HR</v>
      </c>
      <c r="D243" s="3" t="str">
        <f aca="false">'1. Raw Data'!D242</f>
        <v>Mid</v>
      </c>
      <c r="E243" s="3" t="str">
        <f aca="false">'1. Raw Data'!E242</f>
        <v>Technical</v>
      </c>
      <c r="F243" s="3" t="n">
        <f aca="false">'1. Raw Data'!F242</f>
        <v>0.5</v>
      </c>
      <c r="G243" s="3" t="n">
        <f aca="false">IF('1. Raw Data'!G242="",ROUND(IFERROR(AVERAGEIFS('1. Raw Data'!G2:G1201,'1. Raw Data'!C2:C1201,'1. Raw Data'!C242,'1. Raw Data'!D2:D1201,'1. Raw Data'!D242),0),2),'1. Raw Data'!G242)</f>
        <v>4208.36</v>
      </c>
      <c r="H243" s="3" t="str">
        <f aca="false">PROPER('1. Raw Data'!H242)</f>
        <v>No</v>
      </c>
      <c r="I243" s="3" t="n">
        <f aca="false">'1. Raw Data'!I242</f>
        <v>4</v>
      </c>
      <c r="J243" s="3" t="n">
        <f aca="false">'1. Raw Data'!J242</f>
        <v>2</v>
      </c>
      <c r="K243" s="3" t="n">
        <f aca="false">'1. Raw Data'!K242</f>
        <v>40</v>
      </c>
      <c r="L243" s="3" t="n">
        <f aca="false">'1. Raw Data'!L242</f>
        <v>0</v>
      </c>
      <c r="M243" s="3" t="n">
        <f aca="false">'1. Raw Data'!M242</f>
        <v>3</v>
      </c>
      <c r="N243" s="3" t="str">
        <f aca="false">'1. Raw Data'!N242</f>
        <v>No</v>
      </c>
    </row>
    <row r="244" customFormat="false" ht="15" hidden="false" customHeight="false" outlineLevel="0" collapsed="false">
      <c r="A244" s="3" t="str">
        <f aca="false">'1. Raw Data'!A243</f>
        <v>EMP-0242</v>
      </c>
      <c r="B244" s="3" t="n">
        <f aca="false">'1. Raw Data'!B243</f>
        <v>45</v>
      </c>
      <c r="C244" s="3" t="str">
        <f aca="false">'1. Raw Data'!C243</f>
        <v>Customer Support</v>
      </c>
      <c r="D244" s="3" t="str">
        <f aca="false">'1. Raw Data'!D243</f>
        <v>Junior</v>
      </c>
      <c r="E244" s="3" t="str">
        <f aca="false">'1. Raw Data'!E243</f>
        <v>Technical</v>
      </c>
      <c r="F244" s="3" t="n">
        <f aca="false">'1. Raw Data'!F243</f>
        <v>2.4</v>
      </c>
      <c r="G244" s="3" t="n">
        <f aca="false">IF('1. Raw Data'!G243="",ROUND(IFERROR(AVERAGEIFS('1. Raw Data'!G2:G1201,'1. Raw Data'!C2:C1201,'1. Raw Data'!C243,'1. Raw Data'!D2:D1201,'1. Raw Data'!D243),0),2),'1. Raw Data'!G243)</f>
        <v>3722.79</v>
      </c>
      <c r="H244" s="3" t="str">
        <f aca="false">PROPER('1. Raw Data'!H243)</f>
        <v>Yes</v>
      </c>
      <c r="I244" s="3" t="n">
        <f aca="false">'1. Raw Data'!I243</f>
        <v>3</v>
      </c>
      <c r="J244" s="3" t="n">
        <f aca="false">'1. Raw Data'!J243</f>
        <v>3</v>
      </c>
      <c r="K244" s="3" t="n">
        <f aca="false">'1. Raw Data'!K243</f>
        <v>40</v>
      </c>
      <c r="L244" s="3" t="n">
        <f aca="false">'1. Raw Data'!L243</f>
        <v>0</v>
      </c>
      <c r="M244" s="3" t="n">
        <f aca="false">'1. Raw Data'!M243</f>
        <v>2</v>
      </c>
      <c r="N244" s="3" t="str">
        <f aca="false">'1. Raw Data'!N243</f>
        <v>No</v>
      </c>
    </row>
    <row r="245" customFormat="false" ht="15" hidden="false" customHeight="false" outlineLevel="0" collapsed="false">
      <c r="A245" s="3" t="str">
        <f aca="false">'1. Raw Data'!A244</f>
        <v>EMP-0243</v>
      </c>
      <c r="B245" s="3" t="n">
        <f aca="false">'1. Raw Data'!B244</f>
        <v>37</v>
      </c>
      <c r="C245" s="3" t="str">
        <f aca="false">'1. Raw Data'!C244</f>
        <v>Sales</v>
      </c>
      <c r="D245" s="3" t="str">
        <f aca="false">'1. Raw Data'!D244</f>
        <v>Junior</v>
      </c>
      <c r="E245" s="3" t="str">
        <f aca="false">'1. Raw Data'!E244</f>
        <v>Marketing</v>
      </c>
      <c r="F245" s="3" t="n">
        <f aca="false">'1. Raw Data'!F244</f>
        <v>1.1</v>
      </c>
      <c r="G245" s="3" t="n">
        <f aca="false">IF('1. Raw Data'!G244="",ROUND(IFERROR(AVERAGEIFS('1. Raw Data'!G2:G1201,'1. Raw Data'!C2:C1201,'1. Raw Data'!C244,'1. Raw Data'!D2:D1201,'1. Raw Data'!D244),0),2),'1. Raw Data'!G244)</f>
        <v>3678.34</v>
      </c>
      <c r="H245" s="3" t="str">
        <f aca="false">PROPER('1. Raw Data'!H244)</f>
        <v>Yes</v>
      </c>
      <c r="I245" s="3" t="n">
        <f aca="false">'1. Raw Data'!I244</f>
        <v>4</v>
      </c>
      <c r="J245" s="3" t="n">
        <f aca="false">'1. Raw Data'!J244</f>
        <v>2</v>
      </c>
      <c r="K245" s="3" t="n">
        <f aca="false">'1. Raw Data'!K244</f>
        <v>4</v>
      </c>
      <c r="L245" s="3" t="n">
        <f aca="false">'1. Raw Data'!L244</f>
        <v>1</v>
      </c>
      <c r="M245" s="3" t="n">
        <f aca="false">'1. Raw Data'!M244</f>
        <v>2</v>
      </c>
      <c r="N245" s="3" t="str">
        <f aca="false">'1. Raw Data'!N244</f>
        <v>No</v>
      </c>
    </row>
    <row r="246" customFormat="false" ht="15" hidden="false" customHeight="false" outlineLevel="0" collapsed="false">
      <c r="A246" s="3" t="str">
        <f aca="false">'1. Raw Data'!A245</f>
        <v>EMP-0244</v>
      </c>
      <c r="B246" s="3" t="n">
        <f aca="false">'1. Raw Data'!B245</f>
        <v>34</v>
      </c>
      <c r="C246" s="3" t="str">
        <f aca="false">'1. Raw Data'!C245</f>
        <v>Sales</v>
      </c>
      <c r="D246" s="3" t="str">
        <f aca="false">'1. Raw Data'!D245</f>
        <v>Mid</v>
      </c>
      <c r="E246" s="3" t="str">
        <f aca="false">'1. Raw Data'!E245</f>
        <v>Technical</v>
      </c>
      <c r="F246" s="3" t="n">
        <f aca="false">'1. Raw Data'!F245</f>
        <v>1.9</v>
      </c>
      <c r="G246" s="3" t="n">
        <f aca="false">IF('1. Raw Data'!G245="",ROUND(IFERROR(AVERAGEIFS('1. Raw Data'!G2:G1201,'1. Raw Data'!C2:C1201,'1. Raw Data'!C245,'1. Raw Data'!D2:D1201,'1. Raw Data'!D245),0),2),'1. Raw Data'!G245)</f>
        <v>4491.01</v>
      </c>
      <c r="H246" s="3" t="str">
        <f aca="false">PROPER('1. Raw Data'!H245)</f>
        <v>Yes</v>
      </c>
      <c r="I246" s="3" t="n">
        <f aca="false">'1. Raw Data'!I245</f>
        <v>4</v>
      </c>
      <c r="J246" s="3" t="n">
        <f aca="false">'1. Raw Data'!J245</f>
        <v>1</v>
      </c>
      <c r="K246" s="3" t="n">
        <f aca="false">'1. Raw Data'!K245</f>
        <v>3</v>
      </c>
      <c r="L246" s="3" t="n">
        <f aca="false">'1. Raw Data'!L245</f>
        <v>1</v>
      </c>
      <c r="M246" s="3" t="n">
        <f aca="false">'1. Raw Data'!M245</f>
        <v>2</v>
      </c>
      <c r="N246" s="3" t="str">
        <f aca="false">'1. Raw Data'!N245</f>
        <v>Yes</v>
      </c>
    </row>
    <row r="247" customFormat="false" ht="15" hidden="false" customHeight="false" outlineLevel="0" collapsed="false">
      <c r="A247" s="3" t="str">
        <f aca="false">'1. Raw Data'!A246</f>
        <v>EMP-0245</v>
      </c>
      <c r="B247" s="3" t="n">
        <f aca="false">'1. Raw Data'!B246</f>
        <v>47</v>
      </c>
      <c r="C247" s="3" t="str">
        <f aca="false">'1. Raw Data'!C246</f>
        <v>Marketing</v>
      </c>
      <c r="D247" s="3" t="str">
        <f aca="false">'1. Raw Data'!D246</f>
        <v>Mid</v>
      </c>
      <c r="E247" s="3" t="str">
        <f aca="false">'1. Raw Data'!E246</f>
        <v>Business</v>
      </c>
      <c r="F247" s="3" t="n">
        <f aca="false">'1. Raw Data'!F246</f>
        <v>0.9</v>
      </c>
      <c r="G247" s="3" t="n">
        <f aca="false">IF('1. Raw Data'!G246="",ROUND(IFERROR(AVERAGEIFS('1. Raw Data'!G2:G1201,'1. Raw Data'!C2:C1201,'1. Raw Data'!C246,'1. Raw Data'!D2:D1201,'1. Raw Data'!D246),0),2),'1. Raw Data'!G246)</f>
        <v>5595.46</v>
      </c>
      <c r="H247" s="3" t="str">
        <f aca="false">PROPER('1. Raw Data'!H246)</f>
        <v>No</v>
      </c>
      <c r="I247" s="3" t="n">
        <f aca="false">'1. Raw Data'!I246</f>
        <v>3</v>
      </c>
      <c r="J247" s="3" t="n">
        <f aca="false">'1. Raw Data'!J246</f>
        <v>4</v>
      </c>
      <c r="K247" s="3" t="n">
        <f aca="false">'1. Raw Data'!K246</f>
        <v>2</v>
      </c>
      <c r="L247" s="3" t="n">
        <f aca="false">'1. Raw Data'!L246</f>
        <v>0</v>
      </c>
      <c r="M247" s="3" t="n">
        <f aca="false">'1. Raw Data'!M246</f>
        <v>1</v>
      </c>
      <c r="N247" s="3" t="str">
        <f aca="false">'1. Raw Data'!N246</f>
        <v>No</v>
      </c>
    </row>
    <row r="248" customFormat="false" ht="15" hidden="false" customHeight="false" outlineLevel="0" collapsed="false">
      <c r="A248" s="3" t="str">
        <f aca="false">'1. Raw Data'!A247</f>
        <v>EMP-0246</v>
      </c>
      <c r="B248" s="3" t="n">
        <f aca="false">'1. Raw Data'!B247</f>
        <v>27</v>
      </c>
      <c r="C248" s="3" t="str">
        <f aca="false">'1. Raw Data'!C247</f>
        <v>Marketing</v>
      </c>
      <c r="D248" s="3" t="str">
        <f aca="false">'1. Raw Data'!D247</f>
        <v>Junior</v>
      </c>
      <c r="E248" s="3" t="str">
        <f aca="false">'1. Raw Data'!E247</f>
        <v>Other</v>
      </c>
      <c r="F248" s="3" t="n">
        <f aca="false">'1. Raw Data'!F247</f>
        <v>2.1</v>
      </c>
      <c r="G248" s="3" t="n">
        <f aca="false">IF('1. Raw Data'!G247="",ROUND(IFERROR(AVERAGEIFS('1. Raw Data'!G2:G1201,'1. Raw Data'!C2:C1201,'1. Raw Data'!C247,'1. Raw Data'!D2:D1201,'1. Raw Data'!D247),0),2),'1. Raw Data'!G247)</f>
        <v>3732.02</v>
      </c>
      <c r="H248" s="3" t="str">
        <f aca="false">PROPER('1. Raw Data'!H247)</f>
        <v>Yes</v>
      </c>
      <c r="I248" s="3" t="n">
        <f aca="false">'1. Raw Data'!I247</f>
        <v>2</v>
      </c>
      <c r="J248" s="3" t="n">
        <f aca="false">'1. Raw Data'!J247</f>
        <v>3</v>
      </c>
      <c r="K248" s="3" t="n">
        <f aca="false">'1. Raw Data'!K247</f>
        <v>18</v>
      </c>
      <c r="L248" s="3" t="n">
        <f aca="false">'1. Raw Data'!L247</f>
        <v>0</v>
      </c>
      <c r="M248" s="3" t="n">
        <f aca="false">'1. Raw Data'!M247</f>
        <v>3</v>
      </c>
      <c r="N248" s="3" t="str">
        <f aca="false">'1. Raw Data'!N247</f>
        <v>No</v>
      </c>
    </row>
    <row r="249" customFormat="false" ht="15" hidden="false" customHeight="false" outlineLevel="0" collapsed="false">
      <c r="A249" s="3" t="str">
        <f aca="false">'1. Raw Data'!A248</f>
        <v>EMP-0247</v>
      </c>
      <c r="B249" s="3" t="n">
        <f aca="false">'1. Raw Data'!B248</f>
        <v>49</v>
      </c>
      <c r="C249" s="3" t="str">
        <f aca="false">'1. Raw Data'!C248</f>
        <v>Sales</v>
      </c>
      <c r="D249" s="3" t="str">
        <f aca="false">'1. Raw Data'!D248</f>
        <v>Junior</v>
      </c>
      <c r="E249" s="3" t="str">
        <f aca="false">'1. Raw Data'!E248</f>
        <v>Technical</v>
      </c>
      <c r="F249" s="3" t="n">
        <f aca="false">'1. Raw Data'!F248</f>
        <v>3.4</v>
      </c>
      <c r="G249" s="3" t="n">
        <f aca="false">IF('1. Raw Data'!G248="",ROUND(IFERROR(AVERAGEIFS('1. Raw Data'!G2:G1201,'1. Raw Data'!C2:C1201,'1. Raw Data'!C248,'1. Raw Data'!D2:D1201,'1. Raw Data'!D248),0),2),'1. Raw Data'!G248)</f>
        <v>3724.92</v>
      </c>
      <c r="H249" s="3" t="str">
        <f aca="false">PROPER('1. Raw Data'!H248)</f>
        <v>Yes</v>
      </c>
      <c r="I249" s="3" t="n">
        <f aca="false">'1. Raw Data'!I248</f>
        <v>3</v>
      </c>
      <c r="J249" s="3" t="n">
        <f aca="false">'1. Raw Data'!J248</f>
        <v>2</v>
      </c>
      <c r="K249" s="3" t="n">
        <f aca="false">'1. Raw Data'!K248</f>
        <v>3</v>
      </c>
      <c r="L249" s="3" t="n">
        <f aca="false">'1. Raw Data'!L248</f>
        <v>3</v>
      </c>
      <c r="M249" s="3" t="n">
        <f aca="false">'1. Raw Data'!M248</f>
        <v>3</v>
      </c>
      <c r="N249" s="3" t="str">
        <f aca="false">'1. Raw Data'!N248</f>
        <v>No</v>
      </c>
    </row>
    <row r="250" customFormat="false" ht="15" hidden="false" customHeight="false" outlineLevel="0" collapsed="false">
      <c r="A250" s="3" t="str">
        <f aca="false">'1. Raw Data'!A249</f>
        <v>EMP-0248</v>
      </c>
      <c r="B250" s="3" t="n">
        <f aca="false">'1. Raw Data'!B249</f>
        <v>36</v>
      </c>
      <c r="C250" s="3" t="str">
        <f aca="false">'1. Raw Data'!C249</f>
        <v>Engineering</v>
      </c>
      <c r="D250" s="3" t="str">
        <f aca="false">'1. Raw Data'!D249</f>
        <v>Senior</v>
      </c>
      <c r="E250" s="3" t="str">
        <f aca="false">'1. Raw Data'!E249</f>
        <v>Technical</v>
      </c>
      <c r="F250" s="3" t="n">
        <f aca="false">'1. Raw Data'!F249</f>
        <v>1.4</v>
      </c>
      <c r="G250" s="3" t="n">
        <f aca="false">IF('1. Raw Data'!G249="",ROUND(IFERROR(AVERAGEIFS('1. Raw Data'!G2:G1201,'1. Raw Data'!C2:C1201,'1. Raw Data'!C249,'1. Raw Data'!D2:D1201,'1. Raw Data'!D249),0),2),'1. Raw Data'!G249)</f>
        <v>7010.54</v>
      </c>
      <c r="H250" s="3" t="str">
        <f aca="false">PROPER('1. Raw Data'!H249)</f>
        <v>No</v>
      </c>
      <c r="I250" s="3" t="n">
        <f aca="false">'1. Raw Data'!I249</f>
        <v>3</v>
      </c>
      <c r="J250" s="3" t="n">
        <f aca="false">'1. Raw Data'!J249</f>
        <v>1</v>
      </c>
      <c r="K250" s="3" t="n">
        <f aca="false">'1. Raw Data'!K249</f>
        <v>15</v>
      </c>
      <c r="L250" s="3" t="n">
        <f aca="false">'1. Raw Data'!L249</f>
        <v>0</v>
      </c>
      <c r="M250" s="3" t="n">
        <f aca="false">'1. Raw Data'!M249</f>
        <v>2</v>
      </c>
      <c r="N250" s="3" t="str">
        <f aca="false">'1. Raw Data'!N249</f>
        <v>No</v>
      </c>
    </row>
    <row r="251" customFormat="false" ht="15" hidden="false" customHeight="false" outlineLevel="0" collapsed="false">
      <c r="A251" s="3" t="str">
        <f aca="false">'1. Raw Data'!A250</f>
        <v>EMP-0249</v>
      </c>
      <c r="B251" s="3" t="n">
        <f aca="false">'1. Raw Data'!B250</f>
        <v>37</v>
      </c>
      <c r="C251" s="3" t="str">
        <f aca="false">'1. Raw Data'!C250</f>
        <v>Engineering</v>
      </c>
      <c r="D251" s="3" t="str">
        <f aca="false">'1. Raw Data'!D250</f>
        <v>Senior</v>
      </c>
      <c r="E251" s="3" t="str">
        <f aca="false">'1. Raw Data'!E250</f>
        <v>Marketing</v>
      </c>
      <c r="F251" s="3" t="n">
        <f aca="false">'1. Raw Data'!F250</f>
        <v>0.4</v>
      </c>
      <c r="G251" s="3" t="n">
        <f aca="false">IF('1. Raw Data'!G250="",ROUND(IFERROR(AVERAGEIFS('1. Raw Data'!G2:G1201,'1. Raw Data'!C2:C1201,'1. Raw Data'!C250,'1. Raw Data'!D2:D1201,'1. Raw Data'!D250),0),2),'1. Raw Data'!G250)</f>
        <v>7285.14</v>
      </c>
      <c r="H251" s="3" t="str">
        <f aca="false">PROPER('1. Raw Data'!H250)</f>
        <v>No</v>
      </c>
      <c r="I251" s="3" t="n">
        <f aca="false">'1. Raw Data'!I250</f>
        <v>1</v>
      </c>
      <c r="J251" s="3" t="n">
        <f aca="false">'1. Raw Data'!J250</f>
        <v>3</v>
      </c>
      <c r="K251" s="3" t="n">
        <f aca="false">'1. Raw Data'!K250</f>
        <v>13</v>
      </c>
      <c r="L251" s="3" t="n">
        <f aca="false">'1. Raw Data'!L250</f>
        <v>0</v>
      </c>
      <c r="M251" s="3" t="n">
        <f aca="false">'1. Raw Data'!M250</f>
        <v>1</v>
      </c>
      <c r="N251" s="3" t="str">
        <f aca="false">'1. Raw Data'!N250</f>
        <v>Yes</v>
      </c>
    </row>
    <row r="252" customFormat="false" ht="15" hidden="false" customHeight="false" outlineLevel="0" collapsed="false">
      <c r="A252" s="3" t="str">
        <f aca="false">'1. Raw Data'!A251</f>
        <v>EMP-0250</v>
      </c>
      <c r="B252" s="3" t="n">
        <f aca="false">'1. Raw Data'!B251</f>
        <v>39</v>
      </c>
      <c r="C252" s="3" t="str">
        <f aca="false">'1. Raw Data'!C251</f>
        <v>HR</v>
      </c>
      <c r="D252" s="3" t="str">
        <f aca="false">'1. Raw Data'!D251</f>
        <v>Lead</v>
      </c>
      <c r="E252" s="3" t="str">
        <f aca="false">'1. Raw Data'!E251</f>
        <v>Technical</v>
      </c>
      <c r="F252" s="3" t="n">
        <f aca="false">'1. Raw Data'!F251</f>
        <v>4.9</v>
      </c>
      <c r="G252" s="3" t="n">
        <f aca="false">IF('1. Raw Data'!G251="",ROUND(IFERROR(AVERAGEIFS('1. Raw Data'!G2:G1201,'1. Raw Data'!C2:C1201,'1. Raw Data'!C251,'1. Raw Data'!D2:D1201,'1. Raw Data'!D251),0),2),'1. Raw Data'!G251)</f>
        <v>8568.35</v>
      </c>
      <c r="H252" s="3" t="str">
        <f aca="false">PROPER('1. Raw Data'!H251)</f>
        <v>No</v>
      </c>
      <c r="I252" s="3" t="n">
        <f aca="false">'1. Raw Data'!I251</f>
        <v>3</v>
      </c>
      <c r="J252" s="3" t="n">
        <f aca="false">'1. Raw Data'!J251</f>
        <v>3</v>
      </c>
      <c r="K252" s="3" t="n">
        <f aca="false">'1. Raw Data'!K251</f>
        <v>12</v>
      </c>
      <c r="L252" s="3" t="n">
        <f aca="false">'1. Raw Data'!L251</f>
        <v>0</v>
      </c>
      <c r="M252" s="3" t="n">
        <f aca="false">'1. Raw Data'!M251</f>
        <v>3</v>
      </c>
      <c r="N252" s="3" t="str">
        <f aca="false">'1. Raw Data'!N251</f>
        <v>No</v>
      </c>
    </row>
    <row r="253" customFormat="false" ht="15" hidden="false" customHeight="false" outlineLevel="0" collapsed="false">
      <c r="A253" s="3" t="str">
        <f aca="false">'1. Raw Data'!A252</f>
        <v>EMP-0251</v>
      </c>
      <c r="B253" s="3" t="n">
        <f aca="false">'1. Raw Data'!B252</f>
        <v>36</v>
      </c>
      <c r="C253" s="3" t="str">
        <f aca="false">'1. Raw Data'!C252</f>
        <v>Engineering</v>
      </c>
      <c r="D253" s="3" t="str">
        <f aca="false">'1. Raw Data'!D252</f>
        <v>Junior</v>
      </c>
      <c r="E253" s="3" t="str">
        <f aca="false">'1. Raw Data'!E252</f>
        <v>Other</v>
      </c>
      <c r="F253" s="3" t="n">
        <f aca="false">'1. Raw Data'!F252</f>
        <v>0.3</v>
      </c>
      <c r="G253" s="3" t="n">
        <f aca="false">IF('1. Raw Data'!G252="",ROUND(IFERROR(AVERAGEIFS('1. Raw Data'!G2:G1201,'1. Raw Data'!C2:C1201,'1. Raw Data'!C252,'1. Raw Data'!D2:D1201,'1. Raw Data'!D252),0),2),'1. Raw Data'!G252)</f>
        <v>3687.41</v>
      </c>
      <c r="H253" s="3" t="str">
        <f aca="false">PROPER('1. Raw Data'!H252)</f>
        <v>No</v>
      </c>
      <c r="I253" s="3" t="n">
        <f aca="false">'1. Raw Data'!I252</f>
        <v>2</v>
      </c>
      <c r="J253" s="3" t="n">
        <f aca="false">'1. Raw Data'!J252</f>
        <v>3</v>
      </c>
      <c r="K253" s="3" t="n">
        <f aca="false">'1. Raw Data'!K252</f>
        <v>32</v>
      </c>
      <c r="L253" s="3" t="n">
        <f aca="false">'1. Raw Data'!L252</f>
        <v>0</v>
      </c>
      <c r="M253" s="3" t="n">
        <f aca="false">'1. Raw Data'!M252</f>
        <v>4</v>
      </c>
      <c r="N253" s="3" t="str">
        <f aca="false">'1. Raw Data'!N252</f>
        <v>Yes</v>
      </c>
    </row>
    <row r="254" customFormat="false" ht="15" hidden="false" customHeight="false" outlineLevel="0" collapsed="false">
      <c r="A254" s="3" t="str">
        <f aca="false">'1. Raw Data'!A253</f>
        <v>EMP-0252</v>
      </c>
      <c r="B254" s="3" t="n">
        <f aca="false">'1. Raw Data'!B253</f>
        <v>21</v>
      </c>
      <c r="C254" s="3" t="str">
        <f aca="false">'1. Raw Data'!C253</f>
        <v>Sales</v>
      </c>
      <c r="D254" s="3" t="str">
        <f aca="false">'1. Raw Data'!D253</f>
        <v>Mid</v>
      </c>
      <c r="E254" s="3" t="str">
        <f aca="false">'1. Raw Data'!E253</f>
        <v>Other</v>
      </c>
      <c r="F254" s="3" t="n">
        <f aca="false">'1. Raw Data'!F253</f>
        <v>0</v>
      </c>
      <c r="G254" s="3" t="n">
        <f aca="false">IF('1. Raw Data'!G253="",ROUND(IFERROR(AVERAGEIFS('1. Raw Data'!G2:G1201,'1. Raw Data'!C2:C1201,'1. Raw Data'!C253,'1. Raw Data'!D2:D1201,'1. Raw Data'!D253),0),2),'1. Raw Data'!G253)</f>
        <v>4810.31</v>
      </c>
      <c r="H254" s="3" t="str">
        <f aca="false">PROPER('1. Raw Data'!H253)</f>
        <v>No</v>
      </c>
      <c r="I254" s="3" t="n">
        <f aca="false">'1. Raw Data'!I253</f>
        <v>1</v>
      </c>
      <c r="J254" s="3" t="n">
        <f aca="false">'1. Raw Data'!J253</f>
        <v>4</v>
      </c>
      <c r="K254" s="3" t="n">
        <f aca="false">'1. Raw Data'!K253</f>
        <v>1</v>
      </c>
      <c r="L254" s="3" t="n">
        <f aca="false">'1. Raw Data'!L253</f>
        <v>0</v>
      </c>
      <c r="M254" s="3" t="n">
        <f aca="false">'1. Raw Data'!M253</f>
        <v>3</v>
      </c>
      <c r="N254" s="3" t="str">
        <f aca="false">'1. Raw Data'!N253</f>
        <v>Yes</v>
      </c>
    </row>
    <row r="255" customFormat="false" ht="15" hidden="false" customHeight="false" outlineLevel="0" collapsed="false">
      <c r="A255" s="3" t="str">
        <f aca="false">'1. Raw Data'!A254</f>
        <v>EMP-0253</v>
      </c>
      <c r="B255" s="3" t="n">
        <f aca="false">'1. Raw Data'!B254</f>
        <v>21</v>
      </c>
      <c r="C255" s="3" t="str">
        <f aca="false">'1. Raw Data'!C254</f>
        <v>Finance</v>
      </c>
      <c r="D255" s="3" t="str">
        <f aca="false">'1. Raw Data'!D254</f>
        <v>Lead</v>
      </c>
      <c r="E255" s="3" t="str">
        <f aca="false">'1. Raw Data'!E254</f>
        <v>Other</v>
      </c>
      <c r="F255" s="3" t="n">
        <f aca="false">'1. Raw Data'!F254</f>
        <v>0</v>
      </c>
      <c r="G255" s="3" t="n">
        <f aca="false">IF('1. Raw Data'!G254="",ROUND(IFERROR(AVERAGEIFS('1. Raw Data'!G2:G1201,'1. Raw Data'!C2:C1201,'1. Raw Data'!C254,'1. Raw Data'!D2:D1201,'1. Raw Data'!D254),0),2),'1. Raw Data'!G254)</f>
        <v>10110.47</v>
      </c>
      <c r="H255" s="3" t="str">
        <f aca="false">PROPER('1. Raw Data'!H254)</f>
        <v>No</v>
      </c>
      <c r="I255" s="3" t="n">
        <f aca="false">'1. Raw Data'!I254</f>
        <v>3</v>
      </c>
      <c r="J255" s="3" t="n">
        <f aca="false">'1. Raw Data'!J254</f>
        <v>3</v>
      </c>
      <c r="K255" s="3" t="n">
        <f aca="false">'1. Raw Data'!K254</f>
        <v>15</v>
      </c>
      <c r="L255" s="3" t="n">
        <f aca="false">'1. Raw Data'!L254</f>
        <v>0</v>
      </c>
      <c r="M255" s="3" t="n">
        <f aca="false">'1. Raw Data'!M254</f>
        <v>4</v>
      </c>
      <c r="N255" s="3" t="str">
        <f aca="false">'1. Raw Data'!N254</f>
        <v>No</v>
      </c>
    </row>
    <row r="256" customFormat="false" ht="15" hidden="false" customHeight="false" outlineLevel="0" collapsed="false">
      <c r="A256" s="3" t="str">
        <f aca="false">'1. Raw Data'!A255</f>
        <v>EMP-0254</v>
      </c>
      <c r="B256" s="3" t="n">
        <f aca="false">'1. Raw Data'!B255</f>
        <v>30</v>
      </c>
      <c r="C256" s="3" t="str">
        <f aca="false">'1. Raw Data'!C255</f>
        <v>Sales</v>
      </c>
      <c r="D256" s="3" t="str">
        <f aca="false">'1. Raw Data'!D255</f>
        <v>Junior</v>
      </c>
      <c r="E256" s="3" t="str">
        <f aca="false">'1. Raw Data'!E255</f>
        <v>Marketing</v>
      </c>
      <c r="F256" s="3" t="n">
        <f aca="false">'1. Raw Data'!F255</f>
        <v>1.4</v>
      </c>
      <c r="G256" s="3" t="n">
        <f aca="false">IF('1. Raw Data'!G255="",ROUND(IFERROR(AVERAGEIFS('1. Raw Data'!G2:G1201,'1. Raw Data'!C2:C1201,'1. Raw Data'!C255,'1. Raw Data'!D2:D1201,'1. Raw Data'!D255),0),2),'1. Raw Data'!G255)</f>
        <v>2947.79</v>
      </c>
      <c r="H256" s="3" t="str">
        <f aca="false">PROPER('1. Raw Data'!H255)</f>
        <v>Yes</v>
      </c>
      <c r="I256" s="3" t="n">
        <f aca="false">'1. Raw Data'!I255</f>
        <v>3</v>
      </c>
      <c r="J256" s="3" t="n">
        <f aca="false">'1. Raw Data'!J255</f>
        <v>3</v>
      </c>
      <c r="K256" s="3" t="n">
        <f aca="false">'1. Raw Data'!K255</f>
        <v>6</v>
      </c>
      <c r="L256" s="3" t="n">
        <f aca="false">'1. Raw Data'!L255</f>
        <v>1</v>
      </c>
      <c r="M256" s="3" t="n">
        <f aca="false">'1. Raw Data'!M255</f>
        <v>4</v>
      </c>
      <c r="N256" s="3" t="str">
        <f aca="false">'1. Raw Data'!N255</f>
        <v>No</v>
      </c>
    </row>
    <row r="257" customFormat="false" ht="15" hidden="false" customHeight="false" outlineLevel="0" collapsed="false">
      <c r="A257" s="3" t="str">
        <f aca="false">'1. Raw Data'!A256</f>
        <v>EMP-0255</v>
      </c>
      <c r="B257" s="3" t="n">
        <f aca="false">'1. Raw Data'!B256</f>
        <v>30</v>
      </c>
      <c r="C257" s="3" t="str">
        <f aca="false">'1. Raw Data'!C256</f>
        <v>Sales</v>
      </c>
      <c r="D257" s="3" t="str">
        <f aca="false">'1. Raw Data'!D256</f>
        <v>Mid</v>
      </c>
      <c r="E257" s="3" t="str">
        <f aca="false">'1. Raw Data'!E256</f>
        <v>Business</v>
      </c>
      <c r="F257" s="3" t="n">
        <f aca="false">'1. Raw Data'!F256</f>
        <v>5.9</v>
      </c>
      <c r="G257" s="3" t="n">
        <f aca="false">IF('1. Raw Data'!G256="",ROUND(IFERROR(AVERAGEIFS('1. Raw Data'!G2:G1201,'1. Raw Data'!C2:C1201,'1. Raw Data'!C256,'1. Raw Data'!D2:D1201,'1. Raw Data'!D256),0),2),'1. Raw Data'!G256)</f>
        <v>4412.59</v>
      </c>
      <c r="H257" s="3" t="str">
        <f aca="false">PROPER('1. Raw Data'!H256)</f>
        <v>Yes</v>
      </c>
      <c r="I257" s="3" t="n">
        <f aca="false">'1. Raw Data'!I256</f>
        <v>4</v>
      </c>
      <c r="J257" s="3" t="n">
        <f aca="false">'1. Raw Data'!J256</f>
        <v>2</v>
      </c>
      <c r="K257" s="3" t="n">
        <f aca="false">'1. Raw Data'!K256</f>
        <v>14</v>
      </c>
      <c r="L257" s="3" t="n">
        <f aca="false">'1. Raw Data'!L256</f>
        <v>0</v>
      </c>
      <c r="M257" s="3" t="n">
        <f aca="false">'1. Raw Data'!M256</f>
        <v>3</v>
      </c>
      <c r="N257" s="3" t="str">
        <f aca="false">'1. Raw Data'!N256</f>
        <v>No</v>
      </c>
    </row>
    <row r="258" customFormat="false" ht="15" hidden="false" customHeight="false" outlineLevel="0" collapsed="false">
      <c r="A258" s="3" t="str">
        <f aca="false">'1. Raw Data'!A257</f>
        <v>EMP-0256</v>
      </c>
      <c r="B258" s="3" t="n">
        <f aca="false">'1. Raw Data'!B257</f>
        <v>39</v>
      </c>
      <c r="C258" s="3" t="str">
        <f aca="false">'1. Raw Data'!C257</f>
        <v>Customer Support</v>
      </c>
      <c r="D258" s="3" t="str">
        <f aca="false">'1. Raw Data'!D257</f>
        <v>Senior</v>
      </c>
      <c r="E258" s="3" t="str">
        <f aca="false">'1. Raw Data'!E257</f>
        <v>Other</v>
      </c>
      <c r="F258" s="3" t="n">
        <f aca="false">'1. Raw Data'!F257</f>
        <v>0.7</v>
      </c>
      <c r="G258" s="3" t="n">
        <f aca="false">IF('1. Raw Data'!G257="",ROUND(IFERROR(AVERAGEIFS('1. Raw Data'!G2:G1201,'1. Raw Data'!C2:C1201,'1. Raw Data'!C257,'1. Raw Data'!D2:D1201,'1. Raw Data'!D257),0),2),'1. Raw Data'!G257)</f>
        <v>7799.79</v>
      </c>
      <c r="H258" s="3" t="str">
        <f aca="false">PROPER('1. Raw Data'!H257)</f>
        <v>No</v>
      </c>
      <c r="I258" s="3" t="n">
        <f aca="false">'1. Raw Data'!I257</f>
        <v>4</v>
      </c>
      <c r="J258" s="3" t="n">
        <f aca="false">'1. Raw Data'!J257</f>
        <v>3</v>
      </c>
      <c r="K258" s="3" t="n">
        <f aca="false">'1. Raw Data'!K257</f>
        <v>23</v>
      </c>
      <c r="L258" s="3" t="n">
        <f aca="false">'1. Raw Data'!L257</f>
        <v>0</v>
      </c>
      <c r="M258" s="3" t="n">
        <f aca="false">'1. Raw Data'!M257</f>
        <v>3</v>
      </c>
      <c r="N258" s="3" t="str">
        <f aca="false">'1. Raw Data'!N257</f>
        <v>No</v>
      </c>
    </row>
    <row r="259" customFormat="false" ht="15" hidden="false" customHeight="false" outlineLevel="0" collapsed="false">
      <c r="A259" s="3" t="str">
        <f aca="false">'1. Raw Data'!A258</f>
        <v>EMP-0257</v>
      </c>
      <c r="B259" s="3" t="n">
        <f aca="false">'1. Raw Data'!B258</f>
        <v>36</v>
      </c>
      <c r="C259" s="3" t="str">
        <f aca="false">'1. Raw Data'!C258</f>
        <v>Engineering</v>
      </c>
      <c r="D259" s="3" t="str">
        <f aca="false">'1. Raw Data'!D258</f>
        <v>Senior</v>
      </c>
      <c r="E259" s="3" t="str">
        <f aca="false">'1. Raw Data'!E258</f>
        <v>Other</v>
      </c>
      <c r="F259" s="3" t="n">
        <f aca="false">'1. Raw Data'!F258</f>
        <v>2.5</v>
      </c>
      <c r="G259" s="3" t="n">
        <f aca="false">IF('1. Raw Data'!G258="",ROUND(IFERROR(AVERAGEIFS('1. Raw Data'!G2:G1201,'1. Raw Data'!C2:C1201,'1. Raw Data'!C258,'1. Raw Data'!D2:D1201,'1. Raw Data'!D258),0),2),'1. Raw Data'!G258)</f>
        <v>6522.27</v>
      </c>
      <c r="H259" s="3" t="str">
        <f aca="false">PROPER('1. Raw Data'!H258)</f>
        <v>No</v>
      </c>
      <c r="I259" s="3" t="n">
        <f aca="false">'1. Raw Data'!I258</f>
        <v>2</v>
      </c>
      <c r="J259" s="3" t="n">
        <f aca="false">'1. Raw Data'!J258</f>
        <v>4</v>
      </c>
      <c r="K259" s="3" t="n">
        <f aca="false">'1. Raw Data'!K258</f>
        <v>1</v>
      </c>
      <c r="L259" s="3" t="n">
        <f aca="false">'1. Raw Data'!L258</f>
        <v>1</v>
      </c>
      <c r="M259" s="3" t="n">
        <f aca="false">'1. Raw Data'!M258</f>
        <v>3</v>
      </c>
      <c r="N259" s="3" t="str">
        <f aca="false">'1. Raw Data'!N258</f>
        <v>Yes</v>
      </c>
    </row>
    <row r="260" customFormat="false" ht="15" hidden="false" customHeight="false" outlineLevel="0" collapsed="false">
      <c r="A260" s="3" t="str">
        <f aca="false">'1. Raw Data'!A259</f>
        <v>EMP-0258</v>
      </c>
      <c r="B260" s="3" t="n">
        <f aca="false">'1. Raw Data'!B259</f>
        <v>23</v>
      </c>
      <c r="C260" s="3" t="str">
        <f aca="false">'1. Raw Data'!C259</f>
        <v>Sales</v>
      </c>
      <c r="D260" s="3" t="str">
        <f aca="false">'1. Raw Data'!D259</f>
        <v>Senior</v>
      </c>
      <c r="E260" s="3" t="str">
        <f aca="false">'1. Raw Data'!E259</f>
        <v>Technical</v>
      </c>
      <c r="F260" s="3" t="n">
        <f aca="false">'1. Raw Data'!F259</f>
        <v>0.7</v>
      </c>
      <c r="G260" s="3" t="n">
        <f aca="false">IF('1. Raw Data'!G259="",ROUND(IFERROR(AVERAGEIFS('1. Raw Data'!G2:G1201,'1. Raw Data'!C2:C1201,'1. Raw Data'!C259,'1. Raw Data'!D2:D1201,'1. Raw Data'!D259),0),2),'1. Raw Data'!G259)</f>
        <v>8171.47</v>
      </c>
      <c r="H260" s="3" t="str">
        <f aca="false">PROPER('1. Raw Data'!H259)</f>
        <v>Yes</v>
      </c>
      <c r="I260" s="3" t="n">
        <f aca="false">'1. Raw Data'!I259</f>
        <v>3</v>
      </c>
      <c r="J260" s="3" t="n">
        <f aca="false">'1. Raw Data'!J259</f>
        <v>2</v>
      </c>
      <c r="K260" s="3" t="n">
        <f aca="false">'1. Raw Data'!K259</f>
        <v>1</v>
      </c>
      <c r="L260" s="3" t="n">
        <f aca="false">'1. Raw Data'!L259</f>
        <v>0</v>
      </c>
      <c r="M260" s="3" t="n">
        <f aca="false">'1. Raw Data'!M259</f>
        <v>2</v>
      </c>
      <c r="N260" s="3" t="str">
        <f aca="false">'1. Raw Data'!N259</f>
        <v>No</v>
      </c>
    </row>
    <row r="261" customFormat="false" ht="15" hidden="false" customHeight="false" outlineLevel="0" collapsed="false">
      <c r="A261" s="3" t="str">
        <f aca="false">'1. Raw Data'!A260</f>
        <v>EMP-0259</v>
      </c>
      <c r="B261" s="3" t="n">
        <f aca="false">'1. Raw Data'!B260</f>
        <v>23</v>
      </c>
      <c r="C261" s="3" t="str">
        <f aca="false">'1. Raw Data'!C260</f>
        <v>Engineering</v>
      </c>
      <c r="D261" s="3" t="str">
        <f aca="false">'1. Raw Data'!D260</f>
        <v>Senior</v>
      </c>
      <c r="E261" s="3" t="str">
        <f aca="false">'1. Raw Data'!E260</f>
        <v>Technical</v>
      </c>
      <c r="F261" s="3" t="n">
        <f aca="false">'1. Raw Data'!F260</f>
        <v>1.4</v>
      </c>
      <c r="G261" s="3" t="n">
        <f aca="false">IF('1. Raw Data'!G260="",ROUND(IFERROR(AVERAGEIFS('1. Raw Data'!G2:G1201,'1. Raw Data'!C2:C1201,'1. Raw Data'!C260,'1. Raw Data'!D2:D1201,'1. Raw Data'!D260),0),2),'1. Raw Data'!G260)</f>
        <v>8388.58</v>
      </c>
      <c r="H261" s="3" t="str">
        <f aca="false">PROPER('1. Raw Data'!H260)</f>
        <v>Yes</v>
      </c>
      <c r="I261" s="3" t="n">
        <f aca="false">'1. Raw Data'!I260</f>
        <v>2</v>
      </c>
      <c r="J261" s="3" t="n">
        <f aca="false">'1. Raw Data'!J260</f>
        <v>4</v>
      </c>
      <c r="K261" s="3" t="n">
        <f aca="false">'1. Raw Data'!K260</f>
        <v>1</v>
      </c>
      <c r="L261" s="3" t="n">
        <f aca="false">'1. Raw Data'!L260</f>
        <v>0</v>
      </c>
      <c r="M261" s="3" t="n">
        <f aca="false">'1. Raw Data'!M260</f>
        <v>4</v>
      </c>
      <c r="N261" s="3" t="str">
        <f aca="false">'1. Raw Data'!N260</f>
        <v>No</v>
      </c>
    </row>
    <row r="262" customFormat="false" ht="15" hidden="false" customHeight="false" outlineLevel="0" collapsed="false">
      <c r="A262" s="3" t="str">
        <f aca="false">'1. Raw Data'!A261</f>
        <v>EMP-0260</v>
      </c>
      <c r="B262" s="3" t="n">
        <f aca="false">'1. Raw Data'!B261</f>
        <v>28</v>
      </c>
      <c r="C262" s="3" t="str">
        <f aca="false">'1. Raw Data'!C261</f>
        <v>Engineering</v>
      </c>
      <c r="D262" s="3" t="str">
        <f aca="false">'1. Raw Data'!D261</f>
        <v>Senior</v>
      </c>
      <c r="E262" s="3" t="str">
        <f aca="false">'1. Raw Data'!E261</f>
        <v>Other</v>
      </c>
      <c r="F262" s="3" t="n">
        <f aca="false">'1. Raw Data'!F261</f>
        <v>0.2</v>
      </c>
      <c r="G262" s="3" t="n">
        <f aca="false">IF('1. Raw Data'!G261="",ROUND(IFERROR(AVERAGEIFS('1. Raw Data'!G2:G1201,'1. Raw Data'!C2:C1201,'1. Raw Data'!C261,'1. Raw Data'!D2:D1201,'1. Raw Data'!D261),0),2),'1. Raw Data'!G261)</f>
        <v>7334.27</v>
      </c>
      <c r="H262" s="3" t="str">
        <f aca="false">PROPER('1. Raw Data'!H261)</f>
        <v>No</v>
      </c>
      <c r="I262" s="3" t="n">
        <f aca="false">'1. Raw Data'!I261</f>
        <v>3</v>
      </c>
      <c r="J262" s="3" t="n">
        <f aca="false">'1. Raw Data'!J261</f>
        <v>4</v>
      </c>
      <c r="K262" s="3" t="n">
        <f aca="false">'1. Raw Data'!K261</f>
        <v>11</v>
      </c>
      <c r="L262" s="3" t="n">
        <f aca="false">'1. Raw Data'!L261</f>
        <v>0</v>
      </c>
      <c r="M262" s="3" t="n">
        <f aca="false">'1. Raw Data'!M261</f>
        <v>2</v>
      </c>
      <c r="N262" s="3" t="str">
        <f aca="false">'1. Raw Data'!N261</f>
        <v>No</v>
      </c>
    </row>
    <row r="263" customFormat="false" ht="15" hidden="false" customHeight="false" outlineLevel="0" collapsed="false">
      <c r="A263" s="3" t="str">
        <f aca="false">'1. Raw Data'!A262</f>
        <v>EMP-0261</v>
      </c>
      <c r="B263" s="3" t="n">
        <f aca="false">'1. Raw Data'!B262</f>
        <v>37</v>
      </c>
      <c r="C263" s="3" t="str">
        <f aca="false">'1. Raw Data'!C262</f>
        <v>Sales</v>
      </c>
      <c r="D263" s="3" t="str">
        <f aca="false">'1. Raw Data'!D262</f>
        <v>Mid</v>
      </c>
      <c r="E263" s="3" t="str">
        <f aca="false">'1. Raw Data'!E262</f>
        <v>Other</v>
      </c>
      <c r="F263" s="3" t="n">
        <f aca="false">'1. Raw Data'!F262</f>
        <v>5.8</v>
      </c>
      <c r="G263" s="3" t="n">
        <f aca="false">IF('1. Raw Data'!G262="",ROUND(IFERROR(AVERAGEIFS('1. Raw Data'!G2:G1201,'1. Raw Data'!C2:C1201,'1. Raw Data'!C262,'1. Raw Data'!D2:D1201,'1. Raw Data'!D262),0),2),'1. Raw Data'!G262)</f>
        <v>4584.96</v>
      </c>
      <c r="H263" s="3" t="str">
        <f aca="false">PROPER('1. Raw Data'!H262)</f>
        <v>No</v>
      </c>
      <c r="I263" s="3" t="n">
        <f aca="false">'1. Raw Data'!I262</f>
        <v>1</v>
      </c>
      <c r="J263" s="3" t="n">
        <f aca="false">'1. Raw Data'!J262</f>
        <v>2</v>
      </c>
      <c r="K263" s="3" t="n">
        <f aca="false">'1. Raw Data'!K262</f>
        <v>1</v>
      </c>
      <c r="L263" s="3" t="n">
        <f aca="false">'1. Raw Data'!L262</f>
        <v>1</v>
      </c>
      <c r="M263" s="3" t="n">
        <f aca="false">'1. Raw Data'!M262</f>
        <v>2</v>
      </c>
      <c r="N263" s="3" t="str">
        <f aca="false">'1. Raw Data'!N262</f>
        <v>Yes</v>
      </c>
    </row>
    <row r="264" customFormat="false" ht="15" hidden="false" customHeight="false" outlineLevel="0" collapsed="false">
      <c r="A264" s="3" t="str">
        <f aca="false">'1. Raw Data'!A263</f>
        <v>EMP-0262</v>
      </c>
      <c r="B264" s="3" t="n">
        <f aca="false">'1. Raw Data'!B263</f>
        <v>32</v>
      </c>
      <c r="C264" s="3" t="str">
        <f aca="false">'1. Raw Data'!C263</f>
        <v>Sales</v>
      </c>
      <c r="D264" s="3" t="str">
        <f aca="false">'1. Raw Data'!D263</f>
        <v>Junior</v>
      </c>
      <c r="E264" s="3" t="str">
        <f aca="false">'1. Raw Data'!E263</f>
        <v>Business</v>
      </c>
      <c r="F264" s="3" t="n">
        <f aca="false">'1. Raw Data'!F263</f>
        <v>4.5</v>
      </c>
      <c r="G264" s="3" t="n">
        <f aca="false">IF('1. Raw Data'!G263="",ROUND(IFERROR(AVERAGEIFS('1. Raw Data'!G2:G1201,'1. Raw Data'!C2:C1201,'1. Raw Data'!C263,'1. Raw Data'!D2:D1201,'1. Raw Data'!D263),0),2),'1. Raw Data'!G263)</f>
        <v>3033.81</v>
      </c>
      <c r="H264" s="3" t="str">
        <f aca="false">PROPER('1. Raw Data'!H263)</f>
        <v>No</v>
      </c>
      <c r="I264" s="3" t="n">
        <f aca="false">'1. Raw Data'!I263</f>
        <v>3</v>
      </c>
      <c r="J264" s="3" t="n">
        <f aca="false">'1. Raw Data'!J263</f>
        <v>3</v>
      </c>
      <c r="K264" s="3" t="n">
        <f aca="false">'1. Raw Data'!K263</f>
        <v>10</v>
      </c>
      <c r="L264" s="3" t="n">
        <f aca="false">'1. Raw Data'!L263</f>
        <v>1</v>
      </c>
      <c r="M264" s="3" t="n">
        <f aca="false">'1. Raw Data'!M263</f>
        <v>2</v>
      </c>
      <c r="N264" s="3" t="str">
        <f aca="false">'1. Raw Data'!N263</f>
        <v>No</v>
      </c>
    </row>
    <row r="265" customFormat="false" ht="15" hidden="false" customHeight="false" outlineLevel="0" collapsed="false">
      <c r="A265" s="3" t="str">
        <f aca="false">'1. Raw Data'!A264</f>
        <v>EMP-0263</v>
      </c>
      <c r="B265" s="3" t="n">
        <f aca="false">'1. Raw Data'!B264</f>
        <v>44</v>
      </c>
      <c r="C265" s="3" t="str">
        <f aca="false">'1. Raw Data'!C264</f>
        <v>Finance</v>
      </c>
      <c r="D265" s="3" t="str">
        <f aca="false">'1. Raw Data'!D264</f>
        <v>Junior</v>
      </c>
      <c r="E265" s="3" t="str">
        <f aca="false">'1. Raw Data'!E264</f>
        <v>Technical</v>
      </c>
      <c r="F265" s="3" t="n">
        <f aca="false">'1. Raw Data'!F264</f>
        <v>1.3</v>
      </c>
      <c r="G265" s="3" t="n">
        <f aca="false">IF('1. Raw Data'!G264="",ROUND(IFERROR(AVERAGEIFS('1. Raw Data'!G2:G1201,'1. Raw Data'!C2:C1201,'1. Raw Data'!C264,'1. Raw Data'!D2:D1201,'1. Raw Data'!D264),0),2),'1. Raw Data'!G264)</f>
        <v>3561.43</v>
      </c>
      <c r="H265" s="3" t="str">
        <f aca="false">PROPER('1. Raw Data'!H264)</f>
        <v>Yes</v>
      </c>
      <c r="I265" s="3" t="n">
        <f aca="false">'1. Raw Data'!I264</f>
        <v>1</v>
      </c>
      <c r="J265" s="3" t="n">
        <f aca="false">'1. Raw Data'!J264</f>
        <v>3</v>
      </c>
      <c r="K265" s="3" t="n">
        <f aca="false">'1. Raw Data'!K264</f>
        <v>34</v>
      </c>
      <c r="L265" s="3" t="n">
        <f aca="false">'1. Raw Data'!L264</f>
        <v>0</v>
      </c>
      <c r="M265" s="3" t="n">
        <f aca="false">'1. Raw Data'!M264</f>
        <v>1</v>
      </c>
      <c r="N265" s="3" t="str">
        <f aca="false">'1. Raw Data'!N264</f>
        <v>No</v>
      </c>
    </row>
    <row r="266" customFormat="false" ht="15" hidden="false" customHeight="false" outlineLevel="0" collapsed="false">
      <c r="A266" s="3" t="str">
        <f aca="false">'1. Raw Data'!A265</f>
        <v>EMP-0264</v>
      </c>
      <c r="B266" s="3" t="n">
        <f aca="false">'1. Raw Data'!B265</f>
        <v>36</v>
      </c>
      <c r="C266" s="3" t="str">
        <f aca="false">'1. Raw Data'!C265</f>
        <v>HR</v>
      </c>
      <c r="D266" s="3" t="str">
        <f aca="false">'1. Raw Data'!D265</f>
        <v>Senior</v>
      </c>
      <c r="E266" s="3" t="str">
        <f aca="false">'1. Raw Data'!E265</f>
        <v>Marketing</v>
      </c>
      <c r="F266" s="3" t="n">
        <f aca="false">'1. Raw Data'!F265</f>
        <v>1.5</v>
      </c>
      <c r="G266" s="3" t="n">
        <f aca="false">IF('1. Raw Data'!G265="",ROUND(IFERROR(AVERAGEIFS('1. Raw Data'!G2:G1201,'1. Raw Data'!C2:C1201,'1. Raw Data'!C265,'1. Raw Data'!D2:D1201,'1. Raw Data'!D265),0),2),'1. Raw Data'!G265)</f>
        <v>7037.65</v>
      </c>
      <c r="H266" s="3" t="str">
        <f aca="false">PROPER('1. Raw Data'!H265)</f>
        <v>No</v>
      </c>
      <c r="I266" s="3" t="n">
        <f aca="false">'1. Raw Data'!I265</f>
        <v>1</v>
      </c>
      <c r="J266" s="3" t="n">
        <f aca="false">'1. Raw Data'!J265</f>
        <v>4</v>
      </c>
      <c r="K266" s="3" t="n">
        <f aca="false">'1. Raw Data'!K265</f>
        <v>10</v>
      </c>
      <c r="L266" s="3" t="n">
        <f aca="false">'1. Raw Data'!L265</f>
        <v>1</v>
      </c>
      <c r="M266" s="3" t="n">
        <f aca="false">'1. Raw Data'!M265</f>
        <v>4</v>
      </c>
      <c r="N266" s="3" t="str">
        <f aca="false">'1. Raw Data'!N265</f>
        <v>No</v>
      </c>
    </row>
    <row r="267" customFormat="false" ht="15" hidden="false" customHeight="false" outlineLevel="0" collapsed="false">
      <c r="A267" s="3" t="str">
        <f aca="false">'1. Raw Data'!A266</f>
        <v>EMP-0265</v>
      </c>
      <c r="B267" s="3" t="n">
        <f aca="false">'1. Raw Data'!B266</f>
        <v>33</v>
      </c>
      <c r="C267" s="3" t="str">
        <f aca="false">'1. Raw Data'!C266</f>
        <v>Engineering</v>
      </c>
      <c r="D267" s="3" t="str">
        <f aca="false">'1. Raw Data'!D266</f>
        <v>Junior</v>
      </c>
      <c r="E267" s="3" t="str">
        <f aca="false">'1. Raw Data'!E266</f>
        <v>Business</v>
      </c>
      <c r="F267" s="3" t="n">
        <f aca="false">'1. Raw Data'!F266</f>
        <v>12</v>
      </c>
      <c r="G267" s="3" t="n">
        <f aca="false">IF('1. Raw Data'!G266="",ROUND(IFERROR(AVERAGEIFS('1. Raw Data'!G2:G1201,'1. Raw Data'!C2:C1201,'1. Raw Data'!C266,'1. Raw Data'!D2:D1201,'1. Raw Data'!D266),0),2),'1. Raw Data'!G266)</f>
        <v>3528.29</v>
      </c>
      <c r="H267" s="3" t="str">
        <f aca="false">PROPER('1. Raw Data'!H266)</f>
        <v>No</v>
      </c>
      <c r="I267" s="3" t="n">
        <f aca="false">'1. Raw Data'!I266</f>
        <v>4</v>
      </c>
      <c r="J267" s="3" t="n">
        <f aca="false">'1. Raw Data'!J266</f>
        <v>3</v>
      </c>
      <c r="K267" s="3" t="n">
        <f aca="false">'1. Raw Data'!K266</f>
        <v>17</v>
      </c>
      <c r="L267" s="3" t="n">
        <f aca="false">'1. Raw Data'!L266</f>
        <v>1</v>
      </c>
      <c r="M267" s="3" t="n">
        <f aca="false">'1. Raw Data'!M266</f>
        <v>6</v>
      </c>
      <c r="N267" s="3" t="str">
        <f aca="false">'1. Raw Data'!N266</f>
        <v>No</v>
      </c>
    </row>
    <row r="268" customFormat="false" ht="15" hidden="false" customHeight="false" outlineLevel="0" collapsed="false">
      <c r="A268" s="3" t="str">
        <f aca="false">'1. Raw Data'!A267</f>
        <v>EMP-0266</v>
      </c>
      <c r="B268" s="3" t="n">
        <f aca="false">'1. Raw Data'!B267</f>
        <v>45</v>
      </c>
      <c r="C268" s="3" t="str">
        <f aca="false">'1. Raw Data'!C267</f>
        <v>Engineering</v>
      </c>
      <c r="D268" s="3" t="str">
        <f aca="false">'1. Raw Data'!D267</f>
        <v>Senior</v>
      </c>
      <c r="E268" s="3" t="str">
        <f aca="false">'1. Raw Data'!E267</f>
        <v>Marketing</v>
      </c>
      <c r="F268" s="3" t="n">
        <f aca="false">'1. Raw Data'!F267</f>
        <v>3</v>
      </c>
      <c r="G268" s="3" t="n">
        <f aca="false">IF('1. Raw Data'!G267="",ROUND(IFERROR(AVERAGEIFS('1. Raw Data'!G2:G1201,'1. Raw Data'!C2:C1201,'1. Raw Data'!C267,'1. Raw Data'!D2:D1201,'1. Raw Data'!D267),0),2),'1. Raw Data'!G267)</f>
        <v>7953.95</v>
      </c>
      <c r="H268" s="3" t="str">
        <f aca="false">PROPER('1. Raw Data'!H267)</f>
        <v>No</v>
      </c>
      <c r="I268" s="3" t="n">
        <f aca="false">'1. Raw Data'!I267</f>
        <v>4</v>
      </c>
      <c r="J268" s="3" t="n">
        <f aca="false">'1. Raw Data'!J267</f>
        <v>4</v>
      </c>
      <c r="K268" s="3" t="n">
        <f aca="false">'1. Raw Data'!K267</f>
        <v>12</v>
      </c>
      <c r="L268" s="3" t="n">
        <f aca="false">'1. Raw Data'!L267</f>
        <v>3</v>
      </c>
      <c r="M268" s="3" t="n">
        <f aca="false">'1. Raw Data'!M267</f>
        <v>1</v>
      </c>
      <c r="N268" s="3" t="str">
        <f aca="false">'1. Raw Data'!N267</f>
        <v>No</v>
      </c>
    </row>
    <row r="269" customFormat="false" ht="15" hidden="false" customHeight="false" outlineLevel="0" collapsed="false">
      <c r="A269" s="3" t="str">
        <f aca="false">'1. Raw Data'!A268</f>
        <v>EMP-0267</v>
      </c>
      <c r="B269" s="3" t="n">
        <f aca="false">'1. Raw Data'!B268</f>
        <v>26</v>
      </c>
      <c r="C269" s="3" t="str">
        <f aca="false">'1. Raw Data'!C268</f>
        <v>Marketing</v>
      </c>
      <c r="D269" s="3" t="str">
        <f aca="false">'1. Raw Data'!D268</f>
        <v>Junior</v>
      </c>
      <c r="E269" s="3" t="str">
        <f aca="false">'1. Raw Data'!E268</f>
        <v>Business</v>
      </c>
      <c r="F269" s="3" t="n">
        <f aca="false">'1. Raw Data'!F268</f>
        <v>1</v>
      </c>
      <c r="G269" s="3" t="n">
        <f aca="false">IF('1. Raw Data'!G268="",ROUND(IFERROR(AVERAGEIFS('1. Raw Data'!G2:G1201,'1. Raw Data'!C2:C1201,'1. Raw Data'!C268,'1. Raw Data'!D2:D1201,'1. Raw Data'!D268),0),2),'1. Raw Data'!G268)</f>
        <v>2748.15</v>
      </c>
      <c r="H269" s="3" t="str">
        <f aca="false">PROPER('1. Raw Data'!H268)</f>
        <v>No</v>
      </c>
      <c r="I269" s="3" t="n">
        <f aca="false">'1. Raw Data'!I268</f>
        <v>3</v>
      </c>
      <c r="J269" s="3" t="n">
        <f aca="false">'1. Raw Data'!J268</f>
        <v>4</v>
      </c>
      <c r="K269" s="3" t="n">
        <f aca="false">'1. Raw Data'!K268</f>
        <v>6</v>
      </c>
      <c r="L269" s="3" t="n">
        <f aca="false">'1. Raw Data'!L268</f>
        <v>1</v>
      </c>
      <c r="M269" s="3" t="n">
        <f aca="false">'1. Raw Data'!M268</f>
        <v>1</v>
      </c>
      <c r="N269" s="3" t="str">
        <f aca="false">'1. Raw Data'!N268</f>
        <v>No</v>
      </c>
    </row>
    <row r="270" customFormat="false" ht="15" hidden="false" customHeight="false" outlineLevel="0" collapsed="false">
      <c r="A270" s="3" t="str">
        <f aca="false">'1. Raw Data'!A269</f>
        <v>EMP-0268</v>
      </c>
      <c r="B270" s="3" t="n">
        <f aca="false">'1. Raw Data'!B269</f>
        <v>47</v>
      </c>
      <c r="C270" s="3" t="str">
        <f aca="false">'1. Raw Data'!C269</f>
        <v>Sales</v>
      </c>
      <c r="D270" s="3" t="str">
        <f aca="false">'1. Raw Data'!D269</f>
        <v>Junior</v>
      </c>
      <c r="E270" s="3" t="str">
        <f aca="false">'1. Raw Data'!E269</f>
        <v>Other</v>
      </c>
      <c r="F270" s="3" t="n">
        <f aca="false">'1. Raw Data'!F269</f>
        <v>3.2</v>
      </c>
      <c r="G270" s="3" t="n">
        <f aca="false">IF('1. Raw Data'!G269="",ROUND(IFERROR(AVERAGEIFS('1. Raw Data'!G2:G1201,'1. Raw Data'!C2:C1201,'1. Raw Data'!C269,'1. Raw Data'!D2:D1201,'1. Raw Data'!D269),0),2),'1. Raw Data'!G269)</f>
        <v>3513.16</v>
      </c>
      <c r="H270" s="3" t="str">
        <f aca="false">PROPER('1. Raw Data'!H269)</f>
        <v>No</v>
      </c>
      <c r="I270" s="3" t="n">
        <f aca="false">'1. Raw Data'!I269</f>
        <v>3</v>
      </c>
      <c r="J270" s="3" t="n">
        <f aca="false">'1. Raw Data'!J269</f>
        <v>3</v>
      </c>
      <c r="K270" s="3" t="n">
        <f aca="false">'1. Raw Data'!K269</f>
        <v>12</v>
      </c>
      <c r="L270" s="3" t="n">
        <f aca="false">'1. Raw Data'!L269</f>
        <v>2</v>
      </c>
      <c r="M270" s="3" t="n">
        <f aca="false">'1. Raw Data'!M269</f>
        <v>0</v>
      </c>
      <c r="N270" s="3" t="str">
        <f aca="false">'1. Raw Data'!N269</f>
        <v>No</v>
      </c>
    </row>
    <row r="271" customFormat="false" ht="15" hidden="false" customHeight="false" outlineLevel="0" collapsed="false">
      <c r="A271" s="3" t="str">
        <f aca="false">'1. Raw Data'!A270</f>
        <v>EMP-0269</v>
      </c>
      <c r="B271" s="3" t="n">
        <f aca="false">'1. Raw Data'!B270</f>
        <v>40</v>
      </c>
      <c r="C271" s="3" t="str">
        <f aca="false">'1. Raw Data'!C270</f>
        <v>HR</v>
      </c>
      <c r="D271" s="3" t="str">
        <f aca="false">'1. Raw Data'!D270</f>
        <v>Mid</v>
      </c>
      <c r="E271" s="3" t="str">
        <f aca="false">'1. Raw Data'!E270</f>
        <v>Other</v>
      </c>
      <c r="F271" s="3" t="n">
        <f aca="false">'1. Raw Data'!F270</f>
        <v>0.5</v>
      </c>
      <c r="G271" s="3" t="n">
        <f aca="false">IF('1. Raw Data'!G270="",ROUND(IFERROR(AVERAGEIFS('1. Raw Data'!G2:G1201,'1. Raw Data'!C2:C1201,'1. Raw Data'!C270,'1. Raw Data'!D2:D1201,'1. Raw Data'!D270),0),2),'1. Raw Data'!G270)</f>
        <v>5664.68</v>
      </c>
      <c r="H271" s="3" t="str">
        <f aca="false">PROPER('1. Raw Data'!H270)</f>
        <v>No</v>
      </c>
      <c r="I271" s="3" t="n">
        <f aca="false">'1. Raw Data'!I270</f>
        <v>2</v>
      </c>
      <c r="J271" s="3" t="n">
        <f aca="false">'1. Raw Data'!J270</f>
        <v>3</v>
      </c>
      <c r="K271" s="3" t="n">
        <f aca="false">'1. Raw Data'!K270</f>
        <v>1</v>
      </c>
      <c r="L271" s="3" t="n">
        <f aca="false">'1. Raw Data'!L270</f>
        <v>0</v>
      </c>
      <c r="M271" s="3" t="n">
        <f aca="false">'1. Raw Data'!M270</f>
        <v>3</v>
      </c>
      <c r="N271" s="3" t="str">
        <f aca="false">'1. Raw Data'!N270</f>
        <v>No</v>
      </c>
    </row>
    <row r="272" customFormat="false" ht="15" hidden="false" customHeight="false" outlineLevel="0" collapsed="false">
      <c r="A272" s="3" t="str">
        <f aca="false">'1. Raw Data'!A271</f>
        <v>EMP-0270</v>
      </c>
      <c r="B272" s="3" t="n">
        <f aca="false">'1. Raw Data'!B271</f>
        <v>43</v>
      </c>
      <c r="C272" s="3" t="str">
        <f aca="false">'1. Raw Data'!C271</f>
        <v>Finance</v>
      </c>
      <c r="D272" s="3" t="str">
        <f aca="false">'1. Raw Data'!D271</f>
        <v>Senior</v>
      </c>
      <c r="E272" s="3" t="str">
        <f aca="false">'1. Raw Data'!E271</f>
        <v>Other</v>
      </c>
      <c r="F272" s="3" t="n">
        <f aca="false">'1. Raw Data'!F271</f>
        <v>0.3</v>
      </c>
      <c r="G272" s="3" t="n">
        <f aca="false">IF('1. Raw Data'!G271="",ROUND(IFERROR(AVERAGEIFS('1. Raw Data'!G2:G1201,'1. Raw Data'!C2:C1201,'1. Raw Data'!C271,'1. Raw Data'!D2:D1201,'1. Raw Data'!D271),0),2),'1. Raw Data'!G271)</f>
        <v>6691.4</v>
      </c>
      <c r="H272" s="3" t="str">
        <f aca="false">PROPER('1. Raw Data'!H271)</f>
        <v>Yes</v>
      </c>
      <c r="I272" s="3" t="n">
        <f aca="false">'1. Raw Data'!I271</f>
        <v>3</v>
      </c>
      <c r="J272" s="3" t="n">
        <f aca="false">'1. Raw Data'!J271</f>
        <v>4</v>
      </c>
      <c r="K272" s="3" t="n">
        <f aca="false">'1. Raw Data'!K271</f>
        <v>5</v>
      </c>
      <c r="L272" s="3" t="n">
        <f aca="false">'1. Raw Data'!L271</f>
        <v>0</v>
      </c>
      <c r="M272" s="3" t="n">
        <f aca="false">'1. Raw Data'!M271</f>
        <v>2</v>
      </c>
      <c r="N272" s="3" t="str">
        <f aca="false">'1. Raw Data'!N271</f>
        <v>Yes</v>
      </c>
    </row>
    <row r="273" customFormat="false" ht="15" hidden="false" customHeight="false" outlineLevel="0" collapsed="false">
      <c r="A273" s="3" t="str">
        <f aca="false">'1. Raw Data'!A272</f>
        <v>EMP-0271</v>
      </c>
      <c r="B273" s="3" t="n">
        <f aca="false">'1. Raw Data'!B272</f>
        <v>21</v>
      </c>
      <c r="C273" s="3" t="str">
        <f aca="false">'1. Raw Data'!C272</f>
        <v>Sales</v>
      </c>
      <c r="D273" s="3" t="str">
        <f aca="false">'1. Raw Data'!D272</f>
        <v>Mid</v>
      </c>
      <c r="E273" s="3" t="str">
        <f aca="false">'1. Raw Data'!E272</f>
        <v>Business</v>
      </c>
      <c r="F273" s="3" t="n">
        <f aca="false">'1. Raw Data'!F272</f>
        <v>0</v>
      </c>
      <c r="G273" s="3" t="n">
        <f aca="false">IF('1. Raw Data'!G272="",ROUND(IFERROR(AVERAGEIFS('1. Raw Data'!G2:G1201,'1. Raw Data'!C2:C1201,'1. Raw Data'!C272,'1. Raw Data'!D2:D1201,'1. Raw Data'!D272),0),2),'1. Raw Data'!G272)</f>
        <v>5339.5</v>
      </c>
      <c r="H273" s="3" t="str">
        <f aca="false">PROPER('1. Raw Data'!H272)</f>
        <v>Yes</v>
      </c>
      <c r="I273" s="3" t="n">
        <f aca="false">'1. Raw Data'!I272</f>
        <v>3</v>
      </c>
      <c r="J273" s="3" t="n">
        <f aca="false">'1. Raw Data'!J272</f>
        <v>1</v>
      </c>
      <c r="K273" s="3" t="n">
        <f aca="false">'1. Raw Data'!K272</f>
        <v>5</v>
      </c>
      <c r="L273" s="3" t="n">
        <f aca="false">'1. Raw Data'!L272</f>
        <v>0</v>
      </c>
      <c r="M273" s="3" t="n">
        <f aca="false">'1. Raw Data'!M272</f>
        <v>1</v>
      </c>
      <c r="N273" s="3" t="str">
        <f aca="false">'1. Raw Data'!N272</f>
        <v>No</v>
      </c>
    </row>
    <row r="274" customFormat="false" ht="15" hidden="false" customHeight="false" outlineLevel="0" collapsed="false">
      <c r="A274" s="3" t="str">
        <f aca="false">'1. Raw Data'!A273</f>
        <v>EMP-0272</v>
      </c>
      <c r="B274" s="3" t="n">
        <f aca="false">'1. Raw Data'!B273</f>
        <v>49</v>
      </c>
      <c r="C274" s="3" t="str">
        <f aca="false">'1. Raw Data'!C273</f>
        <v>Finance</v>
      </c>
      <c r="D274" s="3" t="str">
        <f aca="false">'1. Raw Data'!D273</f>
        <v>Senior</v>
      </c>
      <c r="E274" s="3" t="str">
        <f aca="false">'1. Raw Data'!E273</f>
        <v>Technical</v>
      </c>
      <c r="F274" s="3" t="n">
        <f aca="false">'1. Raw Data'!F273</f>
        <v>0.4</v>
      </c>
      <c r="G274" s="3" t="n">
        <f aca="false">IF('1. Raw Data'!G273="",ROUND(IFERROR(AVERAGEIFS('1. Raw Data'!G2:G1201,'1. Raw Data'!C2:C1201,'1. Raw Data'!C273,'1. Raw Data'!D2:D1201,'1. Raw Data'!D273),0),2),'1. Raw Data'!G273)</f>
        <v>8353.42</v>
      </c>
      <c r="H274" s="3" t="str">
        <f aca="false">PROPER('1. Raw Data'!H273)</f>
        <v>No</v>
      </c>
      <c r="I274" s="3" t="n">
        <f aca="false">'1. Raw Data'!I273</f>
        <v>2</v>
      </c>
      <c r="J274" s="3" t="n">
        <f aca="false">'1. Raw Data'!J273</f>
        <v>2</v>
      </c>
      <c r="K274" s="3" t="n">
        <f aca="false">'1. Raw Data'!K273</f>
        <v>3</v>
      </c>
      <c r="L274" s="3" t="n">
        <f aca="false">'1. Raw Data'!L273</f>
        <v>0</v>
      </c>
      <c r="M274" s="3" t="n">
        <f aca="false">'1. Raw Data'!M273</f>
        <v>2</v>
      </c>
      <c r="N274" s="3" t="str">
        <f aca="false">'1. Raw Data'!N273</f>
        <v>Yes</v>
      </c>
    </row>
    <row r="275" customFormat="false" ht="15" hidden="false" customHeight="false" outlineLevel="0" collapsed="false">
      <c r="A275" s="3" t="str">
        <f aca="false">'1. Raw Data'!A274</f>
        <v>EMP-0273</v>
      </c>
      <c r="B275" s="3" t="n">
        <f aca="false">'1. Raw Data'!B274</f>
        <v>40</v>
      </c>
      <c r="C275" s="3" t="str">
        <f aca="false">'1. Raw Data'!C274</f>
        <v>Customer Support</v>
      </c>
      <c r="D275" s="3" t="str">
        <f aca="false">'1. Raw Data'!D274</f>
        <v>Junior</v>
      </c>
      <c r="E275" s="3" t="str">
        <f aca="false">'1. Raw Data'!E274</f>
        <v>Marketing</v>
      </c>
      <c r="F275" s="3" t="n">
        <f aca="false">'1. Raw Data'!F274</f>
        <v>0.6</v>
      </c>
      <c r="G275" s="3" t="n">
        <f aca="false">IF('1. Raw Data'!G274="",ROUND(IFERROR(AVERAGEIFS('1. Raw Data'!G2:G1201,'1. Raw Data'!C2:C1201,'1. Raw Data'!C274,'1. Raw Data'!D2:D1201,'1. Raw Data'!D274),0),2),'1. Raw Data'!G274)</f>
        <v>3365.4</v>
      </c>
      <c r="H275" s="3" t="str">
        <f aca="false">PROPER('1. Raw Data'!H274)</f>
        <v>Yes</v>
      </c>
      <c r="I275" s="3" t="n">
        <f aca="false">'1. Raw Data'!I274</f>
        <v>3</v>
      </c>
      <c r="J275" s="3" t="n">
        <f aca="false">'1. Raw Data'!J274</f>
        <v>3</v>
      </c>
      <c r="K275" s="3" t="n">
        <f aca="false">'1. Raw Data'!K274</f>
        <v>9</v>
      </c>
      <c r="L275" s="3" t="n">
        <f aca="false">'1. Raw Data'!L274</f>
        <v>0</v>
      </c>
      <c r="M275" s="3" t="n">
        <f aca="false">'1. Raw Data'!M274</f>
        <v>1</v>
      </c>
      <c r="N275" s="3" t="str">
        <f aca="false">'1. Raw Data'!N274</f>
        <v>Yes</v>
      </c>
    </row>
    <row r="276" customFormat="false" ht="15" hidden="false" customHeight="false" outlineLevel="0" collapsed="false">
      <c r="A276" s="3" t="str">
        <f aca="false">'1. Raw Data'!A275</f>
        <v>EMP-0274</v>
      </c>
      <c r="B276" s="3" t="n">
        <f aca="false">'1. Raw Data'!B275</f>
        <v>28</v>
      </c>
      <c r="C276" s="3" t="str">
        <f aca="false">'1. Raw Data'!C275</f>
        <v>Engineering</v>
      </c>
      <c r="D276" s="3" t="str">
        <f aca="false">'1. Raw Data'!D275</f>
        <v>Senior</v>
      </c>
      <c r="E276" s="3" t="str">
        <f aca="false">'1. Raw Data'!E275</f>
        <v>Business</v>
      </c>
      <c r="F276" s="3" t="n">
        <f aca="false">'1. Raw Data'!F275</f>
        <v>1.3</v>
      </c>
      <c r="G276" s="3" t="n">
        <f aca="false">IF('1. Raw Data'!G275="",ROUND(IFERROR(AVERAGEIFS('1. Raw Data'!G2:G1201,'1. Raw Data'!C2:C1201,'1. Raw Data'!C275,'1. Raw Data'!D2:D1201,'1. Raw Data'!D275),0),2),'1. Raw Data'!G275)</f>
        <v>8100.42</v>
      </c>
      <c r="H276" s="3" t="str">
        <f aca="false">PROPER('1. Raw Data'!H275)</f>
        <v>Yes</v>
      </c>
      <c r="I276" s="3" t="n">
        <f aca="false">'1. Raw Data'!I275</f>
        <v>2</v>
      </c>
      <c r="J276" s="3" t="n">
        <f aca="false">'1. Raw Data'!J275</f>
        <v>3</v>
      </c>
      <c r="K276" s="3" t="n">
        <f aca="false">'1. Raw Data'!K275</f>
        <v>12</v>
      </c>
      <c r="L276" s="3" t="n">
        <f aca="false">'1. Raw Data'!L275</f>
        <v>1</v>
      </c>
      <c r="M276" s="3" t="n">
        <f aca="false">'1. Raw Data'!M275</f>
        <v>0</v>
      </c>
      <c r="N276" s="3" t="str">
        <f aca="false">'1. Raw Data'!N275</f>
        <v>No</v>
      </c>
    </row>
    <row r="277" customFormat="false" ht="15" hidden="false" customHeight="false" outlineLevel="0" collapsed="false">
      <c r="A277" s="3" t="str">
        <f aca="false">'1. Raw Data'!A276</f>
        <v>EMP-0275</v>
      </c>
      <c r="B277" s="3" t="n">
        <f aca="false">'1. Raw Data'!B276</f>
        <v>27</v>
      </c>
      <c r="C277" s="3" t="str">
        <f aca="false">'1. Raw Data'!C276</f>
        <v>Customer Support</v>
      </c>
      <c r="D277" s="3" t="str">
        <f aca="false">'1. Raw Data'!D276</f>
        <v>Mid</v>
      </c>
      <c r="E277" s="3" t="str">
        <f aca="false">'1. Raw Data'!E276</f>
        <v>Technical</v>
      </c>
      <c r="F277" s="3" t="n">
        <f aca="false">'1. Raw Data'!F276</f>
        <v>5.7</v>
      </c>
      <c r="G277" s="3" t="n">
        <f aca="false">IF('1. Raw Data'!G276="",ROUND(IFERROR(AVERAGEIFS('1. Raw Data'!G2:G1201,'1. Raw Data'!C2:C1201,'1. Raw Data'!C276,'1. Raw Data'!D2:D1201,'1. Raw Data'!D276),0),2),'1. Raw Data'!G276)</f>
        <v>4264.91</v>
      </c>
      <c r="H277" s="3" t="str">
        <f aca="false">PROPER('1. Raw Data'!H276)</f>
        <v>No</v>
      </c>
      <c r="I277" s="3" t="n">
        <f aca="false">'1. Raw Data'!I276</f>
        <v>4</v>
      </c>
      <c r="J277" s="3" t="n">
        <f aca="false">'1. Raw Data'!J276</f>
        <v>4</v>
      </c>
      <c r="K277" s="3" t="n">
        <f aca="false">'1. Raw Data'!K276</f>
        <v>1</v>
      </c>
      <c r="L277" s="3" t="n">
        <f aca="false">'1. Raw Data'!L276</f>
        <v>2</v>
      </c>
      <c r="M277" s="3" t="n">
        <f aca="false">'1. Raw Data'!M276</f>
        <v>2</v>
      </c>
      <c r="N277" s="3" t="str">
        <f aca="false">'1. Raw Data'!N276</f>
        <v>No</v>
      </c>
    </row>
    <row r="278" customFormat="false" ht="15" hidden="false" customHeight="false" outlineLevel="0" collapsed="false">
      <c r="A278" s="3" t="str">
        <f aca="false">'1. Raw Data'!A277</f>
        <v>EMP-0276</v>
      </c>
      <c r="B278" s="3" t="n">
        <f aca="false">'1. Raw Data'!B277</f>
        <v>49</v>
      </c>
      <c r="C278" s="3" t="str">
        <f aca="false">'1. Raw Data'!C277</f>
        <v>Sales</v>
      </c>
      <c r="D278" s="3" t="str">
        <f aca="false">'1. Raw Data'!D277</f>
        <v>Junior</v>
      </c>
      <c r="E278" s="3" t="str">
        <f aca="false">'1. Raw Data'!E277</f>
        <v>Business</v>
      </c>
      <c r="F278" s="3" t="n">
        <f aca="false">'1. Raw Data'!F277</f>
        <v>0.5</v>
      </c>
      <c r="G278" s="3" t="n">
        <f aca="false">IF('1. Raw Data'!G277="",ROUND(IFERROR(AVERAGEIFS('1. Raw Data'!G2:G1201,'1. Raw Data'!C2:C1201,'1. Raw Data'!C277,'1. Raw Data'!D2:D1201,'1. Raw Data'!D277),0),2),'1. Raw Data'!G277)</f>
        <v>3744.43</v>
      </c>
      <c r="H278" s="3" t="str">
        <f aca="false">PROPER('1. Raw Data'!H277)</f>
        <v>Yes</v>
      </c>
      <c r="I278" s="3" t="n">
        <f aca="false">'1. Raw Data'!I277</f>
        <v>4</v>
      </c>
      <c r="J278" s="3" t="n">
        <f aca="false">'1. Raw Data'!J277</f>
        <v>2</v>
      </c>
      <c r="K278" s="3" t="n">
        <f aca="false">'1. Raw Data'!K277</f>
        <v>1</v>
      </c>
      <c r="L278" s="3" t="n">
        <f aca="false">'1. Raw Data'!L277</f>
        <v>0</v>
      </c>
      <c r="M278" s="3" t="n">
        <f aca="false">'1. Raw Data'!M277</f>
        <v>3</v>
      </c>
      <c r="N278" s="3" t="str">
        <f aca="false">'1. Raw Data'!N277</f>
        <v>No</v>
      </c>
    </row>
    <row r="279" customFormat="false" ht="15" hidden="false" customHeight="false" outlineLevel="0" collapsed="false">
      <c r="A279" s="3" t="str">
        <f aca="false">'1. Raw Data'!A278</f>
        <v>EMP-0277</v>
      </c>
      <c r="B279" s="3" t="n">
        <f aca="false">'1. Raw Data'!B278</f>
        <v>31</v>
      </c>
      <c r="C279" s="3" t="str">
        <f aca="false">'1. Raw Data'!C278</f>
        <v>Customer Support</v>
      </c>
      <c r="D279" s="3" t="str">
        <f aca="false">'1. Raw Data'!D278</f>
        <v>Mid</v>
      </c>
      <c r="E279" s="3" t="str">
        <f aca="false">'1. Raw Data'!E278</f>
        <v>Technical</v>
      </c>
      <c r="F279" s="3" t="n">
        <f aca="false">'1. Raw Data'!F278</f>
        <v>3.2</v>
      </c>
      <c r="G279" s="3" t="n">
        <f aca="false">IF('1. Raw Data'!G278="",ROUND(IFERROR(AVERAGEIFS('1. Raw Data'!G2:G1201,'1. Raw Data'!C2:C1201,'1. Raw Data'!C278,'1. Raw Data'!D2:D1201,'1. Raw Data'!D278),0),2),'1. Raw Data'!G278)</f>
        <v>4507.92</v>
      </c>
      <c r="H279" s="3" t="str">
        <f aca="false">PROPER('1. Raw Data'!H278)</f>
        <v>Yes</v>
      </c>
      <c r="I279" s="3" t="n">
        <f aca="false">'1. Raw Data'!I278</f>
        <v>3</v>
      </c>
      <c r="J279" s="3" t="n">
        <f aca="false">'1. Raw Data'!J278</f>
        <v>2</v>
      </c>
      <c r="K279" s="3" t="n">
        <f aca="false">'1. Raw Data'!K278</f>
        <v>1</v>
      </c>
      <c r="L279" s="3" t="n">
        <f aca="false">'1. Raw Data'!L278</f>
        <v>0</v>
      </c>
      <c r="M279" s="3" t="n">
        <f aca="false">'1. Raw Data'!M278</f>
        <v>4</v>
      </c>
      <c r="N279" s="3" t="str">
        <f aca="false">'1. Raw Data'!N278</f>
        <v>No</v>
      </c>
    </row>
    <row r="280" customFormat="false" ht="15" hidden="false" customHeight="false" outlineLevel="0" collapsed="false">
      <c r="A280" s="3" t="str">
        <f aca="false">'1. Raw Data'!A279</f>
        <v>EMP-0278</v>
      </c>
      <c r="B280" s="3" t="n">
        <f aca="false">'1. Raw Data'!B279</f>
        <v>47</v>
      </c>
      <c r="C280" s="3" t="str">
        <f aca="false">'1. Raw Data'!C279</f>
        <v>Marketing</v>
      </c>
      <c r="D280" s="3" t="str">
        <f aca="false">'1. Raw Data'!D279</f>
        <v>Senior</v>
      </c>
      <c r="E280" s="3" t="str">
        <f aca="false">'1. Raw Data'!E279</f>
        <v>Business</v>
      </c>
      <c r="F280" s="3" t="n">
        <f aca="false">'1. Raw Data'!F279</f>
        <v>4.3</v>
      </c>
      <c r="G280" s="3" t="n">
        <f aca="false">IF('1. Raw Data'!G279="",ROUND(IFERROR(AVERAGEIFS('1. Raw Data'!G2:G1201,'1. Raw Data'!C2:C1201,'1. Raw Data'!C279,'1. Raw Data'!D2:D1201,'1. Raw Data'!D279),0),2),'1. Raw Data'!G279)</f>
        <v>6289.16</v>
      </c>
      <c r="H280" s="3" t="str">
        <f aca="false">PROPER('1. Raw Data'!H279)</f>
        <v>No</v>
      </c>
      <c r="I280" s="3" t="n">
        <f aca="false">'1. Raw Data'!I279</f>
        <v>4</v>
      </c>
      <c r="J280" s="3" t="n">
        <f aca="false">'1. Raw Data'!J279</f>
        <v>3</v>
      </c>
      <c r="K280" s="3" t="n">
        <f aca="false">'1. Raw Data'!K279</f>
        <v>5</v>
      </c>
      <c r="L280" s="3" t="n">
        <f aca="false">'1. Raw Data'!L279</f>
        <v>1</v>
      </c>
      <c r="M280" s="3" t="n">
        <f aca="false">'1. Raw Data'!M279</f>
        <v>1</v>
      </c>
      <c r="N280" s="3" t="str">
        <f aca="false">'1. Raw Data'!N279</f>
        <v>No</v>
      </c>
    </row>
    <row r="281" customFormat="false" ht="15" hidden="false" customHeight="false" outlineLevel="0" collapsed="false">
      <c r="A281" s="3" t="str">
        <f aca="false">'1. Raw Data'!A280</f>
        <v>EMP-0279</v>
      </c>
      <c r="B281" s="3" t="n">
        <f aca="false">'1. Raw Data'!B280</f>
        <v>34</v>
      </c>
      <c r="C281" s="3" t="str">
        <f aca="false">'1. Raw Data'!C280</f>
        <v>Engineering</v>
      </c>
      <c r="D281" s="3" t="str">
        <f aca="false">'1. Raw Data'!D280</f>
        <v>Junior</v>
      </c>
      <c r="E281" s="3" t="str">
        <f aca="false">'1. Raw Data'!E280</f>
        <v>Business</v>
      </c>
      <c r="F281" s="3" t="n">
        <f aca="false">'1. Raw Data'!F280</f>
        <v>0.8</v>
      </c>
      <c r="G281" s="3" t="n">
        <f aca="false">IF('1. Raw Data'!G280="",ROUND(IFERROR(AVERAGEIFS('1. Raw Data'!G2:G1201,'1. Raw Data'!C2:C1201,'1. Raw Data'!C280,'1. Raw Data'!D2:D1201,'1. Raw Data'!D280),0),2),'1. Raw Data'!G280)</f>
        <v>3736.92</v>
      </c>
      <c r="H281" s="3" t="str">
        <f aca="false">PROPER('1. Raw Data'!H280)</f>
        <v>No</v>
      </c>
      <c r="I281" s="3" t="n">
        <f aca="false">'1. Raw Data'!I280</f>
        <v>2</v>
      </c>
      <c r="J281" s="3" t="n">
        <f aca="false">'1. Raw Data'!J280</f>
        <v>3</v>
      </c>
      <c r="K281" s="3" t="n">
        <f aca="false">'1. Raw Data'!K280</f>
        <v>1</v>
      </c>
      <c r="L281" s="3" t="n">
        <f aca="false">'1. Raw Data'!L280</f>
        <v>0</v>
      </c>
      <c r="M281" s="3" t="n">
        <f aca="false">'1. Raw Data'!M280</f>
        <v>1</v>
      </c>
      <c r="N281" s="3" t="str">
        <f aca="false">'1. Raw Data'!N280</f>
        <v>No</v>
      </c>
    </row>
    <row r="282" customFormat="false" ht="15" hidden="false" customHeight="false" outlineLevel="0" collapsed="false">
      <c r="A282" s="3" t="str">
        <f aca="false">'1. Raw Data'!A281</f>
        <v>EMP-0280</v>
      </c>
      <c r="B282" s="3" t="n">
        <f aca="false">'1. Raw Data'!B281</f>
        <v>42</v>
      </c>
      <c r="C282" s="3" t="str">
        <f aca="false">'1. Raw Data'!C281</f>
        <v>Engineering</v>
      </c>
      <c r="D282" s="3" t="str">
        <f aca="false">'1. Raw Data'!D281</f>
        <v>Lead</v>
      </c>
      <c r="E282" s="3" t="str">
        <f aca="false">'1. Raw Data'!E281</f>
        <v>Other</v>
      </c>
      <c r="F282" s="3" t="n">
        <f aca="false">'1. Raw Data'!F281</f>
        <v>2.7</v>
      </c>
      <c r="G282" s="3" t="n">
        <f aca="false">IF('1. Raw Data'!G281="",ROUND(IFERROR(AVERAGEIFS('1. Raw Data'!G2:G1201,'1. Raw Data'!C2:C1201,'1. Raw Data'!C281,'1. Raw Data'!D2:D1201,'1. Raw Data'!D281),0),2),'1. Raw Data'!G281)</f>
        <v>8806.49</v>
      </c>
      <c r="H282" s="3" t="str">
        <f aca="false">PROPER('1. Raw Data'!H281)</f>
        <v>No</v>
      </c>
      <c r="I282" s="3" t="n">
        <f aca="false">'1. Raw Data'!I281</f>
        <v>4</v>
      </c>
      <c r="J282" s="3" t="n">
        <f aca="false">'1. Raw Data'!J281</f>
        <v>2</v>
      </c>
      <c r="K282" s="3" t="n">
        <f aca="false">'1. Raw Data'!K281</f>
        <v>7</v>
      </c>
      <c r="L282" s="3" t="n">
        <f aca="false">'1. Raw Data'!L281</f>
        <v>1</v>
      </c>
      <c r="M282" s="3" t="n">
        <f aca="false">'1. Raw Data'!M281</f>
        <v>2</v>
      </c>
      <c r="N282" s="3" t="str">
        <f aca="false">'1. Raw Data'!N281</f>
        <v>No</v>
      </c>
    </row>
    <row r="283" customFormat="false" ht="15" hidden="false" customHeight="false" outlineLevel="0" collapsed="false">
      <c r="A283" s="3" t="str">
        <f aca="false">'1. Raw Data'!A282</f>
        <v>EMP-0281</v>
      </c>
      <c r="B283" s="3" t="n">
        <f aca="false">'1. Raw Data'!B282</f>
        <v>44</v>
      </c>
      <c r="C283" s="3" t="str">
        <f aca="false">'1. Raw Data'!C282</f>
        <v>Sales</v>
      </c>
      <c r="D283" s="3" t="str">
        <f aca="false">'1. Raw Data'!D282</f>
        <v>Junior</v>
      </c>
      <c r="E283" s="3" t="str">
        <f aca="false">'1. Raw Data'!E282</f>
        <v>Other</v>
      </c>
      <c r="F283" s="3" t="n">
        <f aca="false">'1. Raw Data'!F282</f>
        <v>0</v>
      </c>
      <c r="G283" s="3" t="n">
        <f aca="false">IF('1. Raw Data'!G282="",ROUND(IFERROR(AVERAGEIFS('1. Raw Data'!G2:G1201,'1. Raw Data'!C2:C1201,'1. Raw Data'!C282,'1. Raw Data'!D2:D1201,'1. Raw Data'!D282),0),2),'1. Raw Data'!G282)</f>
        <v>3393.05</v>
      </c>
      <c r="H283" s="3" t="str">
        <f aca="false">PROPER('1. Raw Data'!H282)</f>
        <v>Yes</v>
      </c>
      <c r="I283" s="3" t="n">
        <f aca="false">'1. Raw Data'!I282</f>
        <v>2</v>
      </c>
      <c r="J283" s="3" t="n">
        <f aca="false">'1. Raw Data'!J282</f>
        <v>4</v>
      </c>
      <c r="K283" s="3" t="n">
        <f aca="false">'1. Raw Data'!K282</f>
        <v>2</v>
      </c>
      <c r="L283" s="3" t="n">
        <f aca="false">'1. Raw Data'!L282</f>
        <v>0</v>
      </c>
      <c r="M283" s="3" t="n">
        <f aca="false">'1. Raw Data'!M282</f>
        <v>3</v>
      </c>
      <c r="N283" s="3" t="str">
        <f aca="false">'1. Raw Data'!N282</f>
        <v>No</v>
      </c>
    </row>
    <row r="284" customFormat="false" ht="15" hidden="false" customHeight="false" outlineLevel="0" collapsed="false">
      <c r="A284" s="3" t="str">
        <f aca="false">'1. Raw Data'!A283</f>
        <v>EMP-0282</v>
      </c>
      <c r="B284" s="3" t="n">
        <f aca="false">'1. Raw Data'!B283</f>
        <v>21</v>
      </c>
      <c r="C284" s="3" t="str">
        <f aca="false">'1. Raw Data'!C283</f>
        <v>Customer Support</v>
      </c>
      <c r="D284" s="3" t="str">
        <f aca="false">'1. Raw Data'!D283</f>
        <v>Mid</v>
      </c>
      <c r="E284" s="3" t="str">
        <f aca="false">'1. Raw Data'!E283</f>
        <v>Business</v>
      </c>
      <c r="F284" s="3" t="n">
        <f aca="false">'1. Raw Data'!F283</f>
        <v>0</v>
      </c>
      <c r="G284" s="3" t="n">
        <f aca="false">IF('1. Raw Data'!G283="",ROUND(IFERROR(AVERAGEIFS('1. Raw Data'!G2:G1201,'1. Raw Data'!C2:C1201,'1. Raw Data'!C283,'1. Raw Data'!D2:D1201,'1. Raw Data'!D283),0),2),'1. Raw Data'!G283)</f>
        <v>4422.92</v>
      </c>
      <c r="H284" s="3" t="str">
        <f aca="false">PROPER('1. Raw Data'!H283)</f>
        <v>Yes</v>
      </c>
      <c r="I284" s="3" t="n">
        <f aca="false">'1. Raw Data'!I283</f>
        <v>2</v>
      </c>
      <c r="J284" s="3" t="n">
        <f aca="false">'1. Raw Data'!J283</f>
        <v>2</v>
      </c>
      <c r="K284" s="3" t="n">
        <f aca="false">'1. Raw Data'!K283</f>
        <v>5</v>
      </c>
      <c r="L284" s="3" t="n">
        <f aca="false">'1. Raw Data'!L283</f>
        <v>0</v>
      </c>
      <c r="M284" s="3" t="n">
        <f aca="false">'1. Raw Data'!M283</f>
        <v>1</v>
      </c>
      <c r="N284" s="3" t="str">
        <f aca="false">'1. Raw Data'!N283</f>
        <v>Yes</v>
      </c>
    </row>
    <row r="285" customFormat="false" ht="15" hidden="false" customHeight="false" outlineLevel="0" collapsed="false">
      <c r="A285" s="3" t="str">
        <f aca="false">'1. Raw Data'!A284</f>
        <v>EMP-0283</v>
      </c>
      <c r="B285" s="3" t="n">
        <f aca="false">'1. Raw Data'!B284</f>
        <v>32</v>
      </c>
      <c r="C285" s="3" t="str">
        <f aca="false">'1. Raw Data'!C284</f>
        <v>Finance</v>
      </c>
      <c r="D285" s="3" t="str">
        <f aca="false">'1. Raw Data'!D284</f>
        <v>Junior</v>
      </c>
      <c r="E285" s="3" t="str">
        <f aca="false">'1. Raw Data'!E284</f>
        <v>Marketing</v>
      </c>
      <c r="F285" s="3" t="n">
        <f aca="false">'1. Raw Data'!F284</f>
        <v>3.5</v>
      </c>
      <c r="G285" s="3" t="n">
        <f aca="false">IF('1. Raw Data'!G284="",ROUND(IFERROR(AVERAGEIFS('1. Raw Data'!G2:G1201,'1. Raw Data'!C2:C1201,'1. Raw Data'!C284,'1. Raw Data'!D2:D1201,'1. Raw Data'!D284),0),2),'1. Raw Data'!G284)</f>
        <v>2978.26</v>
      </c>
      <c r="H285" s="3" t="str">
        <f aca="false">PROPER('1. Raw Data'!H284)</f>
        <v>No</v>
      </c>
      <c r="I285" s="3" t="n">
        <f aca="false">'1. Raw Data'!I284</f>
        <v>3</v>
      </c>
      <c r="J285" s="3" t="n">
        <f aca="false">'1. Raw Data'!J284</f>
        <v>4</v>
      </c>
      <c r="K285" s="3" t="n">
        <f aca="false">'1. Raw Data'!K284</f>
        <v>1</v>
      </c>
      <c r="L285" s="3" t="n">
        <f aca="false">'1. Raw Data'!L284</f>
        <v>2</v>
      </c>
      <c r="M285" s="3" t="n">
        <f aca="false">'1. Raw Data'!M284</f>
        <v>2</v>
      </c>
      <c r="N285" s="3" t="str">
        <f aca="false">'1. Raw Data'!N284</f>
        <v>No</v>
      </c>
    </row>
    <row r="286" customFormat="false" ht="15" hidden="false" customHeight="false" outlineLevel="0" collapsed="false">
      <c r="A286" s="3" t="str">
        <f aca="false">'1. Raw Data'!A285</f>
        <v>EMP-0284</v>
      </c>
      <c r="B286" s="3" t="n">
        <f aca="false">'1. Raw Data'!B285</f>
        <v>37</v>
      </c>
      <c r="C286" s="3" t="str">
        <f aca="false">'1. Raw Data'!C285</f>
        <v>Customer Support</v>
      </c>
      <c r="D286" s="3" t="str">
        <f aca="false">'1. Raw Data'!D285</f>
        <v>Mid</v>
      </c>
      <c r="E286" s="3" t="str">
        <f aca="false">'1. Raw Data'!E285</f>
        <v>Marketing</v>
      </c>
      <c r="F286" s="3" t="n">
        <f aca="false">'1. Raw Data'!F285</f>
        <v>0.9</v>
      </c>
      <c r="G286" s="3" t="n">
        <f aca="false">IF('1. Raw Data'!G285="",ROUND(IFERROR(AVERAGEIFS('1. Raw Data'!G2:G1201,'1. Raw Data'!C2:C1201,'1. Raw Data'!C285,'1. Raw Data'!D2:D1201,'1. Raw Data'!D285),0),2),'1. Raw Data'!G285)</f>
        <v>4897.71</v>
      </c>
      <c r="H286" s="3" t="str">
        <f aca="false">PROPER('1. Raw Data'!H285)</f>
        <v>Yes</v>
      </c>
      <c r="I286" s="3" t="n">
        <f aca="false">'1. Raw Data'!I285</f>
        <v>4</v>
      </c>
      <c r="J286" s="3" t="n">
        <f aca="false">'1. Raw Data'!J285</f>
        <v>4</v>
      </c>
      <c r="K286" s="3" t="n">
        <f aca="false">'1. Raw Data'!K285</f>
        <v>9</v>
      </c>
      <c r="L286" s="3" t="n">
        <f aca="false">'1. Raw Data'!L285</f>
        <v>0</v>
      </c>
      <c r="M286" s="3" t="n">
        <f aca="false">'1. Raw Data'!M285</f>
        <v>2</v>
      </c>
      <c r="N286" s="3" t="str">
        <f aca="false">'1. Raw Data'!N285</f>
        <v>No</v>
      </c>
    </row>
    <row r="287" customFormat="false" ht="15" hidden="false" customHeight="false" outlineLevel="0" collapsed="false">
      <c r="A287" s="3" t="str">
        <f aca="false">'1. Raw Data'!A286</f>
        <v>EMP-0285</v>
      </c>
      <c r="B287" s="3" t="n">
        <f aca="false">'1. Raw Data'!B286</f>
        <v>31</v>
      </c>
      <c r="C287" s="3" t="str">
        <f aca="false">'1. Raw Data'!C286</f>
        <v>Sales</v>
      </c>
      <c r="D287" s="3" t="str">
        <f aca="false">'1. Raw Data'!D286</f>
        <v>Junior</v>
      </c>
      <c r="E287" s="3" t="str">
        <f aca="false">'1. Raw Data'!E286</f>
        <v>Technical</v>
      </c>
      <c r="F287" s="3" t="n">
        <f aca="false">'1. Raw Data'!F286</f>
        <v>6</v>
      </c>
      <c r="G287" s="3" t="n">
        <f aca="false">IF('1. Raw Data'!G286="",ROUND(IFERROR(AVERAGEIFS('1. Raw Data'!G2:G1201,'1. Raw Data'!C2:C1201,'1. Raw Data'!C286,'1. Raw Data'!D2:D1201,'1. Raw Data'!D286),0),2),'1. Raw Data'!G286)</f>
        <v>3057</v>
      </c>
      <c r="H287" s="3" t="str">
        <f aca="false">PROPER('1. Raw Data'!H286)</f>
        <v>Yes</v>
      </c>
      <c r="I287" s="3" t="n">
        <f aca="false">'1. Raw Data'!I286</f>
        <v>2</v>
      </c>
      <c r="J287" s="3" t="n">
        <f aca="false">'1. Raw Data'!J286</f>
        <v>2</v>
      </c>
      <c r="K287" s="3" t="n">
        <f aca="false">'1. Raw Data'!K286</f>
        <v>19</v>
      </c>
      <c r="L287" s="3" t="n">
        <f aca="false">'1. Raw Data'!L286</f>
        <v>3</v>
      </c>
      <c r="M287" s="3" t="n">
        <f aca="false">'1. Raw Data'!M286</f>
        <v>2</v>
      </c>
      <c r="N287" s="3" t="str">
        <f aca="false">'1. Raw Data'!N286</f>
        <v>Yes</v>
      </c>
    </row>
    <row r="288" customFormat="false" ht="15" hidden="false" customHeight="false" outlineLevel="0" collapsed="false">
      <c r="A288" s="3" t="str">
        <f aca="false">'1. Raw Data'!A287</f>
        <v>EMP-0286</v>
      </c>
      <c r="B288" s="3" t="n">
        <f aca="false">'1. Raw Data'!B287</f>
        <v>39</v>
      </c>
      <c r="C288" s="3" t="str">
        <f aca="false">'1. Raw Data'!C287</f>
        <v>Sales</v>
      </c>
      <c r="D288" s="3" t="str">
        <f aca="false">'1. Raw Data'!D287</f>
        <v>Junior</v>
      </c>
      <c r="E288" s="3" t="str">
        <f aca="false">'1. Raw Data'!E287</f>
        <v>Technical</v>
      </c>
      <c r="F288" s="3" t="n">
        <f aca="false">'1. Raw Data'!F287</f>
        <v>3.3</v>
      </c>
      <c r="G288" s="3" t="n">
        <f aca="false">IF('1. Raw Data'!G287="",ROUND(IFERROR(AVERAGEIFS('1. Raw Data'!G2:G1201,'1. Raw Data'!C2:C1201,'1. Raw Data'!C287,'1. Raw Data'!D2:D1201,'1. Raw Data'!D287),0),2),'1. Raw Data'!G287)</f>
        <v>2901.78</v>
      </c>
      <c r="H288" s="3" t="str">
        <f aca="false">PROPER('1. Raw Data'!H287)</f>
        <v>No</v>
      </c>
      <c r="I288" s="3" t="n">
        <f aca="false">'1. Raw Data'!I287</f>
        <v>3</v>
      </c>
      <c r="J288" s="3" t="n">
        <f aca="false">'1. Raw Data'!J287</f>
        <v>4</v>
      </c>
      <c r="K288" s="3" t="n">
        <f aca="false">'1. Raw Data'!K287</f>
        <v>8</v>
      </c>
      <c r="L288" s="3" t="n">
        <f aca="false">'1. Raw Data'!L287</f>
        <v>0</v>
      </c>
      <c r="M288" s="3" t="n">
        <f aca="false">'1. Raw Data'!M287</f>
        <v>3</v>
      </c>
      <c r="N288" s="3" t="str">
        <f aca="false">'1. Raw Data'!N287</f>
        <v>No</v>
      </c>
    </row>
    <row r="289" customFormat="false" ht="15" hidden="false" customHeight="false" outlineLevel="0" collapsed="false">
      <c r="A289" s="3" t="str">
        <f aca="false">'1. Raw Data'!A288</f>
        <v>EMP-0287</v>
      </c>
      <c r="B289" s="3" t="n">
        <f aca="false">'1. Raw Data'!B288</f>
        <v>30</v>
      </c>
      <c r="C289" s="3" t="str">
        <f aca="false">'1. Raw Data'!C288</f>
        <v>Engineering</v>
      </c>
      <c r="D289" s="3" t="str">
        <f aca="false">'1. Raw Data'!D288</f>
        <v>Mid</v>
      </c>
      <c r="E289" s="3" t="str">
        <f aca="false">'1. Raw Data'!E288</f>
        <v>Technical</v>
      </c>
      <c r="F289" s="3" t="n">
        <f aca="false">'1. Raw Data'!F288</f>
        <v>3.1</v>
      </c>
      <c r="G289" s="3" t="n">
        <f aca="false">IF('1. Raw Data'!G288="",ROUND(IFERROR(AVERAGEIFS('1. Raw Data'!G2:G1201,'1. Raw Data'!C2:C1201,'1. Raw Data'!C288,'1. Raw Data'!D2:D1201,'1. Raw Data'!D288),0),2),'1. Raw Data'!G288)</f>
        <v>4126.61</v>
      </c>
      <c r="H289" s="3" t="str">
        <f aca="false">PROPER('1. Raw Data'!H288)</f>
        <v>No</v>
      </c>
      <c r="I289" s="3" t="n">
        <f aca="false">'1. Raw Data'!I288</f>
        <v>4</v>
      </c>
      <c r="J289" s="3" t="n">
        <f aca="false">'1. Raw Data'!J288</f>
        <v>2</v>
      </c>
      <c r="K289" s="3" t="n">
        <f aca="false">'1. Raw Data'!K288</f>
        <v>1</v>
      </c>
      <c r="L289" s="3" t="n">
        <f aca="false">'1. Raw Data'!L288</f>
        <v>2</v>
      </c>
      <c r="M289" s="3" t="n">
        <f aca="false">'1. Raw Data'!M288</f>
        <v>2</v>
      </c>
      <c r="N289" s="3" t="str">
        <f aca="false">'1. Raw Data'!N288</f>
        <v>No</v>
      </c>
    </row>
    <row r="290" customFormat="false" ht="15" hidden="false" customHeight="false" outlineLevel="0" collapsed="false">
      <c r="A290" s="3" t="str">
        <f aca="false">'1. Raw Data'!A289</f>
        <v>EMP-0288</v>
      </c>
      <c r="B290" s="3" t="n">
        <f aca="false">'1. Raw Data'!B289</f>
        <v>23</v>
      </c>
      <c r="C290" s="3" t="str">
        <f aca="false">'1. Raw Data'!C289</f>
        <v>Customer Support</v>
      </c>
      <c r="D290" s="3" t="str">
        <f aca="false">'1. Raw Data'!D289</f>
        <v>Junior</v>
      </c>
      <c r="E290" s="3" t="str">
        <f aca="false">'1. Raw Data'!E289</f>
        <v>Business</v>
      </c>
      <c r="F290" s="3" t="n">
        <f aca="false">'1. Raw Data'!F289</f>
        <v>0.3</v>
      </c>
      <c r="G290" s="3" t="n">
        <f aca="false">IF('1. Raw Data'!G289="",ROUND(IFERROR(AVERAGEIFS('1. Raw Data'!G2:G1201,'1. Raw Data'!C2:C1201,'1. Raw Data'!C289,'1. Raw Data'!D2:D1201,'1. Raw Data'!D289),0),2),'1. Raw Data'!G289)</f>
        <v>3553.44</v>
      </c>
      <c r="H290" s="3" t="str">
        <f aca="false">PROPER('1. Raw Data'!H289)</f>
        <v>Yes</v>
      </c>
      <c r="I290" s="3" t="n">
        <f aca="false">'1. Raw Data'!I289</f>
        <v>4</v>
      </c>
      <c r="J290" s="3" t="n">
        <f aca="false">'1. Raw Data'!J289</f>
        <v>3</v>
      </c>
      <c r="K290" s="3" t="n">
        <f aca="false">'1. Raw Data'!K289</f>
        <v>1</v>
      </c>
      <c r="L290" s="3" t="n">
        <f aca="false">'1. Raw Data'!L289</f>
        <v>0</v>
      </c>
      <c r="M290" s="3" t="n">
        <f aca="false">'1. Raw Data'!M289</f>
        <v>1</v>
      </c>
      <c r="N290" s="3" t="str">
        <f aca="false">'1. Raw Data'!N289</f>
        <v>Yes</v>
      </c>
    </row>
    <row r="291" customFormat="false" ht="15" hidden="false" customHeight="false" outlineLevel="0" collapsed="false">
      <c r="A291" s="3" t="str">
        <f aca="false">'1. Raw Data'!A290</f>
        <v>EMP-0289</v>
      </c>
      <c r="B291" s="3" t="n">
        <f aca="false">'1. Raw Data'!B290</f>
        <v>22</v>
      </c>
      <c r="C291" s="3" t="str">
        <f aca="false">'1. Raw Data'!C290</f>
        <v>Customer Support</v>
      </c>
      <c r="D291" s="3" t="str">
        <f aca="false">'1. Raw Data'!D290</f>
        <v>Lead</v>
      </c>
      <c r="E291" s="3" t="str">
        <f aca="false">'1. Raw Data'!E290</f>
        <v>Business</v>
      </c>
      <c r="F291" s="3" t="n">
        <f aca="false">'1. Raw Data'!F290</f>
        <v>1</v>
      </c>
      <c r="G291" s="3" t="n">
        <f aca="false">IF('1. Raw Data'!G290="",ROUND(IFERROR(AVERAGEIFS('1. Raw Data'!G2:G1201,'1. Raw Data'!C2:C1201,'1. Raw Data'!C290,'1. Raw Data'!D2:D1201,'1. Raw Data'!D290),0),2),'1. Raw Data'!G290)</f>
        <v>10564.15</v>
      </c>
      <c r="H291" s="3" t="str">
        <f aca="false">PROPER('1. Raw Data'!H290)</f>
        <v>No</v>
      </c>
      <c r="I291" s="3" t="n">
        <f aca="false">'1. Raw Data'!I290</f>
        <v>1</v>
      </c>
      <c r="J291" s="3" t="n">
        <f aca="false">'1. Raw Data'!J290</f>
        <v>2</v>
      </c>
      <c r="K291" s="3" t="n">
        <f aca="false">'1. Raw Data'!K290</f>
        <v>32</v>
      </c>
      <c r="L291" s="3" t="n">
        <f aca="false">'1. Raw Data'!L290</f>
        <v>1</v>
      </c>
      <c r="M291" s="3" t="n">
        <f aca="false">'1. Raw Data'!M290</f>
        <v>3</v>
      </c>
      <c r="N291" s="3" t="str">
        <f aca="false">'1. Raw Data'!N290</f>
        <v>Yes</v>
      </c>
    </row>
    <row r="292" customFormat="false" ht="15" hidden="false" customHeight="false" outlineLevel="0" collapsed="false">
      <c r="A292" s="3" t="str">
        <f aca="false">'1. Raw Data'!A291</f>
        <v>EMP-0290</v>
      </c>
      <c r="B292" s="3" t="n">
        <f aca="false">'1. Raw Data'!B291</f>
        <v>50</v>
      </c>
      <c r="C292" s="3" t="str">
        <f aca="false">'1. Raw Data'!C291</f>
        <v>Sales</v>
      </c>
      <c r="D292" s="3" t="str">
        <f aca="false">'1. Raw Data'!D291</f>
        <v>Senior</v>
      </c>
      <c r="E292" s="3" t="str">
        <f aca="false">'1. Raw Data'!E291</f>
        <v>Technical</v>
      </c>
      <c r="F292" s="3" t="n">
        <f aca="false">'1. Raw Data'!F291</f>
        <v>4.2</v>
      </c>
      <c r="G292" s="3" t="n">
        <f aca="false">IF('1. Raw Data'!G291="",ROUND(IFERROR(AVERAGEIFS('1. Raw Data'!G2:G1201,'1. Raw Data'!C2:C1201,'1. Raw Data'!C291,'1. Raw Data'!D2:D1201,'1. Raw Data'!D291),0),2),'1. Raw Data'!G291)</f>
        <v>7166.47</v>
      </c>
      <c r="H292" s="3" t="str">
        <f aca="false">PROPER('1. Raw Data'!H291)</f>
        <v>No</v>
      </c>
      <c r="I292" s="3" t="n">
        <f aca="false">'1. Raw Data'!I291</f>
        <v>4</v>
      </c>
      <c r="J292" s="3" t="n">
        <f aca="false">'1. Raw Data'!J291</f>
        <v>4</v>
      </c>
      <c r="K292" s="3" t="n">
        <f aca="false">'1. Raw Data'!K291</f>
        <v>1</v>
      </c>
      <c r="L292" s="3" t="n">
        <f aca="false">'1. Raw Data'!L291</f>
        <v>4</v>
      </c>
      <c r="M292" s="3" t="n">
        <f aca="false">'1. Raw Data'!M291</f>
        <v>1</v>
      </c>
      <c r="N292" s="3" t="str">
        <f aca="false">'1. Raw Data'!N291</f>
        <v>No</v>
      </c>
    </row>
    <row r="293" customFormat="false" ht="15" hidden="false" customHeight="false" outlineLevel="0" collapsed="false">
      <c r="A293" s="3" t="str">
        <f aca="false">'1. Raw Data'!A292</f>
        <v>EMP-0291</v>
      </c>
      <c r="B293" s="3" t="n">
        <f aca="false">'1. Raw Data'!B292</f>
        <v>27</v>
      </c>
      <c r="C293" s="3" t="str">
        <f aca="false">'1. Raw Data'!C292</f>
        <v>Finance</v>
      </c>
      <c r="D293" s="3" t="str">
        <f aca="false">'1. Raw Data'!D292</f>
        <v>Senior</v>
      </c>
      <c r="E293" s="3" t="str">
        <f aca="false">'1. Raw Data'!E292</f>
        <v>Business</v>
      </c>
      <c r="F293" s="3" t="n">
        <f aca="false">'1. Raw Data'!F292</f>
        <v>1.6</v>
      </c>
      <c r="G293" s="3" t="n">
        <f aca="false">IF('1. Raw Data'!G292="",ROUND(IFERROR(AVERAGEIFS('1. Raw Data'!G2:G1201,'1. Raw Data'!C2:C1201,'1. Raw Data'!C292,'1. Raw Data'!D2:D1201,'1. Raw Data'!D292),0),2),'1. Raw Data'!G292)</f>
        <v>7393.65</v>
      </c>
      <c r="H293" s="3" t="str">
        <f aca="false">PROPER('1. Raw Data'!H292)</f>
        <v>Yes</v>
      </c>
      <c r="I293" s="3" t="n">
        <f aca="false">'1. Raw Data'!I292</f>
        <v>4</v>
      </c>
      <c r="J293" s="3" t="n">
        <f aca="false">'1. Raw Data'!J292</f>
        <v>4</v>
      </c>
      <c r="K293" s="3" t="n">
        <f aca="false">'1. Raw Data'!K292</f>
        <v>2</v>
      </c>
      <c r="L293" s="3" t="n">
        <f aca="false">'1. Raw Data'!L292</f>
        <v>1</v>
      </c>
      <c r="M293" s="3" t="n">
        <f aca="false">'1. Raw Data'!M292</f>
        <v>0</v>
      </c>
      <c r="N293" s="3" t="str">
        <f aca="false">'1. Raw Data'!N292</f>
        <v>Yes</v>
      </c>
    </row>
    <row r="294" customFormat="false" ht="15" hidden="false" customHeight="false" outlineLevel="0" collapsed="false">
      <c r="A294" s="3" t="str">
        <f aca="false">'1. Raw Data'!A293</f>
        <v>EMP-0292</v>
      </c>
      <c r="B294" s="3" t="n">
        <f aca="false">'1. Raw Data'!B293</f>
        <v>24</v>
      </c>
      <c r="C294" s="3" t="str">
        <f aca="false">'1. Raw Data'!C293</f>
        <v>Marketing</v>
      </c>
      <c r="D294" s="3" t="str">
        <f aca="false">'1. Raw Data'!D293</f>
        <v>Junior</v>
      </c>
      <c r="E294" s="3" t="str">
        <f aca="false">'1. Raw Data'!E293</f>
        <v>Business</v>
      </c>
      <c r="F294" s="3" t="n">
        <f aca="false">'1. Raw Data'!F293</f>
        <v>3</v>
      </c>
      <c r="G294" s="3" t="n">
        <f aca="false">IF('1. Raw Data'!G293="",ROUND(IFERROR(AVERAGEIFS('1. Raw Data'!G2:G1201,'1. Raw Data'!C2:C1201,'1. Raw Data'!C293,'1. Raw Data'!D2:D1201,'1. Raw Data'!D293),0),2),'1. Raw Data'!G293)</f>
        <v>2991.65</v>
      </c>
      <c r="H294" s="3" t="str">
        <f aca="false">PROPER('1. Raw Data'!H293)</f>
        <v>No</v>
      </c>
      <c r="I294" s="3" t="n">
        <f aca="false">'1. Raw Data'!I293</f>
        <v>1</v>
      </c>
      <c r="J294" s="3" t="n">
        <f aca="false">'1. Raw Data'!J293</f>
        <v>2</v>
      </c>
      <c r="K294" s="3" t="n">
        <f aca="false">'1. Raw Data'!K293</f>
        <v>1</v>
      </c>
      <c r="L294" s="3" t="n">
        <f aca="false">'1. Raw Data'!L293</f>
        <v>2</v>
      </c>
      <c r="M294" s="3" t="n">
        <f aca="false">'1. Raw Data'!M293</f>
        <v>0</v>
      </c>
      <c r="N294" s="3" t="str">
        <f aca="false">'1. Raw Data'!N293</f>
        <v>No</v>
      </c>
    </row>
    <row r="295" customFormat="false" ht="15" hidden="false" customHeight="false" outlineLevel="0" collapsed="false">
      <c r="A295" s="3" t="str">
        <f aca="false">'1. Raw Data'!A294</f>
        <v>EMP-0293</v>
      </c>
      <c r="B295" s="3" t="n">
        <f aca="false">'1. Raw Data'!B294</f>
        <v>35</v>
      </c>
      <c r="C295" s="3" t="str">
        <f aca="false">'1. Raw Data'!C294</f>
        <v>Sales</v>
      </c>
      <c r="D295" s="3" t="str">
        <f aca="false">'1. Raw Data'!D294</f>
        <v>Lead</v>
      </c>
      <c r="E295" s="3" t="str">
        <f aca="false">'1. Raw Data'!E294</f>
        <v>Technical</v>
      </c>
      <c r="F295" s="3" t="n">
        <f aca="false">'1. Raw Data'!F294</f>
        <v>1.2</v>
      </c>
      <c r="G295" s="3" t="n">
        <f aca="false">IF('1. Raw Data'!G294="",ROUND(IFERROR(AVERAGEIFS('1. Raw Data'!G2:G1201,'1. Raw Data'!C2:C1201,'1. Raw Data'!C294,'1. Raw Data'!D2:D1201,'1. Raw Data'!D294),0),2),'1. Raw Data'!G294)</f>
        <v>8435.35</v>
      </c>
      <c r="H295" s="3" t="str">
        <f aca="false">PROPER('1. Raw Data'!H294)</f>
        <v>No</v>
      </c>
      <c r="I295" s="3" t="n">
        <f aca="false">'1. Raw Data'!I294</f>
        <v>1</v>
      </c>
      <c r="J295" s="3" t="n">
        <f aca="false">'1. Raw Data'!J294</f>
        <v>3</v>
      </c>
      <c r="K295" s="3" t="n">
        <f aca="false">'1. Raw Data'!K294</f>
        <v>3</v>
      </c>
      <c r="L295" s="3" t="n">
        <f aca="false">'1. Raw Data'!L294</f>
        <v>1</v>
      </c>
      <c r="M295" s="3" t="n">
        <f aca="false">'1. Raw Data'!M294</f>
        <v>5</v>
      </c>
      <c r="N295" s="3" t="str">
        <f aca="false">'1. Raw Data'!N294</f>
        <v>No</v>
      </c>
    </row>
    <row r="296" customFormat="false" ht="15" hidden="false" customHeight="false" outlineLevel="0" collapsed="false">
      <c r="A296" s="3" t="str">
        <f aca="false">'1. Raw Data'!A295</f>
        <v>EMP-0294</v>
      </c>
      <c r="B296" s="3" t="n">
        <f aca="false">'1. Raw Data'!B295</f>
        <v>41</v>
      </c>
      <c r="C296" s="3" t="str">
        <f aca="false">'1. Raw Data'!C295</f>
        <v>Marketing</v>
      </c>
      <c r="D296" s="3" t="str">
        <f aca="false">'1. Raw Data'!D295</f>
        <v>Mid</v>
      </c>
      <c r="E296" s="3" t="str">
        <f aca="false">'1. Raw Data'!E295</f>
        <v>Technical</v>
      </c>
      <c r="F296" s="3" t="n">
        <f aca="false">'1. Raw Data'!F295</f>
        <v>4</v>
      </c>
      <c r="G296" s="3" t="n">
        <f aca="false">IF('1. Raw Data'!G295="",ROUND(IFERROR(AVERAGEIFS('1. Raw Data'!G2:G1201,'1. Raw Data'!C2:C1201,'1. Raw Data'!C295,'1. Raw Data'!D2:D1201,'1. Raw Data'!D295),0),2),'1. Raw Data'!G295)</f>
        <v>5337.91</v>
      </c>
      <c r="H296" s="3" t="str">
        <f aca="false">PROPER('1. Raw Data'!H295)</f>
        <v>No</v>
      </c>
      <c r="I296" s="3" t="n">
        <f aca="false">'1. Raw Data'!I295</f>
        <v>3</v>
      </c>
      <c r="J296" s="3" t="n">
        <f aca="false">'1. Raw Data'!J295</f>
        <v>4</v>
      </c>
      <c r="K296" s="3" t="n">
        <f aca="false">'1. Raw Data'!K295</f>
        <v>11</v>
      </c>
      <c r="L296" s="3" t="n">
        <f aca="false">'1. Raw Data'!L295</f>
        <v>0</v>
      </c>
      <c r="M296" s="3" t="n">
        <f aca="false">'1. Raw Data'!M295</f>
        <v>1</v>
      </c>
      <c r="N296" s="3" t="str">
        <f aca="false">'1. Raw Data'!N295</f>
        <v>Yes</v>
      </c>
    </row>
    <row r="297" customFormat="false" ht="15" hidden="false" customHeight="false" outlineLevel="0" collapsed="false">
      <c r="A297" s="3" t="str">
        <f aca="false">'1. Raw Data'!A296</f>
        <v>EMP-0295</v>
      </c>
      <c r="B297" s="3" t="n">
        <f aca="false">'1. Raw Data'!B296</f>
        <v>21</v>
      </c>
      <c r="C297" s="3" t="str">
        <f aca="false">'1. Raw Data'!C296</f>
        <v>Engineering</v>
      </c>
      <c r="D297" s="3" t="str">
        <f aca="false">'1. Raw Data'!D296</f>
        <v>Junior</v>
      </c>
      <c r="E297" s="3" t="str">
        <f aca="false">'1. Raw Data'!E296</f>
        <v>Business</v>
      </c>
      <c r="F297" s="3" t="n">
        <f aca="false">'1. Raw Data'!F296</f>
        <v>0</v>
      </c>
      <c r="G297" s="3" t="n">
        <f aca="false">IF('1. Raw Data'!G296="",ROUND(IFERROR(AVERAGEIFS('1. Raw Data'!G2:G1201,'1. Raw Data'!C2:C1201,'1. Raw Data'!C296,'1. Raw Data'!D2:D1201,'1. Raw Data'!D296),0),2),'1. Raw Data'!G296)</f>
        <v>3769.24</v>
      </c>
      <c r="H297" s="3" t="str">
        <f aca="false">PROPER('1. Raw Data'!H296)</f>
        <v>No</v>
      </c>
      <c r="I297" s="3" t="n">
        <f aca="false">'1. Raw Data'!I296</f>
        <v>3</v>
      </c>
      <c r="J297" s="3" t="n">
        <f aca="false">'1. Raw Data'!J296</f>
        <v>4</v>
      </c>
      <c r="K297" s="3" t="n">
        <f aca="false">'1. Raw Data'!K296</f>
        <v>4</v>
      </c>
      <c r="L297" s="3" t="n">
        <f aca="false">'1. Raw Data'!L296</f>
        <v>0</v>
      </c>
      <c r="M297" s="3" t="n">
        <f aca="false">'1. Raw Data'!M296</f>
        <v>2</v>
      </c>
      <c r="N297" s="3" t="str">
        <f aca="false">'1. Raw Data'!N296</f>
        <v>No</v>
      </c>
    </row>
    <row r="298" customFormat="false" ht="15" hidden="false" customHeight="false" outlineLevel="0" collapsed="false">
      <c r="A298" s="3" t="str">
        <f aca="false">'1. Raw Data'!A297</f>
        <v>EMP-0296</v>
      </c>
      <c r="B298" s="3" t="n">
        <f aca="false">'1. Raw Data'!B297</f>
        <v>24</v>
      </c>
      <c r="C298" s="3" t="str">
        <f aca="false">'1. Raw Data'!C297</f>
        <v>Sales</v>
      </c>
      <c r="D298" s="3" t="str">
        <f aca="false">'1. Raw Data'!D297</f>
        <v>Mid</v>
      </c>
      <c r="E298" s="3" t="str">
        <f aca="false">'1. Raw Data'!E297</f>
        <v>Marketing</v>
      </c>
      <c r="F298" s="3" t="n">
        <f aca="false">'1. Raw Data'!F297</f>
        <v>3</v>
      </c>
      <c r="G298" s="3" t="n">
        <f aca="false">IF('1. Raw Data'!G297="",ROUND(IFERROR(AVERAGEIFS('1. Raw Data'!G2:G1201,'1. Raw Data'!C2:C1201,'1. Raw Data'!C297,'1. Raw Data'!D2:D1201,'1. Raw Data'!D297),0),2),'1. Raw Data'!G297)</f>
        <v>4504.79</v>
      </c>
      <c r="H298" s="3" t="str">
        <f aca="false">PROPER('1. Raw Data'!H297)</f>
        <v>No</v>
      </c>
      <c r="I298" s="3" t="n">
        <f aca="false">'1. Raw Data'!I297</f>
        <v>4</v>
      </c>
      <c r="J298" s="3" t="n">
        <f aca="false">'1. Raw Data'!J297</f>
        <v>2</v>
      </c>
      <c r="K298" s="3" t="n">
        <f aca="false">'1. Raw Data'!K297</f>
        <v>5</v>
      </c>
      <c r="L298" s="3" t="n">
        <f aca="false">'1. Raw Data'!L297</f>
        <v>0</v>
      </c>
      <c r="M298" s="3" t="n">
        <f aca="false">'1. Raw Data'!M297</f>
        <v>2</v>
      </c>
      <c r="N298" s="3" t="str">
        <f aca="false">'1. Raw Data'!N297</f>
        <v>No</v>
      </c>
    </row>
    <row r="299" customFormat="false" ht="15" hidden="false" customHeight="false" outlineLevel="0" collapsed="false">
      <c r="A299" s="3" t="str">
        <f aca="false">'1. Raw Data'!A298</f>
        <v>EMP-0297</v>
      </c>
      <c r="B299" s="3" t="n">
        <f aca="false">'1. Raw Data'!B298</f>
        <v>34</v>
      </c>
      <c r="C299" s="3" t="str">
        <f aca="false">'1. Raw Data'!C298</f>
        <v>Sales</v>
      </c>
      <c r="D299" s="3" t="str">
        <f aca="false">'1. Raw Data'!D298</f>
        <v>Mid</v>
      </c>
      <c r="E299" s="3" t="str">
        <f aca="false">'1. Raw Data'!E298</f>
        <v>Technical</v>
      </c>
      <c r="F299" s="3" t="n">
        <f aca="false">'1. Raw Data'!F298</f>
        <v>0</v>
      </c>
      <c r="G299" s="3" t="n">
        <f aca="false">IF('1. Raw Data'!G298="",ROUND(IFERROR(AVERAGEIFS('1. Raw Data'!G2:G1201,'1. Raw Data'!C2:C1201,'1. Raw Data'!C298,'1. Raw Data'!D2:D1201,'1. Raw Data'!D298),0),2),'1. Raw Data'!G298)</f>
        <v>4580.91</v>
      </c>
      <c r="H299" s="3" t="str">
        <f aca="false">PROPER('1. Raw Data'!H298)</f>
        <v>No</v>
      </c>
      <c r="I299" s="3" t="n">
        <f aca="false">'1. Raw Data'!I298</f>
        <v>3</v>
      </c>
      <c r="J299" s="3" t="n">
        <f aca="false">'1. Raw Data'!J298</f>
        <v>4</v>
      </c>
      <c r="K299" s="3" t="n">
        <f aca="false">'1. Raw Data'!K298</f>
        <v>13</v>
      </c>
      <c r="L299" s="3" t="n">
        <f aca="false">'1. Raw Data'!L298</f>
        <v>0</v>
      </c>
      <c r="M299" s="3" t="n">
        <f aca="false">'1. Raw Data'!M298</f>
        <v>1</v>
      </c>
      <c r="N299" s="3" t="str">
        <f aca="false">'1. Raw Data'!N298</f>
        <v>No</v>
      </c>
    </row>
    <row r="300" customFormat="false" ht="15" hidden="false" customHeight="false" outlineLevel="0" collapsed="false">
      <c r="A300" s="3" t="str">
        <f aca="false">'1. Raw Data'!A299</f>
        <v>EMP-0298</v>
      </c>
      <c r="B300" s="3" t="n">
        <f aca="false">'1. Raw Data'!B299</f>
        <v>23</v>
      </c>
      <c r="C300" s="3" t="str">
        <f aca="false">'1. Raw Data'!C299</f>
        <v>Sales</v>
      </c>
      <c r="D300" s="3" t="str">
        <f aca="false">'1. Raw Data'!D299</f>
        <v>Lead</v>
      </c>
      <c r="E300" s="3" t="str">
        <f aca="false">'1. Raw Data'!E299</f>
        <v>Business</v>
      </c>
      <c r="F300" s="3" t="n">
        <f aca="false">'1. Raw Data'!F299</f>
        <v>0.8</v>
      </c>
      <c r="G300" s="3" t="n">
        <f aca="false">IF('1. Raw Data'!G299="",ROUND(IFERROR(AVERAGEIFS('1. Raw Data'!G2:G1201,'1. Raw Data'!C2:C1201,'1. Raw Data'!C299,'1. Raw Data'!D2:D1201,'1. Raw Data'!D299),0),2),'1. Raw Data'!G299)</f>
        <v>8324.66</v>
      </c>
      <c r="H300" s="3" t="str">
        <f aca="false">PROPER('1. Raw Data'!H299)</f>
        <v>No</v>
      </c>
      <c r="I300" s="3" t="n">
        <f aca="false">'1. Raw Data'!I299</f>
        <v>3</v>
      </c>
      <c r="J300" s="3" t="n">
        <f aca="false">'1. Raw Data'!J299</f>
        <v>2</v>
      </c>
      <c r="K300" s="3" t="n">
        <f aca="false">'1. Raw Data'!K299</f>
        <v>1</v>
      </c>
      <c r="L300" s="3" t="n">
        <f aca="false">'1. Raw Data'!L299</f>
        <v>0</v>
      </c>
      <c r="M300" s="3" t="n">
        <f aca="false">'1. Raw Data'!M299</f>
        <v>2</v>
      </c>
      <c r="N300" s="3" t="str">
        <f aca="false">'1. Raw Data'!N299</f>
        <v>No</v>
      </c>
    </row>
    <row r="301" customFormat="false" ht="15" hidden="false" customHeight="false" outlineLevel="0" collapsed="false">
      <c r="A301" s="3" t="str">
        <f aca="false">'1. Raw Data'!A300</f>
        <v>EMP-0299</v>
      </c>
      <c r="B301" s="3" t="n">
        <f aca="false">'1. Raw Data'!B300</f>
        <v>23</v>
      </c>
      <c r="C301" s="3" t="str">
        <f aca="false">'1. Raw Data'!C300</f>
        <v>Customer Support</v>
      </c>
      <c r="D301" s="3" t="str">
        <f aca="false">'1. Raw Data'!D300</f>
        <v>Mid</v>
      </c>
      <c r="E301" s="3" t="str">
        <f aca="false">'1. Raw Data'!E300</f>
        <v>Technical</v>
      </c>
      <c r="F301" s="3" t="n">
        <f aca="false">'1. Raw Data'!F300</f>
        <v>2</v>
      </c>
      <c r="G301" s="3" t="n">
        <f aca="false">IF('1. Raw Data'!G300="",ROUND(IFERROR(AVERAGEIFS('1. Raw Data'!G2:G1201,'1. Raw Data'!C2:C1201,'1. Raw Data'!C300,'1. Raw Data'!D2:D1201,'1. Raw Data'!D300),0),2),'1. Raw Data'!G300)</f>
        <v>4307.1</v>
      </c>
      <c r="H301" s="3" t="str">
        <f aca="false">PROPER('1. Raw Data'!H300)</f>
        <v>No</v>
      </c>
      <c r="I301" s="3" t="n">
        <f aca="false">'1. Raw Data'!I300</f>
        <v>4</v>
      </c>
      <c r="J301" s="3" t="n">
        <f aca="false">'1. Raw Data'!J300</f>
        <v>3</v>
      </c>
      <c r="K301" s="3" t="n">
        <f aca="false">'1. Raw Data'!K300</f>
        <v>4</v>
      </c>
      <c r="L301" s="3" t="n">
        <f aca="false">'1. Raw Data'!L300</f>
        <v>2</v>
      </c>
      <c r="M301" s="3" t="n">
        <f aca="false">'1. Raw Data'!M300</f>
        <v>1</v>
      </c>
      <c r="N301" s="3" t="str">
        <f aca="false">'1. Raw Data'!N300</f>
        <v>No</v>
      </c>
    </row>
    <row r="302" customFormat="false" ht="15" hidden="false" customHeight="false" outlineLevel="0" collapsed="false">
      <c r="A302" s="3" t="str">
        <f aca="false">'1. Raw Data'!A301</f>
        <v>EMP-0300</v>
      </c>
      <c r="B302" s="3" t="n">
        <f aca="false">'1. Raw Data'!B301</f>
        <v>51</v>
      </c>
      <c r="C302" s="3" t="str">
        <f aca="false">'1. Raw Data'!C301</f>
        <v>Finance</v>
      </c>
      <c r="D302" s="3" t="str">
        <f aca="false">'1. Raw Data'!D301</f>
        <v>Senior</v>
      </c>
      <c r="E302" s="3" t="str">
        <f aca="false">'1. Raw Data'!E301</f>
        <v>Other</v>
      </c>
      <c r="F302" s="3" t="n">
        <f aca="false">'1. Raw Data'!F301</f>
        <v>2.4</v>
      </c>
      <c r="G302" s="3" t="n">
        <f aca="false">IF('1. Raw Data'!G301="",ROUND(IFERROR(AVERAGEIFS('1. Raw Data'!G2:G1201,'1. Raw Data'!C2:C1201,'1. Raw Data'!C301,'1. Raw Data'!D2:D1201,'1. Raw Data'!D301),0),2),'1. Raw Data'!G301)</f>
        <v>7712.44</v>
      </c>
      <c r="H302" s="3" t="str">
        <f aca="false">PROPER('1. Raw Data'!H301)</f>
        <v>Yes</v>
      </c>
      <c r="I302" s="3" t="n">
        <f aca="false">'1. Raw Data'!I301</f>
        <v>4</v>
      </c>
      <c r="J302" s="3" t="n">
        <f aca="false">'1. Raw Data'!J301</f>
        <v>3</v>
      </c>
      <c r="K302" s="3" t="n">
        <f aca="false">'1. Raw Data'!K301</f>
        <v>1</v>
      </c>
      <c r="L302" s="3" t="n">
        <f aca="false">'1. Raw Data'!L301</f>
        <v>2</v>
      </c>
      <c r="M302" s="3" t="n">
        <f aca="false">'1. Raw Data'!M301</f>
        <v>5</v>
      </c>
      <c r="N302" s="3" t="str">
        <f aca="false">'1. Raw Data'!N301</f>
        <v>No</v>
      </c>
    </row>
    <row r="303" customFormat="false" ht="15" hidden="false" customHeight="false" outlineLevel="0" collapsed="false">
      <c r="A303" s="3" t="str">
        <f aca="false">'1. Raw Data'!A302</f>
        <v>EMP-0301</v>
      </c>
      <c r="B303" s="3" t="n">
        <f aca="false">'1. Raw Data'!B302</f>
        <v>43</v>
      </c>
      <c r="C303" s="3" t="str">
        <f aca="false">'1. Raw Data'!C302</f>
        <v>HR</v>
      </c>
      <c r="D303" s="3" t="str">
        <f aca="false">'1. Raw Data'!D302</f>
        <v>Junior</v>
      </c>
      <c r="E303" s="3" t="str">
        <f aca="false">'1. Raw Data'!E302</f>
        <v>Marketing</v>
      </c>
      <c r="F303" s="3" t="n">
        <f aca="false">'1. Raw Data'!F302</f>
        <v>0.5</v>
      </c>
      <c r="G303" s="3" t="n">
        <f aca="false">IF('1. Raw Data'!G302="",ROUND(IFERROR(AVERAGEIFS('1. Raw Data'!G2:G1201,'1. Raw Data'!C2:C1201,'1. Raw Data'!C302,'1. Raw Data'!D2:D1201,'1. Raw Data'!D302),0),2),'1. Raw Data'!G302)</f>
        <v>3316.97</v>
      </c>
      <c r="H303" s="3" t="str">
        <f aca="false">PROPER('1. Raw Data'!H302)</f>
        <v>No</v>
      </c>
      <c r="I303" s="3" t="n">
        <f aca="false">'1. Raw Data'!I302</f>
        <v>4</v>
      </c>
      <c r="J303" s="3" t="n">
        <f aca="false">'1. Raw Data'!J302</f>
        <v>4</v>
      </c>
      <c r="K303" s="3" t="n">
        <f aca="false">'1. Raw Data'!K302</f>
        <v>5</v>
      </c>
      <c r="L303" s="3" t="n">
        <f aca="false">'1. Raw Data'!L302</f>
        <v>0</v>
      </c>
      <c r="M303" s="3" t="n">
        <f aca="false">'1. Raw Data'!M302</f>
        <v>2</v>
      </c>
      <c r="N303" s="3" t="str">
        <f aca="false">'1. Raw Data'!N302</f>
        <v>No</v>
      </c>
    </row>
    <row r="304" customFormat="false" ht="15" hidden="false" customHeight="false" outlineLevel="0" collapsed="false">
      <c r="A304" s="3" t="str">
        <f aca="false">'1. Raw Data'!A303</f>
        <v>EMP-0302</v>
      </c>
      <c r="B304" s="3" t="n">
        <f aca="false">'1. Raw Data'!B303</f>
        <v>29</v>
      </c>
      <c r="C304" s="3" t="str">
        <f aca="false">'1. Raw Data'!C303</f>
        <v>Sales</v>
      </c>
      <c r="D304" s="3" t="str">
        <f aca="false">'1. Raw Data'!D303</f>
        <v>Junior</v>
      </c>
      <c r="E304" s="3" t="str">
        <f aca="false">'1. Raw Data'!E303</f>
        <v>Other</v>
      </c>
      <c r="F304" s="3" t="n">
        <f aca="false">'1. Raw Data'!F303</f>
        <v>2.5</v>
      </c>
      <c r="G304" s="3" t="n">
        <f aca="false">IF('1. Raw Data'!G303="",ROUND(IFERROR(AVERAGEIFS('1. Raw Data'!G2:G1201,'1. Raw Data'!C2:C1201,'1. Raw Data'!C303,'1. Raw Data'!D2:D1201,'1. Raw Data'!D303),0),2),'1. Raw Data'!G303)</f>
        <v>3209.27</v>
      </c>
      <c r="H304" s="3" t="str">
        <f aca="false">PROPER('1. Raw Data'!H303)</f>
        <v>Yes</v>
      </c>
      <c r="I304" s="3" t="n">
        <f aca="false">'1. Raw Data'!I303</f>
        <v>3</v>
      </c>
      <c r="J304" s="3" t="n">
        <f aca="false">'1. Raw Data'!J303</f>
        <v>1</v>
      </c>
      <c r="K304" s="3" t="n">
        <f aca="false">'1. Raw Data'!K303</f>
        <v>6</v>
      </c>
      <c r="L304" s="3" t="n">
        <f aca="false">'1. Raw Data'!L303</f>
        <v>0</v>
      </c>
      <c r="M304" s="3" t="n">
        <f aca="false">'1. Raw Data'!M303</f>
        <v>0</v>
      </c>
      <c r="N304" s="3" t="str">
        <f aca="false">'1. Raw Data'!N303</f>
        <v>No</v>
      </c>
    </row>
    <row r="305" customFormat="false" ht="15" hidden="false" customHeight="false" outlineLevel="0" collapsed="false">
      <c r="A305" s="3" t="str">
        <f aca="false">'1. Raw Data'!A304</f>
        <v>EMP-0303</v>
      </c>
      <c r="B305" s="3" t="n">
        <f aca="false">'1. Raw Data'!B304</f>
        <v>36</v>
      </c>
      <c r="C305" s="3" t="str">
        <f aca="false">'1. Raw Data'!C304</f>
        <v>Customer Support</v>
      </c>
      <c r="D305" s="3" t="str">
        <f aca="false">'1. Raw Data'!D304</f>
        <v>Junior</v>
      </c>
      <c r="E305" s="3" t="str">
        <f aca="false">'1. Raw Data'!E304</f>
        <v>Business</v>
      </c>
      <c r="F305" s="3" t="n">
        <f aca="false">'1. Raw Data'!F304</f>
        <v>2</v>
      </c>
      <c r="G305" s="3" t="n">
        <f aca="false">IF('1. Raw Data'!G304="",ROUND(IFERROR(AVERAGEIFS('1. Raw Data'!G2:G1201,'1. Raw Data'!C2:C1201,'1. Raw Data'!C304,'1. Raw Data'!D2:D1201,'1. Raw Data'!D304),0),2),'1. Raw Data'!G304)</f>
        <v>2992.39</v>
      </c>
      <c r="H305" s="3" t="str">
        <f aca="false">PROPER('1. Raw Data'!H304)</f>
        <v>No</v>
      </c>
      <c r="I305" s="3" t="n">
        <f aca="false">'1. Raw Data'!I304</f>
        <v>3</v>
      </c>
      <c r="J305" s="3" t="n">
        <f aca="false">'1. Raw Data'!J304</f>
        <v>4</v>
      </c>
      <c r="K305" s="3" t="n">
        <f aca="false">'1. Raw Data'!K304</f>
        <v>26</v>
      </c>
      <c r="L305" s="3" t="n">
        <f aca="false">'1. Raw Data'!L304</f>
        <v>1</v>
      </c>
      <c r="M305" s="3" t="n">
        <f aca="false">'1. Raw Data'!M304</f>
        <v>2</v>
      </c>
      <c r="N305" s="3" t="str">
        <f aca="false">'1. Raw Data'!N304</f>
        <v>No</v>
      </c>
    </row>
    <row r="306" customFormat="false" ht="15" hidden="false" customHeight="false" outlineLevel="0" collapsed="false">
      <c r="A306" s="3" t="str">
        <f aca="false">'1. Raw Data'!A305</f>
        <v>EMP-0304</v>
      </c>
      <c r="B306" s="3" t="n">
        <f aca="false">'1. Raw Data'!B305</f>
        <v>28</v>
      </c>
      <c r="C306" s="3" t="str">
        <f aca="false">'1. Raw Data'!C305</f>
        <v>Finance</v>
      </c>
      <c r="D306" s="3" t="str">
        <f aca="false">'1. Raw Data'!D305</f>
        <v>Mid</v>
      </c>
      <c r="E306" s="3" t="str">
        <f aca="false">'1. Raw Data'!E305</f>
        <v>Technical</v>
      </c>
      <c r="F306" s="3" t="n">
        <f aca="false">'1. Raw Data'!F305</f>
        <v>0.3</v>
      </c>
      <c r="G306" s="3" t="n">
        <f aca="false">IF('1. Raw Data'!G305="",ROUND(IFERROR(AVERAGEIFS('1. Raw Data'!G2:G1201,'1. Raw Data'!C2:C1201,'1. Raw Data'!C305,'1. Raw Data'!D2:D1201,'1. Raw Data'!D305),0),2),'1. Raw Data'!G305)</f>
        <v>4542.34</v>
      </c>
      <c r="H306" s="3" t="str">
        <f aca="false">PROPER('1. Raw Data'!H305)</f>
        <v>No</v>
      </c>
      <c r="I306" s="3" t="n">
        <f aca="false">'1. Raw Data'!I305</f>
        <v>4</v>
      </c>
      <c r="J306" s="3" t="n">
        <f aca="false">'1. Raw Data'!J305</f>
        <v>3</v>
      </c>
      <c r="K306" s="3" t="n">
        <f aca="false">'1. Raw Data'!K305</f>
        <v>26</v>
      </c>
      <c r="L306" s="3" t="n">
        <f aca="false">'1. Raw Data'!L305</f>
        <v>0</v>
      </c>
      <c r="M306" s="3" t="n">
        <f aca="false">'1. Raw Data'!M305</f>
        <v>2</v>
      </c>
      <c r="N306" s="3" t="str">
        <f aca="false">'1. Raw Data'!N305</f>
        <v>No</v>
      </c>
    </row>
    <row r="307" customFormat="false" ht="15" hidden="false" customHeight="false" outlineLevel="0" collapsed="false">
      <c r="A307" s="3" t="str">
        <f aca="false">'1. Raw Data'!A306</f>
        <v>EMP-0305</v>
      </c>
      <c r="B307" s="3" t="n">
        <f aca="false">'1. Raw Data'!B306</f>
        <v>35</v>
      </c>
      <c r="C307" s="3" t="str">
        <f aca="false">'1. Raw Data'!C306</f>
        <v>Customer Support</v>
      </c>
      <c r="D307" s="3" t="str">
        <f aca="false">'1. Raw Data'!D306</f>
        <v>Junior</v>
      </c>
      <c r="E307" s="3" t="str">
        <f aca="false">'1. Raw Data'!E306</f>
        <v>Technical</v>
      </c>
      <c r="F307" s="3" t="n">
        <f aca="false">'1. Raw Data'!F306</f>
        <v>0.5</v>
      </c>
      <c r="G307" s="3" t="n">
        <f aca="false">IF('1. Raw Data'!G306="",ROUND(IFERROR(AVERAGEIFS('1. Raw Data'!G2:G1201,'1. Raw Data'!C2:C1201,'1. Raw Data'!C306,'1. Raw Data'!D2:D1201,'1. Raw Data'!D306),0),2),'1. Raw Data'!G306)</f>
        <v>3022.82</v>
      </c>
      <c r="H307" s="3" t="str">
        <f aca="false">PROPER('1. Raw Data'!H306)</f>
        <v>Yes</v>
      </c>
      <c r="I307" s="3" t="n">
        <f aca="false">'1. Raw Data'!I306</f>
        <v>4</v>
      </c>
      <c r="J307" s="3" t="n">
        <f aca="false">'1. Raw Data'!J306</f>
        <v>1</v>
      </c>
      <c r="K307" s="3" t="n">
        <f aca="false">'1. Raw Data'!K306</f>
        <v>30</v>
      </c>
      <c r="L307" s="3" t="n">
        <f aca="false">'1. Raw Data'!L306</f>
        <v>0</v>
      </c>
      <c r="M307" s="3" t="n">
        <f aca="false">'1. Raw Data'!M306</f>
        <v>1</v>
      </c>
      <c r="N307" s="3" t="str">
        <f aca="false">'1. Raw Data'!N306</f>
        <v>Yes</v>
      </c>
    </row>
    <row r="308" customFormat="false" ht="15" hidden="false" customHeight="false" outlineLevel="0" collapsed="false">
      <c r="A308" s="3" t="str">
        <f aca="false">'1. Raw Data'!A307</f>
        <v>EMP-0306</v>
      </c>
      <c r="B308" s="3" t="n">
        <f aca="false">'1. Raw Data'!B307</f>
        <v>30</v>
      </c>
      <c r="C308" s="3" t="str">
        <f aca="false">'1. Raw Data'!C307</f>
        <v>Engineering</v>
      </c>
      <c r="D308" s="3" t="str">
        <f aca="false">'1. Raw Data'!D307</f>
        <v>Junior</v>
      </c>
      <c r="E308" s="3" t="str">
        <f aca="false">'1. Raw Data'!E307</f>
        <v>Marketing</v>
      </c>
      <c r="F308" s="3" t="n">
        <f aca="false">'1. Raw Data'!F307</f>
        <v>0.8</v>
      </c>
      <c r="G308" s="3" t="n">
        <f aca="false">IF('1. Raw Data'!G307="",ROUND(IFERROR(AVERAGEIFS('1. Raw Data'!G2:G1201,'1. Raw Data'!C2:C1201,'1. Raw Data'!C307,'1. Raw Data'!D2:D1201,'1. Raw Data'!D307),0),2),'1. Raw Data'!G307)</f>
        <v>3573.18</v>
      </c>
      <c r="H308" s="3" t="str">
        <f aca="false">PROPER('1. Raw Data'!H307)</f>
        <v>No</v>
      </c>
      <c r="I308" s="3" t="n">
        <f aca="false">'1. Raw Data'!I307</f>
        <v>3</v>
      </c>
      <c r="J308" s="3" t="n">
        <f aca="false">'1. Raw Data'!J307</f>
        <v>4</v>
      </c>
      <c r="K308" s="3" t="n">
        <f aca="false">'1. Raw Data'!K307</f>
        <v>10</v>
      </c>
      <c r="L308" s="3" t="n">
        <f aca="false">'1. Raw Data'!L307</f>
        <v>0</v>
      </c>
      <c r="M308" s="3" t="n">
        <f aca="false">'1. Raw Data'!M307</f>
        <v>1</v>
      </c>
      <c r="N308" s="3" t="str">
        <f aca="false">'1. Raw Data'!N307</f>
        <v>No</v>
      </c>
    </row>
    <row r="309" customFormat="false" ht="15" hidden="false" customHeight="false" outlineLevel="0" collapsed="false">
      <c r="A309" s="3" t="str">
        <f aca="false">'1. Raw Data'!A308</f>
        <v>EMP-0307</v>
      </c>
      <c r="B309" s="3" t="n">
        <f aca="false">'1. Raw Data'!B308</f>
        <v>29</v>
      </c>
      <c r="C309" s="3" t="str">
        <f aca="false">'1. Raw Data'!C308</f>
        <v>Customer Support</v>
      </c>
      <c r="D309" s="3" t="str">
        <f aca="false">'1. Raw Data'!D308</f>
        <v>Mid</v>
      </c>
      <c r="E309" s="3" t="str">
        <f aca="false">'1. Raw Data'!E308</f>
        <v>Business</v>
      </c>
      <c r="F309" s="3" t="n">
        <f aca="false">'1. Raw Data'!F308</f>
        <v>4.6</v>
      </c>
      <c r="G309" s="3" t="n">
        <f aca="false">IF('1. Raw Data'!G308="",ROUND(IFERROR(AVERAGEIFS('1. Raw Data'!G2:G1201,'1. Raw Data'!C2:C1201,'1. Raw Data'!C308,'1. Raw Data'!D2:D1201,'1. Raw Data'!D308),0),2),'1. Raw Data'!G308)</f>
        <v>4993.58</v>
      </c>
      <c r="H309" s="3" t="str">
        <f aca="false">PROPER('1. Raw Data'!H308)</f>
        <v>No</v>
      </c>
      <c r="I309" s="3" t="n">
        <f aca="false">'1. Raw Data'!I308</f>
        <v>3</v>
      </c>
      <c r="J309" s="3" t="n">
        <f aca="false">'1. Raw Data'!J308</f>
        <v>1</v>
      </c>
      <c r="K309" s="3" t="n">
        <f aca="false">'1. Raw Data'!K308</f>
        <v>35</v>
      </c>
      <c r="L309" s="3" t="n">
        <f aca="false">'1. Raw Data'!L308</f>
        <v>0</v>
      </c>
      <c r="M309" s="3" t="n">
        <f aca="false">'1. Raw Data'!M308</f>
        <v>1</v>
      </c>
      <c r="N309" s="3" t="str">
        <f aca="false">'1. Raw Data'!N308</f>
        <v>No</v>
      </c>
    </row>
    <row r="310" customFormat="false" ht="15" hidden="false" customHeight="false" outlineLevel="0" collapsed="false">
      <c r="A310" s="3" t="str">
        <f aca="false">'1. Raw Data'!A309</f>
        <v>EMP-0308</v>
      </c>
      <c r="B310" s="3" t="n">
        <f aca="false">'1. Raw Data'!B309</f>
        <v>21</v>
      </c>
      <c r="C310" s="3" t="str">
        <f aca="false">'1. Raw Data'!C309</f>
        <v>Engineering</v>
      </c>
      <c r="D310" s="3" t="str">
        <f aca="false">'1. Raw Data'!D309</f>
        <v>Mid</v>
      </c>
      <c r="E310" s="3" t="str">
        <f aca="false">'1. Raw Data'!E309</f>
        <v>Marketing</v>
      </c>
      <c r="F310" s="3" t="n">
        <f aca="false">'1. Raw Data'!F309</f>
        <v>0</v>
      </c>
      <c r="G310" s="3" t="n">
        <f aca="false">IF('1. Raw Data'!G309="",ROUND(IFERROR(AVERAGEIFS('1. Raw Data'!G2:G1201,'1. Raw Data'!C2:C1201,'1. Raw Data'!C309,'1. Raw Data'!D2:D1201,'1. Raw Data'!D309),0),2),'1. Raw Data'!G309)</f>
        <v>4563.58</v>
      </c>
      <c r="H310" s="3" t="str">
        <f aca="false">PROPER('1. Raw Data'!H309)</f>
        <v>No</v>
      </c>
      <c r="I310" s="3" t="n">
        <f aca="false">'1. Raw Data'!I309</f>
        <v>2</v>
      </c>
      <c r="J310" s="3" t="n">
        <f aca="false">'1. Raw Data'!J309</f>
        <v>4</v>
      </c>
      <c r="K310" s="3" t="n">
        <f aca="false">'1. Raw Data'!K309</f>
        <v>12</v>
      </c>
      <c r="L310" s="3" t="n">
        <f aca="false">'1. Raw Data'!L309</f>
        <v>0</v>
      </c>
      <c r="M310" s="3" t="n">
        <f aca="false">'1. Raw Data'!M309</f>
        <v>0</v>
      </c>
      <c r="N310" s="3" t="str">
        <f aca="false">'1. Raw Data'!N309</f>
        <v>Yes</v>
      </c>
    </row>
    <row r="311" customFormat="false" ht="15" hidden="false" customHeight="false" outlineLevel="0" collapsed="false">
      <c r="A311" s="3" t="str">
        <f aca="false">'1. Raw Data'!A310</f>
        <v>EMP-0309</v>
      </c>
      <c r="B311" s="3" t="n">
        <f aca="false">'1. Raw Data'!B310</f>
        <v>21</v>
      </c>
      <c r="C311" s="3" t="str">
        <f aca="false">'1. Raw Data'!C310</f>
        <v>Engineering</v>
      </c>
      <c r="D311" s="3" t="str">
        <f aca="false">'1. Raw Data'!D310</f>
        <v>Junior</v>
      </c>
      <c r="E311" s="3" t="str">
        <f aca="false">'1. Raw Data'!E310</f>
        <v>Marketing</v>
      </c>
      <c r="F311" s="3" t="n">
        <f aca="false">'1. Raw Data'!F310</f>
        <v>0</v>
      </c>
      <c r="G311" s="3" t="n">
        <f aca="false">IF('1. Raw Data'!G310="",ROUND(IFERROR(AVERAGEIFS('1. Raw Data'!G2:G1201,'1. Raw Data'!C2:C1201,'1. Raw Data'!C310,'1. Raw Data'!D2:D1201,'1. Raw Data'!D310),0),2),'1. Raw Data'!G310)</f>
        <v>2849.21</v>
      </c>
      <c r="H311" s="3" t="str">
        <f aca="false">PROPER('1. Raw Data'!H310)</f>
        <v>No</v>
      </c>
      <c r="I311" s="3" t="n">
        <f aca="false">'1. Raw Data'!I310</f>
        <v>3</v>
      </c>
      <c r="J311" s="3" t="n">
        <f aca="false">'1. Raw Data'!J310</f>
        <v>1</v>
      </c>
      <c r="K311" s="3" t="n">
        <f aca="false">'1. Raw Data'!K310</f>
        <v>10</v>
      </c>
      <c r="L311" s="3" t="n">
        <f aca="false">'1. Raw Data'!L310</f>
        <v>0</v>
      </c>
      <c r="M311" s="3" t="n">
        <f aca="false">'1. Raw Data'!M310</f>
        <v>1</v>
      </c>
      <c r="N311" s="3" t="str">
        <f aca="false">'1. Raw Data'!N310</f>
        <v>Yes</v>
      </c>
    </row>
    <row r="312" customFormat="false" ht="15" hidden="false" customHeight="false" outlineLevel="0" collapsed="false">
      <c r="A312" s="3" t="str">
        <f aca="false">'1. Raw Data'!A311</f>
        <v>EMP-0310</v>
      </c>
      <c r="B312" s="3" t="n">
        <f aca="false">'1. Raw Data'!B311</f>
        <v>37</v>
      </c>
      <c r="C312" s="3" t="str">
        <f aca="false">'1. Raw Data'!C311</f>
        <v>Customer Support</v>
      </c>
      <c r="D312" s="3" t="str">
        <f aca="false">'1. Raw Data'!D311</f>
        <v>Mid</v>
      </c>
      <c r="E312" s="3" t="str">
        <f aca="false">'1. Raw Data'!E311</f>
        <v>Other</v>
      </c>
      <c r="F312" s="3" t="n">
        <f aca="false">'1. Raw Data'!F311</f>
        <v>0.4</v>
      </c>
      <c r="G312" s="3" t="n">
        <f aca="false">IF('1. Raw Data'!G311="",ROUND(IFERROR(AVERAGEIFS('1. Raw Data'!G2:G1201,'1. Raw Data'!C2:C1201,'1. Raw Data'!C311,'1. Raw Data'!D2:D1201,'1. Raw Data'!D311),0),2),'1. Raw Data'!G311)</f>
        <v>5036.67</v>
      </c>
      <c r="H312" s="3" t="str">
        <f aca="false">PROPER('1. Raw Data'!H311)</f>
        <v>Yes</v>
      </c>
      <c r="I312" s="3" t="n">
        <f aca="false">'1. Raw Data'!I311</f>
        <v>2</v>
      </c>
      <c r="J312" s="3" t="n">
        <f aca="false">'1. Raw Data'!J311</f>
        <v>2</v>
      </c>
      <c r="K312" s="3" t="n">
        <f aca="false">'1. Raw Data'!K311</f>
        <v>40</v>
      </c>
      <c r="L312" s="3" t="n">
        <f aca="false">'1. Raw Data'!L311</f>
        <v>0</v>
      </c>
      <c r="M312" s="3" t="n">
        <f aca="false">'1. Raw Data'!M311</f>
        <v>1</v>
      </c>
      <c r="N312" s="3" t="str">
        <f aca="false">'1. Raw Data'!N311</f>
        <v>Yes</v>
      </c>
    </row>
    <row r="313" customFormat="false" ht="15" hidden="false" customHeight="false" outlineLevel="0" collapsed="false">
      <c r="A313" s="3" t="str">
        <f aca="false">'1. Raw Data'!A312</f>
        <v>EMP-0311</v>
      </c>
      <c r="B313" s="3" t="n">
        <f aca="false">'1. Raw Data'!B312</f>
        <v>22</v>
      </c>
      <c r="C313" s="3" t="str">
        <f aca="false">'1. Raw Data'!C312</f>
        <v>Sales</v>
      </c>
      <c r="D313" s="3" t="str">
        <f aca="false">'1. Raw Data'!D312</f>
        <v>Junior</v>
      </c>
      <c r="E313" s="3" t="str">
        <f aca="false">'1. Raw Data'!E312</f>
        <v>Technical</v>
      </c>
      <c r="F313" s="3" t="n">
        <f aca="false">'1. Raw Data'!F312</f>
        <v>1</v>
      </c>
      <c r="G313" s="3" t="n">
        <f aca="false">IF('1. Raw Data'!G312="",ROUND(IFERROR(AVERAGEIFS('1. Raw Data'!G2:G1201,'1. Raw Data'!C2:C1201,'1. Raw Data'!C312,'1. Raw Data'!D2:D1201,'1. Raw Data'!D312),0),2),'1. Raw Data'!G312)</f>
        <v>2979.1</v>
      </c>
      <c r="H313" s="3" t="str">
        <f aca="false">PROPER('1. Raw Data'!H312)</f>
        <v>Yes</v>
      </c>
      <c r="I313" s="3" t="n">
        <f aca="false">'1. Raw Data'!I312</f>
        <v>3</v>
      </c>
      <c r="J313" s="3" t="n">
        <f aca="false">'1. Raw Data'!J312</f>
        <v>3</v>
      </c>
      <c r="K313" s="3" t="n">
        <f aca="false">'1. Raw Data'!K312</f>
        <v>3</v>
      </c>
      <c r="L313" s="3" t="n">
        <f aca="false">'1. Raw Data'!L312</f>
        <v>1</v>
      </c>
      <c r="M313" s="3" t="n">
        <f aca="false">'1. Raw Data'!M312</f>
        <v>4</v>
      </c>
      <c r="N313" s="3" t="str">
        <f aca="false">'1. Raw Data'!N312</f>
        <v>Yes</v>
      </c>
    </row>
    <row r="314" customFormat="false" ht="15" hidden="false" customHeight="false" outlineLevel="0" collapsed="false">
      <c r="A314" s="3" t="str">
        <f aca="false">'1. Raw Data'!A313</f>
        <v>EMP-0312</v>
      </c>
      <c r="B314" s="3" t="n">
        <f aca="false">'1. Raw Data'!B313</f>
        <v>38</v>
      </c>
      <c r="C314" s="3" t="str">
        <f aca="false">'1. Raw Data'!C313</f>
        <v>Engineering</v>
      </c>
      <c r="D314" s="3" t="str">
        <f aca="false">'1. Raw Data'!D313</f>
        <v>Senior</v>
      </c>
      <c r="E314" s="3" t="str">
        <f aca="false">'1. Raw Data'!E313</f>
        <v>Other</v>
      </c>
      <c r="F314" s="3" t="n">
        <f aca="false">'1. Raw Data'!F313</f>
        <v>0</v>
      </c>
      <c r="G314" s="3" t="n">
        <f aca="false">IF('1. Raw Data'!G313="",ROUND(IFERROR(AVERAGEIFS('1. Raw Data'!G2:G1201,'1. Raw Data'!C2:C1201,'1. Raw Data'!C313,'1. Raw Data'!D2:D1201,'1. Raw Data'!D313),0),2),'1. Raw Data'!G313)</f>
        <v>6952.44</v>
      </c>
      <c r="H314" s="3" t="str">
        <f aca="false">PROPER('1. Raw Data'!H313)</f>
        <v>No</v>
      </c>
      <c r="I314" s="3" t="n">
        <f aca="false">'1. Raw Data'!I313</f>
        <v>2</v>
      </c>
      <c r="J314" s="3" t="n">
        <f aca="false">'1. Raw Data'!J313</f>
        <v>2</v>
      </c>
      <c r="K314" s="3" t="n">
        <f aca="false">'1. Raw Data'!K313</f>
        <v>4</v>
      </c>
      <c r="L314" s="3" t="n">
        <f aca="false">'1. Raw Data'!L313</f>
        <v>0</v>
      </c>
      <c r="M314" s="3" t="n">
        <f aca="false">'1. Raw Data'!M313</f>
        <v>0</v>
      </c>
      <c r="N314" s="3" t="str">
        <f aca="false">'1. Raw Data'!N313</f>
        <v>No</v>
      </c>
    </row>
    <row r="315" customFormat="false" ht="15" hidden="false" customHeight="false" outlineLevel="0" collapsed="false">
      <c r="A315" s="3" t="str">
        <f aca="false">'1. Raw Data'!A314</f>
        <v>EMP-0313</v>
      </c>
      <c r="B315" s="3" t="n">
        <f aca="false">'1. Raw Data'!B314</f>
        <v>23</v>
      </c>
      <c r="C315" s="3" t="str">
        <f aca="false">'1. Raw Data'!C314</f>
        <v>Customer Support</v>
      </c>
      <c r="D315" s="3" t="str">
        <f aca="false">'1. Raw Data'!D314</f>
        <v>Mid</v>
      </c>
      <c r="E315" s="3" t="str">
        <f aca="false">'1. Raw Data'!E314</f>
        <v>Technical</v>
      </c>
      <c r="F315" s="3" t="n">
        <f aca="false">'1. Raw Data'!F314</f>
        <v>1.2</v>
      </c>
      <c r="G315" s="3" t="n">
        <f aca="false">IF('1. Raw Data'!G314="",ROUND(IFERROR(AVERAGEIFS('1. Raw Data'!G2:G1201,'1. Raw Data'!C2:C1201,'1. Raw Data'!C314,'1. Raw Data'!D2:D1201,'1. Raw Data'!D314),0),2),'1. Raw Data'!G314)</f>
        <v>5047.74</v>
      </c>
      <c r="H315" s="3" t="str">
        <f aca="false">PROPER('1. Raw Data'!H314)</f>
        <v>Yes</v>
      </c>
      <c r="I315" s="3" t="n">
        <f aca="false">'1. Raw Data'!I314</f>
        <v>3</v>
      </c>
      <c r="J315" s="3" t="n">
        <f aca="false">'1. Raw Data'!J314</f>
        <v>3</v>
      </c>
      <c r="K315" s="3" t="n">
        <f aca="false">'1. Raw Data'!K314</f>
        <v>1</v>
      </c>
      <c r="L315" s="3" t="n">
        <f aca="false">'1. Raw Data'!L314</f>
        <v>1</v>
      </c>
      <c r="M315" s="3" t="n">
        <f aca="false">'1. Raw Data'!M314</f>
        <v>3</v>
      </c>
      <c r="N315" s="3" t="str">
        <f aca="false">'1. Raw Data'!N314</f>
        <v>No</v>
      </c>
    </row>
    <row r="316" customFormat="false" ht="15" hidden="false" customHeight="false" outlineLevel="0" collapsed="false">
      <c r="A316" s="3" t="str">
        <f aca="false">'1. Raw Data'!A315</f>
        <v>EMP-0314</v>
      </c>
      <c r="B316" s="3" t="n">
        <f aca="false">'1. Raw Data'!B315</f>
        <v>34</v>
      </c>
      <c r="C316" s="3" t="str">
        <f aca="false">'1. Raw Data'!C315</f>
        <v>Sales</v>
      </c>
      <c r="D316" s="3" t="str">
        <f aca="false">'1. Raw Data'!D315</f>
        <v>Junior</v>
      </c>
      <c r="E316" s="3" t="str">
        <f aca="false">'1. Raw Data'!E315</f>
        <v>Technical</v>
      </c>
      <c r="F316" s="3" t="n">
        <f aca="false">'1. Raw Data'!F315</f>
        <v>12</v>
      </c>
      <c r="G316" s="3" t="n">
        <f aca="false">IF('1. Raw Data'!G315="",ROUND(IFERROR(AVERAGEIFS('1. Raw Data'!G2:G1201,'1. Raw Data'!C2:C1201,'1. Raw Data'!C315,'1. Raw Data'!D2:D1201,'1. Raw Data'!D315),0),2),'1. Raw Data'!G315)</f>
        <v>3598.02</v>
      </c>
      <c r="H316" s="3" t="str">
        <f aca="false">PROPER('1. Raw Data'!H315)</f>
        <v>Yes</v>
      </c>
      <c r="I316" s="3" t="n">
        <f aca="false">'1. Raw Data'!I315</f>
        <v>3</v>
      </c>
      <c r="J316" s="3" t="n">
        <f aca="false">'1. Raw Data'!J315</f>
        <v>4</v>
      </c>
      <c r="K316" s="3" t="n">
        <f aca="false">'1. Raw Data'!K315</f>
        <v>6</v>
      </c>
      <c r="L316" s="3" t="n">
        <f aca="false">'1. Raw Data'!L315</f>
        <v>7</v>
      </c>
      <c r="M316" s="3" t="n">
        <f aca="false">'1. Raw Data'!M315</f>
        <v>1</v>
      </c>
      <c r="N316" s="3" t="str">
        <f aca="false">'1. Raw Data'!N315</f>
        <v>No</v>
      </c>
    </row>
    <row r="317" customFormat="false" ht="15" hidden="false" customHeight="false" outlineLevel="0" collapsed="false">
      <c r="A317" s="3" t="str">
        <f aca="false">'1. Raw Data'!A316</f>
        <v>EMP-0315</v>
      </c>
      <c r="B317" s="3" t="n">
        <f aca="false">'1. Raw Data'!B316</f>
        <v>38</v>
      </c>
      <c r="C317" s="3" t="str">
        <f aca="false">'1. Raw Data'!C316</f>
        <v>Customer Support</v>
      </c>
      <c r="D317" s="3" t="str">
        <f aca="false">'1. Raw Data'!D316</f>
        <v>Senior</v>
      </c>
      <c r="E317" s="3" t="str">
        <f aca="false">'1. Raw Data'!E316</f>
        <v>Business</v>
      </c>
      <c r="F317" s="3" t="n">
        <f aca="false">'1. Raw Data'!F316</f>
        <v>0.1</v>
      </c>
      <c r="G317" s="3" t="n">
        <f aca="false">IF('1. Raw Data'!G316="",ROUND(IFERROR(AVERAGEIFS('1. Raw Data'!G2:G1201,'1. Raw Data'!C2:C1201,'1. Raw Data'!C316,'1. Raw Data'!D2:D1201,'1. Raw Data'!D316),0),2),'1. Raw Data'!G316)</f>
        <v>7443.73</v>
      </c>
      <c r="H317" s="3" t="str">
        <f aca="false">PROPER('1. Raw Data'!H316)</f>
        <v>Yes</v>
      </c>
      <c r="I317" s="3" t="n">
        <f aca="false">'1. Raw Data'!I316</f>
        <v>4</v>
      </c>
      <c r="J317" s="3" t="n">
        <f aca="false">'1. Raw Data'!J316</f>
        <v>3</v>
      </c>
      <c r="K317" s="3" t="n">
        <f aca="false">'1. Raw Data'!K316</f>
        <v>3</v>
      </c>
      <c r="L317" s="3" t="n">
        <f aca="false">'1. Raw Data'!L316</f>
        <v>0</v>
      </c>
      <c r="M317" s="3" t="n">
        <f aca="false">'1. Raw Data'!M316</f>
        <v>1</v>
      </c>
      <c r="N317" s="3" t="str">
        <f aca="false">'1. Raw Data'!N316</f>
        <v>No</v>
      </c>
    </row>
    <row r="318" customFormat="false" ht="15" hidden="false" customHeight="false" outlineLevel="0" collapsed="false">
      <c r="A318" s="3" t="str">
        <f aca="false">'1. Raw Data'!A317</f>
        <v>EMP-0316</v>
      </c>
      <c r="B318" s="3" t="n">
        <f aca="false">'1. Raw Data'!B317</f>
        <v>22</v>
      </c>
      <c r="C318" s="3" t="str">
        <f aca="false">'1. Raw Data'!C317</f>
        <v>Customer Support</v>
      </c>
      <c r="D318" s="3" t="str">
        <f aca="false">'1. Raw Data'!D317</f>
        <v>Lead</v>
      </c>
      <c r="E318" s="3" t="str">
        <f aca="false">'1. Raw Data'!E317</f>
        <v>Technical</v>
      </c>
      <c r="F318" s="3" t="n">
        <f aca="false">'1. Raw Data'!F317</f>
        <v>1</v>
      </c>
      <c r="G318" s="3" t="n">
        <f aca="false">IF('1. Raw Data'!G317="",ROUND(IFERROR(AVERAGEIFS('1. Raw Data'!G2:G1201,'1. Raw Data'!C2:C1201,'1. Raw Data'!C317,'1. Raw Data'!D2:D1201,'1. Raw Data'!D317),0),2),'1. Raw Data'!G317)</f>
        <v>10426.88</v>
      </c>
      <c r="H318" s="3" t="str">
        <f aca="false">PROPER('1. Raw Data'!H317)</f>
        <v>Yes</v>
      </c>
      <c r="I318" s="3" t="n">
        <f aca="false">'1. Raw Data'!I317</f>
        <v>3</v>
      </c>
      <c r="J318" s="3" t="n">
        <f aca="false">'1. Raw Data'!J317</f>
        <v>2</v>
      </c>
      <c r="K318" s="3" t="n">
        <f aca="false">'1. Raw Data'!K317</f>
        <v>1</v>
      </c>
      <c r="L318" s="3" t="n">
        <f aca="false">'1. Raw Data'!L317</f>
        <v>1</v>
      </c>
      <c r="M318" s="3" t="n">
        <f aca="false">'1. Raw Data'!M317</f>
        <v>0</v>
      </c>
      <c r="N318" s="3" t="str">
        <f aca="false">'1. Raw Data'!N317</f>
        <v>Yes</v>
      </c>
    </row>
    <row r="319" customFormat="false" ht="15" hidden="false" customHeight="false" outlineLevel="0" collapsed="false">
      <c r="A319" s="3" t="str">
        <f aca="false">'1. Raw Data'!A318</f>
        <v>EMP-0317</v>
      </c>
      <c r="B319" s="3" t="n">
        <f aca="false">'1. Raw Data'!B318</f>
        <v>34</v>
      </c>
      <c r="C319" s="3" t="str">
        <f aca="false">'1. Raw Data'!C318</f>
        <v>Sales</v>
      </c>
      <c r="D319" s="3" t="str">
        <f aca="false">'1. Raw Data'!D318</f>
        <v>Junior</v>
      </c>
      <c r="E319" s="3" t="str">
        <f aca="false">'1. Raw Data'!E318</f>
        <v>Technical</v>
      </c>
      <c r="F319" s="3" t="n">
        <f aca="false">'1. Raw Data'!F318</f>
        <v>1.6</v>
      </c>
      <c r="G319" s="3" t="n">
        <f aca="false">IF('1. Raw Data'!G318="",ROUND(IFERROR(AVERAGEIFS('1. Raw Data'!G2:G1201,'1. Raw Data'!C2:C1201,'1. Raw Data'!C318,'1. Raw Data'!D2:D1201,'1. Raw Data'!D318),0),2),'1. Raw Data'!G318)</f>
        <v>3777.76</v>
      </c>
      <c r="H319" s="3" t="str">
        <f aca="false">PROPER('1. Raw Data'!H318)</f>
        <v>No</v>
      </c>
      <c r="I319" s="3" t="n">
        <f aca="false">'1. Raw Data'!I318</f>
        <v>4</v>
      </c>
      <c r="J319" s="3" t="n">
        <f aca="false">'1. Raw Data'!J318</f>
        <v>2</v>
      </c>
      <c r="K319" s="3" t="n">
        <f aca="false">'1. Raw Data'!K318</f>
        <v>17</v>
      </c>
      <c r="L319" s="3" t="n">
        <f aca="false">'1. Raw Data'!L318</f>
        <v>1</v>
      </c>
      <c r="M319" s="3" t="n">
        <f aca="false">'1. Raw Data'!M318</f>
        <v>2</v>
      </c>
      <c r="N319" s="3" t="str">
        <f aca="false">'1. Raw Data'!N318</f>
        <v>No</v>
      </c>
    </row>
    <row r="320" customFormat="false" ht="15" hidden="false" customHeight="false" outlineLevel="0" collapsed="false">
      <c r="A320" s="3" t="str">
        <f aca="false">'1. Raw Data'!A319</f>
        <v>EMP-0318</v>
      </c>
      <c r="B320" s="3" t="n">
        <f aca="false">'1. Raw Data'!B319</f>
        <v>35</v>
      </c>
      <c r="C320" s="3" t="str">
        <f aca="false">'1. Raw Data'!C319</f>
        <v>Marketing</v>
      </c>
      <c r="D320" s="3" t="str">
        <f aca="false">'1. Raw Data'!D319</f>
        <v>Junior</v>
      </c>
      <c r="E320" s="3" t="str">
        <f aca="false">'1. Raw Data'!E319</f>
        <v>Other</v>
      </c>
      <c r="F320" s="3" t="n">
        <f aca="false">'1. Raw Data'!F319</f>
        <v>2.2</v>
      </c>
      <c r="G320" s="3" t="n">
        <f aca="false">IF('1. Raw Data'!G319="",ROUND(IFERROR(AVERAGEIFS('1. Raw Data'!G2:G1201,'1. Raw Data'!C2:C1201,'1. Raw Data'!C319,'1. Raw Data'!D2:D1201,'1. Raw Data'!D319),0),2),'1. Raw Data'!G319)</f>
        <v>3285.25</v>
      </c>
      <c r="H320" s="3" t="str">
        <f aca="false">PROPER('1. Raw Data'!H319)</f>
        <v>No</v>
      </c>
      <c r="I320" s="3" t="n">
        <f aca="false">'1. Raw Data'!I319</f>
        <v>4</v>
      </c>
      <c r="J320" s="3" t="n">
        <f aca="false">'1. Raw Data'!J319</f>
        <v>2</v>
      </c>
      <c r="K320" s="3" t="n">
        <f aca="false">'1. Raw Data'!K319</f>
        <v>1</v>
      </c>
      <c r="L320" s="3" t="n">
        <f aca="false">'1. Raw Data'!L319</f>
        <v>0</v>
      </c>
      <c r="M320" s="3" t="n">
        <f aca="false">'1. Raw Data'!M319</f>
        <v>1</v>
      </c>
      <c r="N320" s="3" t="str">
        <f aca="false">'1. Raw Data'!N319</f>
        <v>No</v>
      </c>
    </row>
    <row r="321" customFormat="false" ht="15" hidden="false" customHeight="false" outlineLevel="0" collapsed="false">
      <c r="A321" s="3" t="str">
        <f aca="false">'1. Raw Data'!A320</f>
        <v>EMP-0319</v>
      </c>
      <c r="B321" s="3" t="n">
        <f aca="false">'1. Raw Data'!B320</f>
        <v>32</v>
      </c>
      <c r="C321" s="3" t="str">
        <f aca="false">'1. Raw Data'!C320</f>
        <v>Finance</v>
      </c>
      <c r="D321" s="3" t="str">
        <f aca="false">'1. Raw Data'!D320</f>
        <v>Senior</v>
      </c>
      <c r="E321" s="3" t="str">
        <f aca="false">'1. Raw Data'!E320</f>
        <v>Technical</v>
      </c>
      <c r="F321" s="3" t="n">
        <f aca="false">'1. Raw Data'!F320</f>
        <v>6.9</v>
      </c>
      <c r="G321" s="3" t="n">
        <f aca="false">IF('1. Raw Data'!G320="",ROUND(IFERROR(AVERAGEIFS('1. Raw Data'!G2:G1201,'1. Raw Data'!C2:C1201,'1. Raw Data'!C320,'1. Raw Data'!D2:D1201,'1. Raw Data'!D320),0),2),'1. Raw Data'!G320)</f>
        <v>7333.48</v>
      </c>
      <c r="H321" s="3" t="str">
        <f aca="false">PROPER('1. Raw Data'!H320)</f>
        <v>No</v>
      </c>
      <c r="I321" s="3" t="n">
        <f aca="false">'1. Raw Data'!I320</f>
        <v>2</v>
      </c>
      <c r="J321" s="3" t="n">
        <f aca="false">'1. Raw Data'!J320</f>
        <v>3</v>
      </c>
      <c r="K321" s="3" t="n">
        <f aca="false">'1. Raw Data'!K320</f>
        <v>2</v>
      </c>
      <c r="L321" s="3" t="n">
        <f aca="false">'1. Raw Data'!L320</f>
        <v>2</v>
      </c>
      <c r="M321" s="3" t="n">
        <f aca="false">'1. Raw Data'!M320</f>
        <v>2</v>
      </c>
      <c r="N321" s="3" t="str">
        <f aca="false">'1. Raw Data'!N320</f>
        <v>Yes</v>
      </c>
    </row>
    <row r="322" customFormat="false" ht="15" hidden="false" customHeight="false" outlineLevel="0" collapsed="false">
      <c r="A322" s="3" t="str">
        <f aca="false">'1. Raw Data'!A321</f>
        <v>EMP-0320</v>
      </c>
      <c r="B322" s="3" t="n">
        <f aca="false">'1. Raw Data'!B321</f>
        <v>38</v>
      </c>
      <c r="C322" s="3" t="str">
        <f aca="false">'1. Raw Data'!C321</f>
        <v>Engineering</v>
      </c>
      <c r="D322" s="3" t="str">
        <f aca="false">'1. Raw Data'!D321</f>
        <v>Senior</v>
      </c>
      <c r="E322" s="3" t="str">
        <f aca="false">'1. Raw Data'!E321</f>
        <v>Business</v>
      </c>
      <c r="F322" s="3" t="n">
        <f aca="false">'1. Raw Data'!F321</f>
        <v>6.6</v>
      </c>
      <c r="G322" s="3" t="n">
        <f aca="false">IF('1. Raw Data'!G321="",ROUND(IFERROR(AVERAGEIFS('1. Raw Data'!G2:G1201,'1. Raw Data'!C2:C1201,'1. Raw Data'!C321,'1. Raw Data'!D2:D1201,'1. Raw Data'!D321),0),2),'1. Raw Data'!G321)</f>
        <v>8064.39</v>
      </c>
      <c r="H322" s="3" t="str">
        <f aca="false">PROPER('1. Raw Data'!H321)</f>
        <v>No</v>
      </c>
      <c r="I322" s="3" t="n">
        <f aca="false">'1. Raw Data'!I321</f>
        <v>4</v>
      </c>
      <c r="J322" s="3" t="n">
        <f aca="false">'1. Raw Data'!J321</f>
        <v>4</v>
      </c>
      <c r="K322" s="3" t="n">
        <f aca="false">'1. Raw Data'!K321</f>
        <v>1</v>
      </c>
      <c r="L322" s="3" t="n">
        <f aca="false">'1. Raw Data'!L321</f>
        <v>0</v>
      </c>
      <c r="M322" s="3" t="n">
        <f aca="false">'1. Raw Data'!M321</f>
        <v>2</v>
      </c>
      <c r="N322" s="3" t="str">
        <f aca="false">'1. Raw Data'!N321</f>
        <v>No</v>
      </c>
    </row>
    <row r="323" customFormat="false" ht="15" hidden="false" customHeight="false" outlineLevel="0" collapsed="false">
      <c r="A323" s="3" t="str">
        <f aca="false">'1. Raw Data'!A322</f>
        <v>EMP-0321</v>
      </c>
      <c r="B323" s="3" t="n">
        <f aca="false">'1. Raw Data'!B322</f>
        <v>31</v>
      </c>
      <c r="C323" s="3" t="str">
        <f aca="false">'1. Raw Data'!C322</f>
        <v>Marketing</v>
      </c>
      <c r="D323" s="3" t="str">
        <f aca="false">'1. Raw Data'!D322</f>
        <v>Mid</v>
      </c>
      <c r="E323" s="3" t="str">
        <f aca="false">'1. Raw Data'!E322</f>
        <v>Business</v>
      </c>
      <c r="F323" s="3" t="n">
        <f aca="false">'1. Raw Data'!F322</f>
        <v>7</v>
      </c>
      <c r="G323" s="3" t="n">
        <f aca="false">IF('1. Raw Data'!G322="",ROUND(IFERROR(AVERAGEIFS('1. Raw Data'!G2:G1201,'1. Raw Data'!C2:C1201,'1. Raw Data'!C322,'1. Raw Data'!D2:D1201,'1. Raw Data'!D322),0),2),'1. Raw Data'!G322)</f>
        <v>5521.76</v>
      </c>
      <c r="H323" s="3" t="str">
        <f aca="false">PROPER('1. Raw Data'!H322)</f>
        <v>No</v>
      </c>
      <c r="I323" s="3" t="n">
        <f aca="false">'1. Raw Data'!I322</f>
        <v>4</v>
      </c>
      <c r="J323" s="3" t="n">
        <f aca="false">'1. Raw Data'!J322</f>
        <v>1</v>
      </c>
      <c r="K323" s="3" t="n">
        <f aca="false">'1. Raw Data'!K322</f>
        <v>1</v>
      </c>
      <c r="L323" s="3" t="n">
        <f aca="false">'1. Raw Data'!L322</f>
        <v>1</v>
      </c>
      <c r="M323" s="3" t="n">
        <f aca="false">'1. Raw Data'!M322</f>
        <v>2</v>
      </c>
      <c r="N323" s="3" t="str">
        <f aca="false">'1. Raw Data'!N322</f>
        <v>No</v>
      </c>
    </row>
    <row r="324" customFormat="false" ht="15" hidden="false" customHeight="false" outlineLevel="0" collapsed="false">
      <c r="A324" s="3" t="str">
        <f aca="false">'1. Raw Data'!A323</f>
        <v>EMP-0322</v>
      </c>
      <c r="B324" s="3" t="n">
        <f aca="false">'1. Raw Data'!B323</f>
        <v>21</v>
      </c>
      <c r="C324" s="3" t="str">
        <f aca="false">'1. Raw Data'!C323</f>
        <v>Customer Support</v>
      </c>
      <c r="D324" s="3" t="str">
        <f aca="false">'1. Raw Data'!D323</f>
        <v>Mid</v>
      </c>
      <c r="E324" s="3" t="str">
        <f aca="false">'1. Raw Data'!E323</f>
        <v>Business</v>
      </c>
      <c r="F324" s="3" t="n">
        <f aca="false">'1. Raw Data'!F323</f>
        <v>0</v>
      </c>
      <c r="G324" s="3" t="n">
        <f aca="false">IF('1. Raw Data'!G323="",ROUND(IFERROR(AVERAGEIFS('1. Raw Data'!G2:G1201,'1. Raw Data'!C2:C1201,'1. Raw Data'!C323,'1. Raw Data'!D2:D1201,'1. Raw Data'!D323),0),2),'1. Raw Data'!G323)</f>
        <v>4897.71</v>
      </c>
      <c r="H324" s="3" t="str">
        <f aca="false">PROPER('1. Raw Data'!H323)</f>
        <v>Yes</v>
      </c>
      <c r="I324" s="3" t="n">
        <f aca="false">'1. Raw Data'!I323</f>
        <v>4</v>
      </c>
      <c r="J324" s="3" t="n">
        <f aca="false">'1. Raw Data'!J323</f>
        <v>4</v>
      </c>
      <c r="K324" s="3" t="n">
        <f aca="false">'1. Raw Data'!K323</f>
        <v>7</v>
      </c>
      <c r="L324" s="3" t="n">
        <f aca="false">'1. Raw Data'!L323</f>
        <v>0</v>
      </c>
      <c r="M324" s="3" t="n">
        <f aca="false">'1. Raw Data'!M323</f>
        <v>6</v>
      </c>
      <c r="N324" s="3" t="str">
        <f aca="false">'1. Raw Data'!N323</f>
        <v>No</v>
      </c>
    </row>
    <row r="325" customFormat="false" ht="15" hidden="false" customHeight="false" outlineLevel="0" collapsed="false">
      <c r="A325" s="3" t="str">
        <f aca="false">'1. Raw Data'!A324</f>
        <v>EMP-0323</v>
      </c>
      <c r="B325" s="3" t="n">
        <f aca="false">'1. Raw Data'!B324</f>
        <v>40</v>
      </c>
      <c r="C325" s="3" t="str">
        <f aca="false">'1. Raw Data'!C324</f>
        <v>Marketing</v>
      </c>
      <c r="D325" s="3" t="str">
        <f aca="false">'1. Raw Data'!D324</f>
        <v>Mid</v>
      </c>
      <c r="E325" s="3" t="str">
        <f aca="false">'1. Raw Data'!E324</f>
        <v>Technical</v>
      </c>
      <c r="F325" s="3" t="n">
        <f aca="false">'1. Raw Data'!F324</f>
        <v>0.6</v>
      </c>
      <c r="G325" s="3" t="n">
        <f aca="false">IF('1. Raw Data'!G324="",ROUND(IFERROR(AVERAGEIFS('1. Raw Data'!G2:G1201,'1. Raw Data'!C2:C1201,'1. Raw Data'!C324,'1. Raw Data'!D2:D1201,'1. Raw Data'!D324),0),2),'1. Raw Data'!G324)</f>
        <v>4655.16</v>
      </c>
      <c r="H325" s="3" t="str">
        <f aca="false">PROPER('1. Raw Data'!H324)</f>
        <v>No</v>
      </c>
      <c r="I325" s="3" t="n">
        <f aca="false">'1. Raw Data'!I324</f>
        <v>3</v>
      </c>
      <c r="J325" s="3" t="n">
        <f aca="false">'1. Raw Data'!J324</f>
        <v>3</v>
      </c>
      <c r="K325" s="3" t="n">
        <f aca="false">'1. Raw Data'!K324</f>
        <v>8</v>
      </c>
      <c r="L325" s="3" t="n">
        <f aca="false">'1. Raw Data'!L324</f>
        <v>0</v>
      </c>
      <c r="M325" s="3" t="n">
        <f aca="false">'1. Raw Data'!M324</f>
        <v>2</v>
      </c>
      <c r="N325" s="3" t="str">
        <f aca="false">'1. Raw Data'!N324</f>
        <v>No</v>
      </c>
    </row>
    <row r="326" customFormat="false" ht="15" hidden="false" customHeight="false" outlineLevel="0" collapsed="false">
      <c r="A326" s="3" t="str">
        <f aca="false">'1. Raw Data'!A325</f>
        <v>EMP-0324</v>
      </c>
      <c r="B326" s="3" t="n">
        <f aca="false">'1. Raw Data'!B325</f>
        <v>24</v>
      </c>
      <c r="C326" s="3" t="str">
        <f aca="false">'1. Raw Data'!C325</f>
        <v>Customer Support</v>
      </c>
      <c r="D326" s="3" t="str">
        <f aca="false">'1. Raw Data'!D325</f>
        <v>Senior</v>
      </c>
      <c r="E326" s="3" t="str">
        <f aca="false">'1. Raw Data'!E325</f>
        <v>Other</v>
      </c>
      <c r="F326" s="3" t="n">
        <f aca="false">'1. Raw Data'!F325</f>
        <v>1.4</v>
      </c>
      <c r="G326" s="3" t="n">
        <f aca="false">IF('1. Raw Data'!G325="",ROUND(IFERROR(AVERAGEIFS('1. Raw Data'!G2:G1201,'1. Raw Data'!C2:C1201,'1. Raw Data'!C325,'1. Raw Data'!D2:D1201,'1. Raw Data'!D325),0),2),'1. Raw Data'!G325)</f>
        <v>6785</v>
      </c>
      <c r="H326" s="3" t="str">
        <f aca="false">PROPER('1. Raw Data'!H325)</f>
        <v>Yes</v>
      </c>
      <c r="I326" s="3" t="n">
        <f aca="false">'1. Raw Data'!I325</f>
        <v>3</v>
      </c>
      <c r="J326" s="3" t="n">
        <f aca="false">'1. Raw Data'!J325</f>
        <v>4</v>
      </c>
      <c r="K326" s="3" t="n">
        <f aca="false">'1. Raw Data'!K325</f>
        <v>1</v>
      </c>
      <c r="L326" s="3" t="n">
        <f aca="false">'1. Raw Data'!L325</f>
        <v>1</v>
      </c>
      <c r="M326" s="3" t="n">
        <f aca="false">'1. Raw Data'!M325</f>
        <v>0</v>
      </c>
      <c r="N326" s="3" t="str">
        <f aca="false">'1. Raw Data'!N325</f>
        <v>No</v>
      </c>
    </row>
    <row r="327" customFormat="false" ht="15" hidden="false" customHeight="false" outlineLevel="0" collapsed="false">
      <c r="A327" s="3" t="str">
        <f aca="false">'1. Raw Data'!A326</f>
        <v>EMP-0325</v>
      </c>
      <c r="B327" s="3" t="n">
        <f aca="false">'1. Raw Data'!B326</f>
        <v>26</v>
      </c>
      <c r="C327" s="3" t="str">
        <f aca="false">'1. Raw Data'!C326</f>
        <v>Customer Support</v>
      </c>
      <c r="D327" s="3" t="str">
        <f aca="false">'1. Raw Data'!D326</f>
        <v>Junior</v>
      </c>
      <c r="E327" s="3" t="str">
        <f aca="false">'1. Raw Data'!E326</f>
        <v>Other</v>
      </c>
      <c r="F327" s="3" t="n">
        <f aca="false">'1. Raw Data'!F326</f>
        <v>3.3</v>
      </c>
      <c r="G327" s="3" t="n">
        <f aca="false">IF('1. Raw Data'!G326="",ROUND(IFERROR(AVERAGEIFS('1. Raw Data'!G2:G1201,'1. Raw Data'!C2:C1201,'1. Raw Data'!C326,'1. Raw Data'!D2:D1201,'1. Raw Data'!D326),0),2),'1. Raw Data'!G326)</f>
        <v>3239.61</v>
      </c>
      <c r="H327" s="3" t="str">
        <f aca="false">PROPER('1. Raw Data'!H326)</f>
        <v>Yes</v>
      </c>
      <c r="I327" s="3" t="n">
        <f aca="false">'1. Raw Data'!I326</f>
        <v>2</v>
      </c>
      <c r="J327" s="3" t="n">
        <f aca="false">'1. Raw Data'!J326</f>
        <v>4</v>
      </c>
      <c r="K327" s="3" t="n">
        <f aca="false">'1. Raw Data'!K326</f>
        <v>2</v>
      </c>
      <c r="L327" s="3" t="n">
        <f aca="false">'1. Raw Data'!L326</f>
        <v>2</v>
      </c>
      <c r="M327" s="3" t="n">
        <f aca="false">'1. Raw Data'!M326</f>
        <v>0</v>
      </c>
      <c r="N327" s="3" t="str">
        <f aca="false">'1. Raw Data'!N326</f>
        <v>No</v>
      </c>
    </row>
    <row r="328" customFormat="false" ht="15" hidden="false" customHeight="false" outlineLevel="0" collapsed="false">
      <c r="A328" s="3" t="str">
        <f aca="false">'1. Raw Data'!A327</f>
        <v>EMP-0326</v>
      </c>
      <c r="B328" s="3" t="n">
        <f aca="false">'1. Raw Data'!B327</f>
        <v>22</v>
      </c>
      <c r="C328" s="3" t="str">
        <f aca="false">'1. Raw Data'!C327</f>
        <v>Sales</v>
      </c>
      <c r="D328" s="3" t="str">
        <f aca="false">'1. Raw Data'!D327</f>
        <v>Junior</v>
      </c>
      <c r="E328" s="3" t="str">
        <f aca="false">'1. Raw Data'!E327</f>
        <v>Other</v>
      </c>
      <c r="F328" s="3" t="n">
        <f aca="false">'1. Raw Data'!F327</f>
        <v>1</v>
      </c>
      <c r="G328" s="3" t="n">
        <f aca="false">IF('1. Raw Data'!G327="",ROUND(IFERROR(AVERAGEIFS('1. Raw Data'!G2:G1201,'1. Raw Data'!C2:C1201,'1. Raw Data'!C327,'1. Raw Data'!D2:D1201,'1. Raw Data'!D327),0),2),'1. Raw Data'!G327)</f>
        <v>2925.23</v>
      </c>
      <c r="H328" s="3" t="str">
        <f aca="false">PROPER('1. Raw Data'!H327)</f>
        <v>No</v>
      </c>
      <c r="I328" s="3" t="n">
        <f aca="false">'1. Raw Data'!I327</f>
        <v>1</v>
      </c>
      <c r="J328" s="3" t="n">
        <f aca="false">'1. Raw Data'!J327</f>
        <v>3</v>
      </c>
      <c r="K328" s="3" t="n">
        <f aca="false">'1. Raw Data'!K327</f>
        <v>16</v>
      </c>
      <c r="L328" s="3" t="n">
        <f aca="false">'1. Raw Data'!L327</f>
        <v>1</v>
      </c>
      <c r="M328" s="3" t="n">
        <f aca="false">'1. Raw Data'!M327</f>
        <v>1</v>
      </c>
      <c r="N328" s="3" t="str">
        <f aca="false">'1. Raw Data'!N327</f>
        <v>No</v>
      </c>
    </row>
    <row r="329" customFormat="false" ht="15" hidden="false" customHeight="false" outlineLevel="0" collapsed="false">
      <c r="A329" s="3" t="str">
        <f aca="false">'1. Raw Data'!A328</f>
        <v>EMP-0327</v>
      </c>
      <c r="B329" s="3" t="n">
        <f aca="false">'1. Raw Data'!B328</f>
        <v>32</v>
      </c>
      <c r="C329" s="3" t="str">
        <f aca="false">'1. Raw Data'!C328</f>
        <v>Marketing</v>
      </c>
      <c r="D329" s="3" t="str">
        <f aca="false">'1. Raw Data'!D328</f>
        <v>Junior</v>
      </c>
      <c r="E329" s="3" t="str">
        <f aca="false">'1. Raw Data'!E328</f>
        <v>Marketing</v>
      </c>
      <c r="F329" s="3" t="n">
        <f aca="false">'1. Raw Data'!F328</f>
        <v>0.5</v>
      </c>
      <c r="G329" s="3" t="n">
        <f aca="false">IF('1. Raw Data'!G328="",ROUND(IFERROR(AVERAGEIFS('1. Raw Data'!G2:G1201,'1. Raw Data'!C2:C1201,'1. Raw Data'!C328,'1. Raw Data'!D2:D1201,'1. Raw Data'!D328),0),2),'1. Raw Data'!G328)</f>
        <v>3709.13</v>
      </c>
      <c r="H329" s="3" t="str">
        <f aca="false">PROPER('1. Raw Data'!H328)</f>
        <v>No</v>
      </c>
      <c r="I329" s="3" t="n">
        <f aca="false">'1. Raw Data'!I328</f>
        <v>3</v>
      </c>
      <c r="J329" s="3" t="n">
        <f aca="false">'1. Raw Data'!J328</f>
        <v>4</v>
      </c>
      <c r="K329" s="3" t="n">
        <f aca="false">'1. Raw Data'!K328</f>
        <v>6</v>
      </c>
      <c r="L329" s="3" t="n">
        <f aca="false">'1. Raw Data'!L328</f>
        <v>0</v>
      </c>
      <c r="M329" s="3" t="n">
        <f aca="false">'1. Raw Data'!M328</f>
        <v>0</v>
      </c>
      <c r="N329" s="3" t="str">
        <f aca="false">'1. Raw Data'!N328</f>
        <v>No</v>
      </c>
    </row>
    <row r="330" customFormat="false" ht="15" hidden="false" customHeight="false" outlineLevel="0" collapsed="false">
      <c r="A330" s="3" t="str">
        <f aca="false">'1. Raw Data'!A329</f>
        <v>EMP-0328</v>
      </c>
      <c r="B330" s="3" t="n">
        <f aca="false">'1. Raw Data'!B329</f>
        <v>28</v>
      </c>
      <c r="C330" s="3" t="str">
        <f aca="false">'1. Raw Data'!C329</f>
        <v>Sales</v>
      </c>
      <c r="D330" s="3" t="str">
        <f aca="false">'1. Raw Data'!D329</f>
        <v>Junior</v>
      </c>
      <c r="E330" s="3" t="str">
        <f aca="false">'1. Raw Data'!E329</f>
        <v>Technical</v>
      </c>
      <c r="F330" s="3" t="n">
        <f aca="false">'1. Raw Data'!F329</f>
        <v>3.4</v>
      </c>
      <c r="G330" s="3" t="n">
        <f aca="false">IF('1. Raw Data'!G329="",ROUND(IFERROR(AVERAGEIFS('1. Raw Data'!G2:G1201,'1. Raw Data'!C2:C1201,'1. Raw Data'!C329,'1. Raw Data'!D2:D1201,'1. Raw Data'!D329),0),2),'1. Raw Data'!G329)</f>
        <v>3411.44</v>
      </c>
      <c r="H330" s="3" t="str">
        <f aca="false">PROPER('1. Raw Data'!H329)</f>
        <v>Yes</v>
      </c>
      <c r="I330" s="3" t="n">
        <f aca="false">'1. Raw Data'!I329</f>
        <v>2</v>
      </c>
      <c r="J330" s="3" t="n">
        <f aca="false">'1. Raw Data'!J329</f>
        <v>1</v>
      </c>
      <c r="K330" s="3" t="n">
        <f aca="false">'1. Raw Data'!K329</f>
        <v>1</v>
      </c>
      <c r="L330" s="3" t="n">
        <f aca="false">'1. Raw Data'!L329</f>
        <v>2</v>
      </c>
      <c r="M330" s="3" t="n">
        <f aca="false">'1. Raw Data'!M329</f>
        <v>3</v>
      </c>
      <c r="N330" s="3" t="str">
        <f aca="false">'1. Raw Data'!N329</f>
        <v>Yes</v>
      </c>
    </row>
    <row r="331" customFormat="false" ht="15" hidden="false" customHeight="false" outlineLevel="0" collapsed="false">
      <c r="A331" s="3" t="str">
        <f aca="false">'1. Raw Data'!A330</f>
        <v>EMP-0329</v>
      </c>
      <c r="B331" s="3" t="n">
        <f aca="false">'1. Raw Data'!B330</f>
        <v>42</v>
      </c>
      <c r="C331" s="3" t="str">
        <f aca="false">'1. Raw Data'!C330</f>
        <v>Sales</v>
      </c>
      <c r="D331" s="3" t="str">
        <f aca="false">'1. Raw Data'!D330</f>
        <v>Mid</v>
      </c>
      <c r="E331" s="3" t="str">
        <f aca="false">'1. Raw Data'!E330</f>
        <v>Business</v>
      </c>
      <c r="F331" s="3" t="n">
        <f aca="false">'1. Raw Data'!F330</f>
        <v>4</v>
      </c>
      <c r="G331" s="3" t="n">
        <f aca="false">IF('1. Raw Data'!G330="",ROUND(IFERROR(AVERAGEIFS('1. Raw Data'!G2:G1201,'1. Raw Data'!C2:C1201,'1. Raw Data'!C330,'1. Raw Data'!D2:D1201,'1. Raw Data'!D330),0),2),'1. Raw Data'!G330)</f>
        <v>5198.17</v>
      </c>
      <c r="H331" s="3" t="str">
        <f aca="false">PROPER('1. Raw Data'!H330)</f>
        <v>No</v>
      </c>
      <c r="I331" s="3" t="n">
        <f aca="false">'1. Raw Data'!I330</f>
        <v>4</v>
      </c>
      <c r="J331" s="3" t="n">
        <f aca="false">'1. Raw Data'!J330</f>
        <v>2</v>
      </c>
      <c r="K331" s="3" t="n">
        <f aca="false">'1. Raw Data'!K330</f>
        <v>10</v>
      </c>
      <c r="L331" s="3" t="n">
        <f aca="false">'1. Raw Data'!L330</f>
        <v>1</v>
      </c>
      <c r="M331" s="3" t="n">
        <f aca="false">'1. Raw Data'!M330</f>
        <v>5</v>
      </c>
      <c r="N331" s="3" t="str">
        <f aca="false">'1. Raw Data'!N330</f>
        <v>Yes</v>
      </c>
    </row>
    <row r="332" customFormat="false" ht="15" hidden="false" customHeight="false" outlineLevel="0" collapsed="false">
      <c r="A332" s="3" t="str">
        <f aca="false">'1. Raw Data'!A331</f>
        <v>EMP-0330</v>
      </c>
      <c r="B332" s="3" t="n">
        <f aca="false">'1. Raw Data'!B331</f>
        <v>26</v>
      </c>
      <c r="C332" s="3" t="str">
        <f aca="false">'1. Raw Data'!C331</f>
        <v>Customer Support</v>
      </c>
      <c r="D332" s="3" t="str">
        <f aca="false">'1. Raw Data'!D331</f>
        <v>Junior</v>
      </c>
      <c r="E332" s="3" t="str">
        <f aca="false">'1. Raw Data'!E331</f>
        <v>Other</v>
      </c>
      <c r="F332" s="3" t="n">
        <f aca="false">'1. Raw Data'!F331</f>
        <v>1.6</v>
      </c>
      <c r="G332" s="3" t="n">
        <f aca="false">IF('1. Raw Data'!G331="",ROUND(IFERROR(AVERAGEIFS('1. Raw Data'!G2:G1201,'1. Raw Data'!C2:C1201,'1. Raw Data'!C331,'1. Raw Data'!D2:D1201,'1. Raw Data'!D331),0),2),'1. Raw Data'!G331)</f>
        <v>3526.62</v>
      </c>
      <c r="H332" s="3" t="str">
        <f aca="false">PROPER('1. Raw Data'!H331)</f>
        <v>No</v>
      </c>
      <c r="I332" s="3" t="n">
        <f aca="false">'1. Raw Data'!I331</f>
        <v>4</v>
      </c>
      <c r="J332" s="3" t="n">
        <f aca="false">'1. Raw Data'!J331</f>
        <v>2</v>
      </c>
      <c r="K332" s="3" t="n">
        <f aca="false">'1. Raw Data'!K331</f>
        <v>9</v>
      </c>
      <c r="L332" s="3" t="n">
        <f aca="false">'1. Raw Data'!L331</f>
        <v>1</v>
      </c>
      <c r="M332" s="3" t="n">
        <f aca="false">'1. Raw Data'!M331</f>
        <v>1</v>
      </c>
      <c r="N332" s="3" t="str">
        <f aca="false">'1. Raw Data'!N331</f>
        <v>No</v>
      </c>
    </row>
    <row r="333" customFormat="false" ht="15" hidden="false" customHeight="false" outlineLevel="0" collapsed="false">
      <c r="A333" s="3" t="str">
        <f aca="false">'1. Raw Data'!A332</f>
        <v>EMP-0331</v>
      </c>
      <c r="B333" s="3" t="n">
        <f aca="false">'1. Raw Data'!B332</f>
        <v>43</v>
      </c>
      <c r="C333" s="3" t="str">
        <f aca="false">'1. Raw Data'!C332</f>
        <v>Customer Support</v>
      </c>
      <c r="D333" s="3" t="str">
        <f aca="false">'1. Raw Data'!D332</f>
        <v>Mid</v>
      </c>
      <c r="E333" s="3" t="str">
        <f aca="false">'1. Raw Data'!E332</f>
        <v>Marketing</v>
      </c>
      <c r="F333" s="3" t="n">
        <f aca="false">'1. Raw Data'!F332</f>
        <v>4.5</v>
      </c>
      <c r="G333" s="3" t="n">
        <f aca="false">IF('1. Raw Data'!G332="",ROUND(IFERROR(AVERAGEIFS('1. Raw Data'!G2:G1201,'1. Raw Data'!C2:C1201,'1. Raw Data'!C332,'1. Raw Data'!D2:D1201,'1. Raw Data'!D332),0),2),'1. Raw Data'!G332)</f>
        <v>5533.12</v>
      </c>
      <c r="H333" s="3" t="str">
        <f aca="false">PROPER('1. Raw Data'!H332)</f>
        <v>Yes</v>
      </c>
      <c r="I333" s="3" t="n">
        <f aca="false">'1. Raw Data'!I332</f>
        <v>2</v>
      </c>
      <c r="J333" s="3" t="n">
        <f aca="false">'1. Raw Data'!J332</f>
        <v>2</v>
      </c>
      <c r="K333" s="3" t="n">
        <f aca="false">'1. Raw Data'!K332</f>
        <v>1</v>
      </c>
      <c r="L333" s="3" t="n">
        <f aca="false">'1. Raw Data'!L332</f>
        <v>1</v>
      </c>
      <c r="M333" s="3" t="n">
        <f aca="false">'1. Raw Data'!M332</f>
        <v>4</v>
      </c>
      <c r="N333" s="3" t="str">
        <f aca="false">'1. Raw Data'!N332</f>
        <v>Yes</v>
      </c>
    </row>
    <row r="334" customFormat="false" ht="15" hidden="false" customHeight="false" outlineLevel="0" collapsed="false">
      <c r="A334" s="3" t="str">
        <f aca="false">'1. Raw Data'!A333</f>
        <v>EMP-0332</v>
      </c>
      <c r="B334" s="3" t="n">
        <f aca="false">'1. Raw Data'!B333</f>
        <v>29</v>
      </c>
      <c r="C334" s="3" t="str">
        <f aca="false">'1. Raw Data'!C333</f>
        <v>Customer Support</v>
      </c>
      <c r="D334" s="3" t="str">
        <f aca="false">'1. Raw Data'!D333</f>
        <v>Junior</v>
      </c>
      <c r="E334" s="3" t="str">
        <f aca="false">'1. Raw Data'!E333</f>
        <v>Technical</v>
      </c>
      <c r="F334" s="3" t="n">
        <f aca="false">'1. Raw Data'!F333</f>
        <v>0.2</v>
      </c>
      <c r="G334" s="3" t="n">
        <f aca="false">IF('1. Raw Data'!G333="",ROUND(IFERROR(AVERAGEIFS('1. Raw Data'!G2:G1201,'1. Raw Data'!C2:C1201,'1. Raw Data'!C333,'1. Raw Data'!D2:D1201,'1. Raw Data'!D333),0),2),'1. Raw Data'!G333)</f>
        <v>3340.5</v>
      </c>
      <c r="H334" s="3" t="str">
        <f aca="false">PROPER('1. Raw Data'!H333)</f>
        <v>Yes</v>
      </c>
      <c r="I334" s="3" t="n">
        <f aca="false">'1. Raw Data'!I333</f>
        <v>2</v>
      </c>
      <c r="J334" s="3" t="n">
        <f aca="false">'1. Raw Data'!J333</f>
        <v>3</v>
      </c>
      <c r="K334" s="3" t="n">
        <f aca="false">'1. Raw Data'!K333</f>
        <v>7</v>
      </c>
      <c r="L334" s="3" t="n">
        <f aca="false">'1. Raw Data'!L333</f>
        <v>0</v>
      </c>
      <c r="M334" s="3" t="n">
        <f aca="false">'1. Raw Data'!M333</f>
        <v>0</v>
      </c>
      <c r="N334" s="3" t="str">
        <f aca="false">'1. Raw Data'!N333</f>
        <v>No</v>
      </c>
    </row>
    <row r="335" customFormat="false" ht="15" hidden="false" customHeight="false" outlineLevel="0" collapsed="false">
      <c r="A335" s="3" t="str">
        <f aca="false">'1. Raw Data'!A334</f>
        <v>EMP-0333</v>
      </c>
      <c r="B335" s="3" t="n">
        <f aca="false">'1. Raw Data'!B334</f>
        <v>21</v>
      </c>
      <c r="C335" s="3" t="str">
        <f aca="false">'1. Raw Data'!C334</f>
        <v>Engineering</v>
      </c>
      <c r="D335" s="3" t="str">
        <f aca="false">'1. Raw Data'!D334</f>
        <v>Mid</v>
      </c>
      <c r="E335" s="3" t="str">
        <f aca="false">'1. Raw Data'!E334</f>
        <v>Other</v>
      </c>
      <c r="F335" s="3" t="n">
        <f aca="false">'1. Raw Data'!F334</f>
        <v>0</v>
      </c>
      <c r="G335" s="3" t="n">
        <f aca="false">IF('1. Raw Data'!G334="",ROUND(IFERROR(AVERAGEIFS('1. Raw Data'!G2:G1201,'1. Raw Data'!C2:C1201,'1. Raw Data'!C334,'1. Raw Data'!D2:D1201,'1. Raw Data'!D334),0),2),'1. Raw Data'!G334)</f>
        <v>4679.3</v>
      </c>
      <c r="H335" s="3" t="str">
        <f aca="false">PROPER('1. Raw Data'!H334)</f>
        <v>No</v>
      </c>
      <c r="I335" s="3" t="n">
        <f aca="false">'1. Raw Data'!I334</f>
        <v>3</v>
      </c>
      <c r="J335" s="3" t="n">
        <f aca="false">'1. Raw Data'!J334</f>
        <v>4</v>
      </c>
      <c r="K335" s="3" t="n">
        <f aca="false">'1. Raw Data'!K334</f>
        <v>3</v>
      </c>
      <c r="L335" s="3" t="n">
        <f aca="false">'1. Raw Data'!L334</f>
        <v>0</v>
      </c>
      <c r="M335" s="3" t="n">
        <f aca="false">'1. Raw Data'!M334</f>
        <v>2</v>
      </c>
      <c r="N335" s="3" t="str">
        <f aca="false">'1. Raw Data'!N334</f>
        <v>No</v>
      </c>
    </row>
    <row r="336" customFormat="false" ht="15" hidden="false" customHeight="false" outlineLevel="0" collapsed="false">
      <c r="A336" s="3" t="str">
        <f aca="false">'1. Raw Data'!A335</f>
        <v>EMP-0334</v>
      </c>
      <c r="B336" s="3" t="n">
        <f aca="false">'1. Raw Data'!B335</f>
        <v>28</v>
      </c>
      <c r="C336" s="3" t="str">
        <f aca="false">'1. Raw Data'!C335</f>
        <v>Customer Support</v>
      </c>
      <c r="D336" s="3" t="str">
        <f aca="false">'1. Raw Data'!D335</f>
        <v>Junior</v>
      </c>
      <c r="E336" s="3" t="str">
        <f aca="false">'1. Raw Data'!E335</f>
        <v>Business</v>
      </c>
      <c r="F336" s="3" t="n">
        <f aca="false">'1. Raw Data'!F335</f>
        <v>3</v>
      </c>
      <c r="G336" s="3" t="n">
        <f aca="false">IF('1. Raw Data'!G335="",ROUND(IFERROR(AVERAGEIFS('1. Raw Data'!G2:G1201,'1. Raw Data'!C2:C1201,'1. Raw Data'!C335,'1. Raw Data'!D2:D1201,'1. Raw Data'!D335),0),2),'1. Raw Data'!G335)</f>
        <v>2885.88</v>
      </c>
      <c r="H336" s="3" t="str">
        <f aca="false">PROPER('1. Raw Data'!H335)</f>
        <v>Yes</v>
      </c>
      <c r="I336" s="3" t="n">
        <f aca="false">'1. Raw Data'!I335</f>
        <v>2</v>
      </c>
      <c r="J336" s="3" t="n">
        <f aca="false">'1. Raw Data'!J335</f>
        <v>1</v>
      </c>
      <c r="K336" s="3" t="n">
        <f aca="false">'1. Raw Data'!K335</f>
        <v>5</v>
      </c>
      <c r="L336" s="3" t="n">
        <f aca="false">'1. Raw Data'!L335</f>
        <v>0</v>
      </c>
      <c r="M336" s="3" t="n">
        <f aca="false">'1. Raw Data'!M335</f>
        <v>2</v>
      </c>
      <c r="N336" s="3" t="str">
        <f aca="false">'1. Raw Data'!N335</f>
        <v>No</v>
      </c>
    </row>
    <row r="337" customFormat="false" ht="15" hidden="false" customHeight="false" outlineLevel="0" collapsed="false">
      <c r="A337" s="3" t="str">
        <f aca="false">'1. Raw Data'!A336</f>
        <v>EMP-0335</v>
      </c>
      <c r="B337" s="3" t="n">
        <f aca="false">'1. Raw Data'!B336</f>
        <v>27</v>
      </c>
      <c r="C337" s="3" t="str">
        <f aca="false">'1. Raw Data'!C336</f>
        <v>Customer Support</v>
      </c>
      <c r="D337" s="3" t="str">
        <f aca="false">'1. Raw Data'!D336</f>
        <v>Mid</v>
      </c>
      <c r="E337" s="3" t="str">
        <f aca="false">'1. Raw Data'!E336</f>
        <v>Technical</v>
      </c>
      <c r="F337" s="3" t="n">
        <f aca="false">'1. Raw Data'!F336</f>
        <v>0.6</v>
      </c>
      <c r="G337" s="3" t="n">
        <f aca="false">IF('1. Raw Data'!G336="",ROUND(IFERROR(AVERAGEIFS('1. Raw Data'!G2:G1201,'1. Raw Data'!C2:C1201,'1. Raw Data'!C336,'1. Raw Data'!D2:D1201,'1. Raw Data'!D336),0),2),'1. Raw Data'!G336)</f>
        <v>4398.75</v>
      </c>
      <c r="H337" s="3" t="str">
        <f aca="false">PROPER('1. Raw Data'!H336)</f>
        <v>Yes</v>
      </c>
      <c r="I337" s="3" t="n">
        <f aca="false">'1. Raw Data'!I336</f>
        <v>4</v>
      </c>
      <c r="J337" s="3" t="n">
        <f aca="false">'1. Raw Data'!J336</f>
        <v>3</v>
      </c>
      <c r="K337" s="3" t="n">
        <f aca="false">'1. Raw Data'!K336</f>
        <v>6</v>
      </c>
      <c r="L337" s="3" t="n">
        <f aca="false">'1. Raw Data'!L336</f>
        <v>0</v>
      </c>
      <c r="M337" s="3" t="n">
        <f aca="false">'1. Raw Data'!M336</f>
        <v>3</v>
      </c>
      <c r="N337" s="3" t="str">
        <f aca="false">'1. Raw Data'!N336</f>
        <v>Yes</v>
      </c>
    </row>
    <row r="338" customFormat="false" ht="15" hidden="false" customHeight="false" outlineLevel="0" collapsed="false">
      <c r="A338" s="3" t="str">
        <f aca="false">'1. Raw Data'!A337</f>
        <v>EMP-0336</v>
      </c>
      <c r="B338" s="3" t="n">
        <f aca="false">'1. Raw Data'!B337</f>
        <v>48</v>
      </c>
      <c r="C338" s="3" t="str">
        <f aca="false">'1. Raw Data'!C337</f>
        <v>Engineering</v>
      </c>
      <c r="D338" s="3" t="str">
        <f aca="false">'1. Raw Data'!D337</f>
        <v>Mid</v>
      </c>
      <c r="E338" s="3" t="str">
        <f aca="false">'1. Raw Data'!E337</f>
        <v>Other</v>
      </c>
      <c r="F338" s="3" t="n">
        <f aca="false">'1. Raw Data'!F337</f>
        <v>0.3</v>
      </c>
      <c r="G338" s="3" t="n">
        <f aca="false">IF('1. Raw Data'!G337="",ROUND(IFERROR(AVERAGEIFS('1. Raw Data'!G2:G1201,'1. Raw Data'!C2:C1201,'1. Raw Data'!C337,'1. Raw Data'!D2:D1201,'1. Raw Data'!D337),0),2),'1. Raw Data'!G337)</f>
        <v>4849.22</v>
      </c>
      <c r="H338" s="3" t="str">
        <f aca="false">PROPER('1. Raw Data'!H337)</f>
        <v>No</v>
      </c>
      <c r="I338" s="3" t="n">
        <f aca="false">'1. Raw Data'!I337</f>
        <v>3</v>
      </c>
      <c r="J338" s="3" t="n">
        <f aca="false">'1. Raw Data'!J337</f>
        <v>3</v>
      </c>
      <c r="K338" s="3" t="n">
        <f aca="false">'1. Raw Data'!K337</f>
        <v>13</v>
      </c>
      <c r="L338" s="3" t="n">
        <f aca="false">'1. Raw Data'!L337</f>
        <v>0</v>
      </c>
      <c r="M338" s="3" t="n">
        <f aca="false">'1. Raw Data'!M337</f>
        <v>1</v>
      </c>
      <c r="N338" s="3" t="str">
        <f aca="false">'1. Raw Data'!N337</f>
        <v>No</v>
      </c>
    </row>
    <row r="339" customFormat="false" ht="15" hidden="false" customHeight="false" outlineLevel="0" collapsed="false">
      <c r="A339" s="3" t="str">
        <f aca="false">'1. Raw Data'!A338</f>
        <v>EMP-0337</v>
      </c>
      <c r="B339" s="3" t="n">
        <f aca="false">'1. Raw Data'!B338</f>
        <v>33</v>
      </c>
      <c r="C339" s="3" t="str">
        <f aca="false">'1. Raw Data'!C338</f>
        <v>Finance</v>
      </c>
      <c r="D339" s="3" t="str">
        <f aca="false">'1. Raw Data'!D338</f>
        <v>Senior</v>
      </c>
      <c r="E339" s="3" t="str">
        <f aca="false">'1. Raw Data'!E338</f>
        <v>Other</v>
      </c>
      <c r="F339" s="3" t="n">
        <f aca="false">'1. Raw Data'!F338</f>
        <v>11.6</v>
      </c>
      <c r="G339" s="3" t="n">
        <f aca="false">IF('1. Raw Data'!G338="",ROUND(IFERROR(AVERAGEIFS('1. Raw Data'!G2:G1201,'1. Raw Data'!C2:C1201,'1. Raw Data'!C338,'1. Raw Data'!D2:D1201,'1. Raw Data'!D338),0),2),'1. Raw Data'!G338)</f>
        <v>7313.57</v>
      </c>
      <c r="H339" s="3" t="str">
        <f aca="false">PROPER('1. Raw Data'!H338)</f>
        <v>No</v>
      </c>
      <c r="I339" s="3" t="n">
        <f aca="false">'1. Raw Data'!I338</f>
        <v>2</v>
      </c>
      <c r="J339" s="3" t="n">
        <f aca="false">'1. Raw Data'!J338</f>
        <v>3</v>
      </c>
      <c r="K339" s="3" t="n">
        <f aca="false">'1. Raw Data'!K338</f>
        <v>3</v>
      </c>
      <c r="L339" s="3" t="n">
        <f aca="false">'1. Raw Data'!L338</f>
        <v>4</v>
      </c>
      <c r="M339" s="3" t="n">
        <f aca="false">'1. Raw Data'!M338</f>
        <v>3</v>
      </c>
      <c r="N339" s="3" t="str">
        <f aca="false">'1. Raw Data'!N338</f>
        <v>No</v>
      </c>
    </row>
    <row r="340" customFormat="false" ht="15" hidden="false" customHeight="false" outlineLevel="0" collapsed="false">
      <c r="A340" s="3" t="str">
        <f aca="false">'1. Raw Data'!A339</f>
        <v>EMP-0338</v>
      </c>
      <c r="B340" s="3" t="n">
        <f aca="false">'1. Raw Data'!B339</f>
        <v>35</v>
      </c>
      <c r="C340" s="3" t="str">
        <f aca="false">'1. Raw Data'!C339</f>
        <v>Sales</v>
      </c>
      <c r="D340" s="3" t="str">
        <f aca="false">'1. Raw Data'!D339</f>
        <v>Junior</v>
      </c>
      <c r="E340" s="3" t="str">
        <f aca="false">'1. Raw Data'!E339</f>
        <v>Other</v>
      </c>
      <c r="F340" s="3" t="n">
        <f aca="false">'1. Raw Data'!F339</f>
        <v>3.4</v>
      </c>
      <c r="G340" s="3" t="n">
        <f aca="false">IF('1. Raw Data'!G339="",ROUND(IFERROR(AVERAGEIFS('1. Raw Data'!G2:G1201,'1. Raw Data'!C2:C1201,'1. Raw Data'!C339,'1. Raw Data'!D2:D1201,'1. Raw Data'!D339),0),2),'1. Raw Data'!G339)</f>
        <v>3421.96</v>
      </c>
      <c r="H340" s="3" t="str">
        <f aca="false">PROPER('1. Raw Data'!H339)</f>
        <v>Yes</v>
      </c>
      <c r="I340" s="3" t="n">
        <f aca="false">'1. Raw Data'!I339</f>
        <v>4</v>
      </c>
      <c r="J340" s="3" t="n">
        <f aca="false">'1. Raw Data'!J339</f>
        <v>2</v>
      </c>
      <c r="K340" s="3" t="n">
        <f aca="false">'1. Raw Data'!K339</f>
        <v>5</v>
      </c>
      <c r="L340" s="3" t="n">
        <f aca="false">'1. Raw Data'!L339</f>
        <v>0</v>
      </c>
      <c r="M340" s="3" t="n">
        <f aca="false">'1. Raw Data'!M339</f>
        <v>6</v>
      </c>
      <c r="N340" s="3" t="str">
        <f aca="false">'1. Raw Data'!N339</f>
        <v>Yes</v>
      </c>
    </row>
    <row r="341" customFormat="false" ht="15" hidden="false" customHeight="false" outlineLevel="0" collapsed="false">
      <c r="A341" s="3" t="str">
        <f aca="false">'1. Raw Data'!A340</f>
        <v>EMP-0339</v>
      </c>
      <c r="B341" s="3" t="n">
        <f aca="false">'1. Raw Data'!B340</f>
        <v>32</v>
      </c>
      <c r="C341" s="3" t="str">
        <f aca="false">'1. Raw Data'!C340</f>
        <v>Engineering</v>
      </c>
      <c r="D341" s="3" t="str">
        <f aca="false">'1. Raw Data'!D340</f>
        <v>Senior</v>
      </c>
      <c r="E341" s="3" t="str">
        <f aca="false">'1. Raw Data'!E340</f>
        <v>Business</v>
      </c>
      <c r="F341" s="3" t="n">
        <f aca="false">'1. Raw Data'!F340</f>
        <v>0.8</v>
      </c>
      <c r="G341" s="3" t="n">
        <f aca="false">IF('1. Raw Data'!G340="",ROUND(IFERROR(AVERAGEIFS('1. Raw Data'!G2:G1201,'1. Raw Data'!C2:C1201,'1. Raw Data'!C340,'1. Raw Data'!D2:D1201,'1. Raw Data'!D340),0),2),'1. Raw Data'!G340)</f>
        <v>6519.03</v>
      </c>
      <c r="H341" s="3" t="str">
        <f aca="false">PROPER('1. Raw Data'!H340)</f>
        <v>No</v>
      </c>
      <c r="I341" s="3" t="n">
        <f aca="false">'1. Raw Data'!I340</f>
        <v>4</v>
      </c>
      <c r="J341" s="3" t="n">
        <f aca="false">'1. Raw Data'!J340</f>
        <v>4</v>
      </c>
      <c r="K341" s="3" t="n">
        <f aca="false">'1. Raw Data'!K340</f>
        <v>1</v>
      </c>
      <c r="L341" s="3" t="n">
        <f aca="false">'1. Raw Data'!L340</f>
        <v>0</v>
      </c>
      <c r="M341" s="3" t="n">
        <f aca="false">'1. Raw Data'!M340</f>
        <v>2</v>
      </c>
      <c r="N341" s="3" t="str">
        <f aca="false">'1. Raw Data'!N340</f>
        <v>No</v>
      </c>
    </row>
    <row r="342" customFormat="false" ht="15" hidden="false" customHeight="false" outlineLevel="0" collapsed="false">
      <c r="A342" s="3" t="str">
        <f aca="false">'1. Raw Data'!A341</f>
        <v>EMP-0340</v>
      </c>
      <c r="B342" s="3" t="n">
        <f aca="false">'1. Raw Data'!B341</f>
        <v>21</v>
      </c>
      <c r="C342" s="3" t="str">
        <f aca="false">'1. Raw Data'!C341</f>
        <v>Sales</v>
      </c>
      <c r="D342" s="3" t="str">
        <f aca="false">'1. Raw Data'!D341</f>
        <v>Junior</v>
      </c>
      <c r="E342" s="3" t="str">
        <f aca="false">'1. Raw Data'!E341</f>
        <v>Marketing</v>
      </c>
      <c r="F342" s="3" t="n">
        <f aca="false">'1. Raw Data'!F341</f>
        <v>0</v>
      </c>
      <c r="G342" s="3" t="n">
        <f aca="false">IF('1. Raw Data'!G341="",ROUND(IFERROR(AVERAGEIFS('1. Raw Data'!G2:G1201,'1. Raw Data'!C2:C1201,'1. Raw Data'!C341,'1. Raw Data'!D2:D1201,'1. Raw Data'!D341),0),2),'1. Raw Data'!G341)</f>
        <v>3292.6</v>
      </c>
      <c r="H342" s="3" t="str">
        <f aca="false">PROPER('1. Raw Data'!H341)</f>
        <v>Yes</v>
      </c>
      <c r="I342" s="3" t="n">
        <f aca="false">'1. Raw Data'!I341</f>
        <v>4</v>
      </c>
      <c r="J342" s="3" t="n">
        <f aca="false">'1. Raw Data'!J341</f>
        <v>2</v>
      </c>
      <c r="K342" s="3" t="n">
        <f aca="false">'1. Raw Data'!K341</f>
        <v>2</v>
      </c>
      <c r="L342" s="3" t="n">
        <f aca="false">'1. Raw Data'!L341</f>
        <v>0</v>
      </c>
      <c r="M342" s="3" t="n">
        <f aca="false">'1. Raw Data'!M341</f>
        <v>2</v>
      </c>
      <c r="N342" s="3" t="str">
        <f aca="false">'1. Raw Data'!N341</f>
        <v>No</v>
      </c>
    </row>
    <row r="343" customFormat="false" ht="15" hidden="false" customHeight="false" outlineLevel="0" collapsed="false">
      <c r="A343" s="3" t="str">
        <f aca="false">'1. Raw Data'!A342</f>
        <v>EMP-0341</v>
      </c>
      <c r="B343" s="3" t="n">
        <f aca="false">'1. Raw Data'!B342</f>
        <v>45</v>
      </c>
      <c r="C343" s="3" t="str">
        <f aca="false">'1. Raw Data'!C342</f>
        <v>Finance</v>
      </c>
      <c r="D343" s="3" t="str">
        <f aca="false">'1. Raw Data'!D342</f>
        <v>Mid</v>
      </c>
      <c r="E343" s="3" t="str">
        <f aca="false">'1. Raw Data'!E342</f>
        <v>Business</v>
      </c>
      <c r="F343" s="3" t="n">
        <f aca="false">'1. Raw Data'!F342</f>
        <v>1.3</v>
      </c>
      <c r="G343" s="3" t="n">
        <f aca="false">IF('1. Raw Data'!G342="",ROUND(IFERROR(AVERAGEIFS('1. Raw Data'!G2:G1201,'1. Raw Data'!C2:C1201,'1. Raw Data'!C342,'1. Raw Data'!D2:D1201,'1. Raw Data'!D342),0),2),'1. Raw Data'!G342)</f>
        <v>4183.9</v>
      </c>
      <c r="H343" s="3" t="str">
        <f aca="false">PROPER('1. Raw Data'!H342)</f>
        <v>Yes</v>
      </c>
      <c r="I343" s="3" t="n">
        <f aca="false">'1. Raw Data'!I342</f>
        <v>3</v>
      </c>
      <c r="J343" s="3" t="n">
        <f aca="false">'1. Raw Data'!J342</f>
        <v>3</v>
      </c>
      <c r="K343" s="3" t="n">
        <f aca="false">'1. Raw Data'!K342</f>
        <v>19</v>
      </c>
      <c r="L343" s="3" t="n">
        <f aca="false">'1. Raw Data'!L342</f>
        <v>0</v>
      </c>
      <c r="M343" s="3" t="n">
        <f aca="false">'1. Raw Data'!M342</f>
        <v>4</v>
      </c>
      <c r="N343" s="3" t="str">
        <f aca="false">'1. Raw Data'!N342</f>
        <v>No</v>
      </c>
    </row>
    <row r="344" customFormat="false" ht="15" hidden="false" customHeight="false" outlineLevel="0" collapsed="false">
      <c r="A344" s="3" t="str">
        <f aca="false">'1. Raw Data'!A343</f>
        <v>EMP-0342</v>
      </c>
      <c r="B344" s="3" t="n">
        <f aca="false">'1. Raw Data'!B343</f>
        <v>31</v>
      </c>
      <c r="C344" s="3" t="str">
        <f aca="false">'1. Raw Data'!C343</f>
        <v>Finance</v>
      </c>
      <c r="D344" s="3" t="str">
        <f aca="false">'1. Raw Data'!D343</f>
        <v>Senior</v>
      </c>
      <c r="E344" s="3" t="str">
        <f aca="false">'1. Raw Data'!E343</f>
        <v>Technical</v>
      </c>
      <c r="F344" s="3" t="n">
        <f aca="false">'1. Raw Data'!F343</f>
        <v>4.2</v>
      </c>
      <c r="G344" s="3" t="n">
        <f aca="false">IF('1. Raw Data'!G343="",ROUND(IFERROR(AVERAGEIFS('1. Raw Data'!G2:G1201,'1. Raw Data'!C2:C1201,'1. Raw Data'!C343,'1. Raw Data'!D2:D1201,'1. Raw Data'!D343),0),2),'1. Raw Data'!G343)</f>
        <v>7246.69</v>
      </c>
      <c r="H344" s="3" t="str">
        <f aca="false">PROPER('1. Raw Data'!H343)</f>
        <v>No</v>
      </c>
      <c r="I344" s="3" t="n">
        <f aca="false">'1. Raw Data'!I343</f>
        <v>3</v>
      </c>
      <c r="J344" s="3" t="n">
        <f aca="false">'1. Raw Data'!J343</f>
        <v>2</v>
      </c>
      <c r="K344" s="3" t="n">
        <f aca="false">'1. Raw Data'!K343</f>
        <v>13</v>
      </c>
      <c r="L344" s="3" t="n">
        <f aca="false">'1. Raw Data'!L343</f>
        <v>0</v>
      </c>
      <c r="M344" s="3" t="n">
        <f aca="false">'1. Raw Data'!M343</f>
        <v>5</v>
      </c>
      <c r="N344" s="3" t="str">
        <f aca="false">'1. Raw Data'!N343</f>
        <v>No</v>
      </c>
    </row>
    <row r="345" customFormat="false" ht="15" hidden="false" customHeight="false" outlineLevel="0" collapsed="false">
      <c r="A345" s="3" t="str">
        <f aca="false">'1. Raw Data'!A344</f>
        <v>EMP-0343</v>
      </c>
      <c r="B345" s="3" t="n">
        <f aca="false">'1. Raw Data'!B344</f>
        <v>38</v>
      </c>
      <c r="C345" s="3" t="str">
        <f aca="false">'1. Raw Data'!C344</f>
        <v>Sales</v>
      </c>
      <c r="D345" s="3" t="str">
        <f aca="false">'1. Raw Data'!D344</f>
        <v>Junior</v>
      </c>
      <c r="E345" s="3" t="str">
        <f aca="false">'1. Raw Data'!E344</f>
        <v>Business</v>
      </c>
      <c r="F345" s="3" t="n">
        <f aca="false">'1. Raw Data'!F344</f>
        <v>1.8</v>
      </c>
      <c r="G345" s="3" t="n">
        <f aca="false">IF('1. Raw Data'!G344="",ROUND(IFERROR(AVERAGEIFS('1. Raw Data'!G2:G1201,'1. Raw Data'!C2:C1201,'1. Raw Data'!C344,'1. Raw Data'!D2:D1201,'1. Raw Data'!D344),0),2),'1. Raw Data'!G344)</f>
        <v>3742.71</v>
      </c>
      <c r="H345" s="3" t="str">
        <f aca="false">PROPER('1. Raw Data'!H344)</f>
        <v>No</v>
      </c>
      <c r="I345" s="3" t="n">
        <f aca="false">'1. Raw Data'!I344</f>
        <v>3</v>
      </c>
      <c r="J345" s="3" t="n">
        <f aca="false">'1. Raw Data'!J344</f>
        <v>3</v>
      </c>
      <c r="K345" s="3" t="n">
        <f aca="false">'1. Raw Data'!K344</f>
        <v>6</v>
      </c>
      <c r="L345" s="3" t="n">
        <f aca="false">'1. Raw Data'!L344</f>
        <v>0</v>
      </c>
      <c r="M345" s="3" t="n">
        <f aca="false">'1. Raw Data'!M344</f>
        <v>1</v>
      </c>
      <c r="N345" s="3" t="str">
        <f aca="false">'1. Raw Data'!N344</f>
        <v>No</v>
      </c>
    </row>
    <row r="346" customFormat="false" ht="15" hidden="false" customHeight="false" outlineLevel="0" collapsed="false">
      <c r="A346" s="3" t="str">
        <f aca="false">'1. Raw Data'!A345</f>
        <v>EMP-0344</v>
      </c>
      <c r="B346" s="3" t="n">
        <f aca="false">'1. Raw Data'!B345</f>
        <v>42</v>
      </c>
      <c r="C346" s="3" t="str">
        <f aca="false">'1. Raw Data'!C345</f>
        <v>Sales</v>
      </c>
      <c r="D346" s="3" t="str">
        <f aca="false">'1. Raw Data'!D345</f>
        <v>Lead</v>
      </c>
      <c r="E346" s="3" t="str">
        <f aca="false">'1. Raw Data'!E345</f>
        <v>Other</v>
      </c>
      <c r="F346" s="3" t="n">
        <f aca="false">'1. Raw Data'!F345</f>
        <v>1.8</v>
      </c>
      <c r="G346" s="3" t="n">
        <f aca="false">IF('1. Raw Data'!G345="",ROUND(IFERROR(AVERAGEIFS('1. Raw Data'!G2:G1201,'1. Raw Data'!C2:C1201,'1. Raw Data'!C345,'1. Raw Data'!D2:D1201,'1. Raw Data'!D345),0),2),'1. Raw Data'!G345)</f>
        <v>11083.67</v>
      </c>
      <c r="H346" s="3" t="str">
        <f aca="false">PROPER('1. Raw Data'!H345)</f>
        <v>No</v>
      </c>
      <c r="I346" s="3" t="n">
        <f aca="false">'1. Raw Data'!I345</f>
        <v>3</v>
      </c>
      <c r="J346" s="3" t="n">
        <f aca="false">'1. Raw Data'!J345</f>
        <v>2</v>
      </c>
      <c r="K346" s="3" t="n">
        <f aca="false">'1. Raw Data'!K345</f>
        <v>1</v>
      </c>
      <c r="L346" s="3" t="n">
        <f aca="false">'1. Raw Data'!L345</f>
        <v>0</v>
      </c>
      <c r="M346" s="3" t="n">
        <f aca="false">'1. Raw Data'!M345</f>
        <v>3</v>
      </c>
      <c r="N346" s="3" t="str">
        <f aca="false">'1. Raw Data'!N345</f>
        <v>No</v>
      </c>
    </row>
    <row r="347" customFormat="false" ht="15" hidden="false" customHeight="false" outlineLevel="0" collapsed="false">
      <c r="A347" s="3" t="str">
        <f aca="false">'1. Raw Data'!A346</f>
        <v>EMP-0345</v>
      </c>
      <c r="B347" s="3" t="n">
        <f aca="false">'1. Raw Data'!B346</f>
        <v>21</v>
      </c>
      <c r="C347" s="3" t="str">
        <f aca="false">'1. Raw Data'!C346</f>
        <v>Engineering</v>
      </c>
      <c r="D347" s="3" t="str">
        <f aca="false">'1. Raw Data'!D346</f>
        <v>Senior</v>
      </c>
      <c r="E347" s="3" t="str">
        <f aca="false">'1. Raw Data'!E346</f>
        <v>Technical</v>
      </c>
      <c r="F347" s="3" t="n">
        <f aca="false">'1. Raw Data'!F346</f>
        <v>0</v>
      </c>
      <c r="G347" s="3" t="n">
        <f aca="false">IF('1. Raw Data'!G346="",ROUND(IFERROR(AVERAGEIFS('1. Raw Data'!G2:G1201,'1. Raw Data'!C2:C1201,'1. Raw Data'!C346,'1. Raw Data'!D2:D1201,'1. Raw Data'!D346),0),2),'1. Raw Data'!G346)</f>
        <v>8339.19</v>
      </c>
      <c r="H347" s="3" t="str">
        <f aca="false">PROPER('1. Raw Data'!H346)</f>
        <v>No</v>
      </c>
      <c r="I347" s="3" t="n">
        <f aca="false">'1. Raw Data'!I346</f>
        <v>2</v>
      </c>
      <c r="J347" s="3" t="n">
        <f aca="false">'1. Raw Data'!J346</f>
        <v>3</v>
      </c>
      <c r="K347" s="3" t="n">
        <f aca="false">'1. Raw Data'!K346</f>
        <v>1</v>
      </c>
      <c r="L347" s="3" t="n">
        <f aca="false">'1. Raw Data'!L346</f>
        <v>0</v>
      </c>
      <c r="M347" s="3" t="n">
        <f aca="false">'1. Raw Data'!M346</f>
        <v>3</v>
      </c>
      <c r="N347" s="3" t="str">
        <f aca="false">'1. Raw Data'!N346</f>
        <v>Yes</v>
      </c>
    </row>
    <row r="348" customFormat="false" ht="15" hidden="false" customHeight="false" outlineLevel="0" collapsed="false">
      <c r="A348" s="3" t="str">
        <f aca="false">'1. Raw Data'!A347</f>
        <v>EMP-0346</v>
      </c>
      <c r="B348" s="3" t="n">
        <f aca="false">'1. Raw Data'!B347</f>
        <v>25</v>
      </c>
      <c r="C348" s="3" t="str">
        <f aca="false">'1. Raw Data'!C347</f>
        <v>HR</v>
      </c>
      <c r="D348" s="3" t="str">
        <f aca="false">'1. Raw Data'!D347</f>
        <v>Senior</v>
      </c>
      <c r="E348" s="3" t="str">
        <f aca="false">'1. Raw Data'!E347</f>
        <v>Technical</v>
      </c>
      <c r="F348" s="3" t="n">
        <f aca="false">'1. Raw Data'!F347</f>
        <v>1</v>
      </c>
      <c r="G348" s="3" t="n">
        <f aca="false">IF('1. Raw Data'!G347="",ROUND(IFERROR(AVERAGEIFS('1. Raw Data'!G2:G1201,'1. Raw Data'!C2:C1201,'1. Raw Data'!C347,'1. Raw Data'!D2:D1201,'1. Raw Data'!D347),0),2),'1. Raw Data'!G347)</f>
        <v>7045.46</v>
      </c>
      <c r="H348" s="3" t="str">
        <f aca="false">PROPER('1. Raw Data'!H347)</f>
        <v>No</v>
      </c>
      <c r="I348" s="3" t="n">
        <f aca="false">'1. Raw Data'!I347</f>
        <v>3</v>
      </c>
      <c r="J348" s="3" t="n">
        <f aca="false">'1. Raw Data'!J347</f>
        <v>3</v>
      </c>
      <c r="K348" s="3" t="n">
        <f aca="false">'1. Raw Data'!K347</f>
        <v>2</v>
      </c>
      <c r="L348" s="3" t="n">
        <f aca="false">'1. Raw Data'!L347</f>
        <v>1</v>
      </c>
      <c r="M348" s="3" t="n">
        <f aca="false">'1. Raw Data'!M347</f>
        <v>2</v>
      </c>
      <c r="N348" s="3" t="str">
        <f aca="false">'1. Raw Data'!N347</f>
        <v>No</v>
      </c>
    </row>
    <row r="349" customFormat="false" ht="15" hidden="false" customHeight="false" outlineLevel="0" collapsed="false">
      <c r="A349" s="3" t="str">
        <f aca="false">'1. Raw Data'!A348</f>
        <v>EMP-0347</v>
      </c>
      <c r="B349" s="3" t="n">
        <f aca="false">'1. Raw Data'!B348</f>
        <v>21</v>
      </c>
      <c r="C349" s="3" t="str">
        <f aca="false">'1. Raw Data'!C348</f>
        <v>Sales</v>
      </c>
      <c r="D349" s="3" t="str">
        <f aca="false">'1. Raw Data'!D348</f>
        <v>Mid</v>
      </c>
      <c r="E349" s="3" t="str">
        <f aca="false">'1. Raw Data'!E348</f>
        <v>Marketing</v>
      </c>
      <c r="F349" s="3" t="n">
        <f aca="false">'1. Raw Data'!F348</f>
        <v>0</v>
      </c>
      <c r="G349" s="3" t="n">
        <f aca="false">IF('1. Raw Data'!G348="",ROUND(IFERROR(AVERAGEIFS('1. Raw Data'!G2:G1201,'1. Raw Data'!C2:C1201,'1. Raw Data'!C348,'1. Raw Data'!D2:D1201,'1. Raw Data'!D348),0),2),'1. Raw Data'!G348)</f>
        <v>5110.97</v>
      </c>
      <c r="H349" s="3" t="str">
        <f aca="false">PROPER('1. Raw Data'!H348)</f>
        <v>No</v>
      </c>
      <c r="I349" s="3" t="n">
        <f aca="false">'1. Raw Data'!I348</f>
        <v>3</v>
      </c>
      <c r="J349" s="3" t="n">
        <f aca="false">'1. Raw Data'!J348</f>
        <v>3</v>
      </c>
      <c r="K349" s="3" t="n">
        <f aca="false">'1. Raw Data'!K348</f>
        <v>1</v>
      </c>
      <c r="L349" s="3" t="n">
        <f aca="false">'1. Raw Data'!L348</f>
        <v>0</v>
      </c>
      <c r="M349" s="3" t="n">
        <f aca="false">'1. Raw Data'!M348</f>
        <v>0</v>
      </c>
      <c r="N349" s="3" t="str">
        <f aca="false">'1. Raw Data'!N348</f>
        <v>No</v>
      </c>
    </row>
    <row r="350" customFormat="false" ht="15" hidden="false" customHeight="false" outlineLevel="0" collapsed="false">
      <c r="A350" s="3" t="str">
        <f aca="false">'1. Raw Data'!A349</f>
        <v>EMP-0348</v>
      </c>
      <c r="B350" s="3" t="n">
        <f aca="false">'1. Raw Data'!B349</f>
        <v>42</v>
      </c>
      <c r="C350" s="3" t="str">
        <f aca="false">'1. Raw Data'!C349</f>
        <v>Sales</v>
      </c>
      <c r="D350" s="3" t="str">
        <f aca="false">'1. Raw Data'!D349</f>
        <v>Senior</v>
      </c>
      <c r="E350" s="3" t="str">
        <f aca="false">'1. Raw Data'!E349</f>
        <v>Marketing</v>
      </c>
      <c r="F350" s="3" t="n">
        <f aca="false">'1. Raw Data'!F349</f>
        <v>1.6</v>
      </c>
      <c r="G350" s="3" t="n">
        <f aca="false">IF('1. Raw Data'!G349="",ROUND(IFERROR(AVERAGEIFS('1. Raw Data'!G2:G1201,'1. Raw Data'!C2:C1201,'1. Raw Data'!C349,'1. Raw Data'!D2:D1201,'1. Raw Data'!D349),0),2),'1. Raw Data'!G349)</f>
        <v>7840.63</v>
      </c>
      <c r="H350" s="3" t="str">
        <f aca="false">PROPER('1. Raw Data'!H349)</f>
        <v>Yes</v>
      </c>
      <c r="I350" s="3" t="n">
        <f aca="false">'1. Raw Data'!I349</f>
        <v>4</v>
      </c>
      <c r="J350" s="3" t="n">
        <f aca="false">'1. Raw Data'!J349</f>
        <v>4</v>
      </c>
      <c r="K350" s="3" t="n">
        <f aca="false">'1. Raw Data'!K349</f>
        <v>16</v>
      </c>
      <c r="L350" s="3" t="n">
        <f aca="false">'1. Raw Data'!L349</f>
        <v>1</v>
      </c>
      <c r="M350" s="3" t="n">
        <f aca="false">'1. Raw Data'!M349</f>
        <v>1</v>
      </c>
      <c r="N350" s="3" t="str">
        <f aca="false">'1. Raw Data'!N349</f>
        <v>No</v>
      </c>
    </row>
    <row r="351" customFormat="false" ht="15" hidden="false" customHeight="false" outlineLevel="0" collapsed="false">
      <c r="A351" s="3" t="str">
        <f aca="false">'1. Raw Data'!A350</f>
        <v>EMP-0349</v>
      </c>
      <c r="B351" s="3" t="n">
        <f aca="false">'1. Raw Data'!B350</f>
        <v>33</v>
      </c>
      <c r="C351" s="3" t="str">
        <f aca="false">'1. Raw Data'!C350</f>
        <v>Marketing</v>
      </c>
      <c r="D351" s="3" t="str">
        <f aca="false">'1. Raw Data'!D350</f>
        <v>Mid</v>
      </c>
      <c r="E351" s="3" t="str">
        <f aca="false">'1. Raw Data'!E350</f>
        <v>Marketing</v>
      </c>
      <c r="F351" s="3" t="n">
        <f aca="false">'1. Raw Data'!F350</f>
        <v>0.8</v>
      </c>
      <c r="G351" s="3" t="n">
        <f aca="false">IF('1. Raw Data'!G350="",ROUND(IFERROR(AVERAGEIFS('1. Raw Data'!G2:G1201,'1. Raw Data'!C2:C1201,'1. Raw Data'!C350,'1. Raw Data'!D2:D1201,'1. Raw Data'!D350),0),2),'1. Raw Data'!G350)</f>
        <v>5093.3</v>
      </c>
      <c r="H351" s="3" t="str">
        <f aca="false">PROPER('1. Raw Data'!H350)</f>
        <v>Yes</v>
      </c>
      <c r="I351" s="3" t="n">
        <f aca="false">'1. Raw Data'!I350</f>
        <v>4</v>
      </c>
      <c r="J351" s="3" t="n">
        <f aca="false">'1. Raw Data'!J350</f>
        <v>4</v>
      </c>
      <c r="K351" s="3" t="n">
        <f aca="false">'1. Raw Data'!K350</f>
        <v>7</v>
      </c>
      <c r="L351" s="3" t="n">
        <f aca="false">'1. Raw Data'!L350</f>
        <v>0</v>
      </c>
      <c r="M351" s="3" t="n">
        <f aca="false">'1. Raw Data'!M350</f>
        <v>2</v>
      </c>
      <c r="N351" s="3" t="str">
        <f aca="false">'1. Raw Data'!N350</f>
        <v>No</v>
      </c>
    </row>
    <row r="352" customFormat="false" ht="15" hidden="false" customHeight="false" outlineLevel="0" collapsed="false">
      <c r="A352" s="3" t="str">
        <f aca="false">'1. Raw Data'!A351</f>
        <v>EMP-0350</v>
      </c>
      <c r="B352" s="3" t="n">
        <f aca="false">'1. Raw Data'!B351</f>
        <v>36</v>
      </c>
      <c r="C352" s="3" t="str">
        <f aca="false">'1. Raw Data'!C351</f>
        <v>Customer Support</v>
      </c>
      <c r="D352" s="3" t="str">
        <f aca="false">'1. Raw Data'!D351</f>
        <v>Senior</v>
      </c>
      <c r="E352" s="3" t="str">
        <f aca="false">'1. Raw Data'!E351</f>
        <v>Technical</v>
      </c>
      <c r="F352" s="3" t="n">
        <f aca="false">'1. Raw Data'!F351</f>
        <v>7.7</v>
      </c>
      <c r="G352" s="3" t="n">
        <f aca="false">IF('1. Raw Data'!G351="",ROUND(IFERROR(AVERAGEIFS('1. Raw Data'!G2:G1201,'1. Raw Data'!C2:C1201,'1. Raw Data'!C351,'1. Raw Data'!D2:D1201,'1. Raw Data'!D351),0),2),'1. Raw Data'!G351)</f>
        <v>7391.39</v>
      </c>
      <c r="H352" s="3" t="str">
        <f aca="false">PROPER('1. Raw Data'!H351)</f>
        <v>No</v>
      </c>
      <c r="I352" s="3" t="n">
        <f aca="false">'1. Raw Data'!I351</f>
        <v>2</v>
      </c>
      <c r="J352" s="3" t="n">
        <f aca="false">'1. Raw Data'!J351</f>
        <v>1</v>
      </c>
      <c r="K352" s="3" t="n">
        <f aca="false">'1. Raw Data'!K351</f>
        <v>22</v>
      </c>
      <c r="L352" s="3" t="n">
        <f aca="false">'1. Raw Data'!L351</f>
        <v>5</v>
      </c>
      <c r="M352" s="3" t="n">
        <f aca="false">'1. Raw Data'!M351</f>
        <v>2</v>
      </c>
      <c r="N352" s="3" t="str">
        <f aca="false">'1. Raw Data'!N351</f>
        <v>Yes</v>
      </c>
    </row>
    <row r="353" customFormat="false" ht="15" hidden="false" customHeight="false" outlineLevel="0" collapsed="false">
      <c r="A353" s="3" t="str">
        <f aca="false">'1. Raw Data'!A352</f>
        <v>EMP-0351</v>
      </c>
      <c r="B353" s="3" t="n">
        <f aca="false">'1. Raw Data'!B352</f>
        <v>39</v>
      </c>
      <c r="C353" s="3" t="str">
        <f aca="false">'1. Raw Data'!C352</f>
        <v>Customer Support</v>
      </c>
      <c r="D353" s="3" t="str">
        <f aca="false">'1. Raw Data'!D352</f>
        <v>Mid</v>
      </c>
      <c r="E353" s="3" t="str">
        <f aca="false">'1. Raw Data'!E352</f>
        <v>Technical</v>
      </c>
      <c r="F353" s="3" t="n">
        <f aca="false">'1. Raw Data'!F352</f>
        <v>2.1</v>
      </c>
      <c r="G353" s="3" t="n">
        <f aca="false">IF('1. Raw Data'!G352="",ROUND(IFERROR(AVERAGEIFS('1. Raw Data'!G2:G1201,'1. Raw Data'!C2:C1201,'1. Raw Data'!C352,'1. Raw Data'!D2:D1201,'1. Raw Data'!D352),0),2),'1. Raw Data'!G352)</f>
        <v>4906.05</v>
      </c>
      <c r="H353" s="3" t="str">
        <f aca="false">PROPER('1. Raw Data'!H352)</f>
        <v>Yes</v>
      </c>
      <c r="I353" s="3" t="n">
        <f aca="false">'1. Raw Data'!I352</f>
        <v>3</v>
      </c>
      <c r="J353" s="3" t="n">
        <f aca="false">'1. Raw Data'!J352</f>
        <v>1</v>
      </c>
      <c r="K353" s="3" t="n">
        <f aca="false">'1. Raw Data'!K352</f>
        <v>2</v>
      </c>
      <c r="L353" s="3" t="n">
        <f aca="false">'1. Raw Data'!L352</f>
        <v>0</v>
      </c>
      <c r="M353" s="3" t="n">
        <f aca="false">'1. Raw Data'!M352</f>
        <v>4</v>
      </c>
      <c r="N353" s="3" t="str">
        <f aca="false">'1. Raw Data'!N352</f>
        <v>Yes</v>
      </c>
    </row>
    <row r="354" customFormat="false" ht="15" hidden="false" customHeight="false" outlineLevel="0" collapsed="false">
      <c r="A354" s="3" t="str">
        <f aca="false">'1. Raw Data'!A353</f>
        <v>EMP-0352</v>
      </c>
      <c r="B354" s="3" t="n">
        <f aca="false">'1. Raw Data'!B353</f>
        <v>24</v>
      </c>
      <c r="C354" s="3" t="str">
        <f aca="false">'1. Raw Data'!C353</f>
        <v>Engineering</v>
      </c>
      <c r="D354" s="3" t="str">
        <f aca="false">'1. Raw Data'!D353</f>
        <v>Junior</v>
      </c>
      <c r="E354" s="3" t="str">
        <f aca="false">'1. Raw Data'!E353</f>
        <v>Technical</v>
      </c>
      <c r="F354" s="3" t="n">
        <f aca="false">'1. Raw Data'!F353</f>
        <v>2.5</v>
      </c>
      <c r="G354" s="3" t="n">
        <f aca="false">IF('1. Raw Data'!G353="",ROUND(IFERROR(AVERAGEIFS('1. Raw Data'!G2:G1201,'1. Raw Data'!C2:C1201,'1. Raw Data'!C353,'1. Raw Data'!D2:D1201,'1. Raw Data'!D353),0),2),'1. Raw Data'!G353)</f>
        <v>3256.4</v>
      </c>
      <c r="H354" s="3" t="str">
        <f aca="false">PROPER('1. Raw Data'!H353)</f>
        <v>No</v>
      </c>
      <c r="I354" s="3" t="n">
        <f aca="false">'1. Raw Data'!I353</f>
        <v>4</v>
      </c>
      <c r="J354" s="3" t="n">
        <f aca="false">'1. Raw Data'!J353</f>
        <v>4</v>
      </c>
      <c r="K354" s="3" t="n">
        <f aca="false">'1. Raw Data'!K353</f>
        <v>10</v>
      </c>
      <c r="L354" s="3" t="n">
        <f aca="false">'1. Raw Data'!L353</f>
        <v>0</v>
      </c>
      <c r="M354" s="3" t="n">
        <f aca="false">'1. Raw Data'!M353</f>
        <v>2</v>
      </c>
      <c r="N354" s="3" t="str">
        <f aca="false">'1. Raw Data'!N353</f>
        <v>No</v>
      </c>
    </row>
    <row r="355" customFormat="false" ht="15" hidden="false" customHeight="false" outlineLevel="0" collapsed="false">
      <c r="A355" s="3" t="str">
        <f aca="false">'1. Raw Data'!A354</f>
        <v>EMP-0353</v>
      </c>
      <c r="B355" s="3" t="n">
        <f aca="false">'1. Raw Data'!B354</f>
        <v>36</v>
      </c>
      <c r="C355" s="3" t="str">
        <f aca="false">'1. Raw Data'!C354</f>
        <v>Engineering</v>
      </c>
      <c r="D355" s="3" t="str">
        <f aca="false">'1. Raw Data'!D354</f>
        <v>Mid</v>
      </c>
      <c r="E355" s="3" t="str">
        <f aca="false">'1. Raw Data'!E354</f>
        <v>Marketing</v>
      </c>
      <c r="F355" s="3" t="n">
        <f aca="false">'1. Raw Data'!F354</f>
        <v>1.1</v>
      </c>
      <c r="G355" s="3" t="n">
        <f aca="false">IF('1. Raw Data'!G354="",ROUND(IFERROR(AVERAGEIFS('1. Raw Data'!G2:G1201,'1. Raw Data'!C2:C1201,'1. Raw Data'!C354,'1. Raw Data'!D2:D1201,'1. Raw Data'!D354),0),2),'1. Raw Data'!G354)</f>
        <v>5425.86</v>
      </c>
      <c r="H355" s="3" t="str">
        <f aca="false">PROPER('1. Raw Data'!H354)</f>
        <v>No</v>
      </c>
      <c r="I355" s="3" t="n">
        <f aca="false">'1. Raw Data'!I354</f>
        <v>4</v>
      </c>
      <c r="J355" s="3" t="n">
        <f aca="false">'1. Raw Data'!J354</f>
        <v>3</v>
      </c>
      <c r="K355" s="3" t="n">
        <f aca="false">'1. Raw Data'!K354</f>
        <v>1</v>
      </c>
      <c r="L355" s="3" t="n">
        <f aca="false">'1. Raw Data'!L354</f>
        <v>1</v>
      </c>
      <c r="M355" s="3" t="n">
        <f aca="false">'1. Raw Data'!M354</f>
        <v>0</v>
      </c>
      <c r="N355" s="3" t="str">
        <f aca="false">'1. Raw Data'!N354</f>
        <v>No</v>
      </c>
    </row>
    <row r="356" customFormat="false" ht="15" hidden="false" customHeight="false" outlineLevel="0" collapsed="false">
      <c r="A356" s="3" t="str">
        <f aca="false">'1. Raw Data'!A355</f>
        <v>EMP-0354</v>
      </c>
      <c r="B356" s="3" t="n">
        <f aca="false">'1. Raw Data'!B355</f>
        <v>44</v>
      </c>
      <c r="C356" s="3" t="str">
        <f aca="false">'1. Raw Data'!C355</f>
        <v>HR</v>
      </c>
      <c r="D356" s="3" t="str">
        <f aca="false">'1. Raw Data'!D355</f>
        <v>Senior</v>
      </c>
      <c r="E356" s="3" t="str">
        <f aca="false">'1. Raw Data'!E355</f>
        <v>Technical</v>
      </c>
      <c r="F356" s="3" t="n">
        <f aca="false">'1. Raw Data'!F355</f>
        <v>2.8</v>
      </c>
      <c r="G356" s="3" t="n">
        <f aca="false">IF('1. Raw Data'!G355="",ROUND(IFERROR(AVERAGEIFS('1. Raw Data'!G2:G1201,'1. Raw Data'!C2:C1201,'1. Raw Data'!C355,'1. Raw Data'!D2:D1201,'1. Raw Data'!D355),0),2),'1. Raw Data'!G355)</f>
        <v>7860.21</v>
      </c>
      <c r="H356" s="3" t="str">
        <f aca="false">PROPER('1. Raw Data'!H355)</f>
        <v>No</v>
      </c>
      <c r="I356" s="3" t="n">
        <f aca="false">'1. Raw Data'!I355</f>
        <v>1</v>
      </c>
      <c r="J356" s="3" t="n">
        <f aca="false">'1. Raw Data'!J355</f>
        <v>3</v>
      </c>
      <c r="K356" s="3" t="n">
        <f aca="false">'1. Raw Data'!K355</f>
        <v>12</v>
      </c>
      <c r="L356" s="3" t="n">
        <f aca="false">'1. Raw Data'!L355</f>
        <v>2</v>
      </c>
      <c r="M356" s="3" t="n">
        <f aca="false">'1. Raw Data'!M355</f>
        <v>1</v>
      </c>
      <c r="N356" s="3" t="str">
        <f aca="false">'1. Raw Data'!N355</f>
        <v>No</v>
      </c>
    </row>
    <row r="357" customFormat="false" ht="15" hidden="false" customHeight="false" outlineLevel="0" collapsed="false">
      <c r="A357" s="3" t="str">
        <f aca="false">'1. Raw Data'!A356</f>
        <v>EMP-0355</v>
      </c>
      <c r="B357" s="3" t="n">
        <f aca="false">'1. Raw Data'!B356</f>
        <v>28</v>
      </c>
      <c r="C357" s="3" t="str">
        <f aca="false">'1. Raw Data'!C356</f>
        <v>Finance</v>
      </c>
      <c r="D357" s="3" t="str">
        <f aca="false">'1. Raw Data'!D356</f>
        <v>Junior</v>
      </c>
      <c r="E357" s="3" t="str">
        <f aca="false">'1. Raw Data'!E356</f>
        <v>Business</v>
      </c>
      <c r="F357" s="3" t="n">
        <f aca="false">'1. Raw Data'!F356</f>
        <v>0.4</v>
      </c>
      <c r="G357" s="3" t="n">
        <f aca="false">IF('1. Raw Data'!G356="",ROUND(IFERROR(AVERAGEIFS('1. Raw Data'!G2:G1201,'1. Raw Data'!C2:C1201,'1. Raw Data'!C356,'1. Raw Data'!D2:D1201,'1. Raw Data'!D356),0),2),'1. Raw Data'!G356)</f>
        <v>3000.84</v>
      </c>
      <c r="H357" s="3" t="str">
        <f aca="false">PROPER('1. Raw Data'!H356)</f>
        <v>No</v>
      </c>
      <c r="I357" s="3" t="n">
        <f aca="false">'1. Raw Data'!I356</f>
        <v>3</v>
      </c>
      <c r="J357" s="3" t="n">
        <f aca="false">'1. Raw Data'!J356</f>
        <v>2</v>
      </c>
      <c r="K357" s="3" t="n">
        <f aca="false">'1. Raw Data'!K356</f>
        <v>1</v>
      </c>
      <c r="L357" s="3" t="n">
        <f aca="false">'1. Raw Data'!L356</f>
        <v>0</v>
      </c>
      <c r="M357" s="3" t="n">
        <f aca="false">'1. Raw Data'!M356</f>
        <v>1</v>
      </c>
      <c r="N357" s="3" t="str">
        <f aca="false">'1. Raw Data'!N356</f>
        <v>No</v>
      </c>
    </row>
    <row r="358" customFormat="false" ht="15" hidden="false" customHeight="false" outlineLevel="0" collapsed="false">
      <c r="A358" s="3" t="str">
        <f aca="false">'1. Raw Data'!A357</f>
        <v>EMP-0356</v>
      </c>
      <c r="B358" s="3" t="n">
        <f aca="false">'1. Raw Data'!B357</f>
        <v>41</v>
      </c>
      <c r="C358" s="3" t="str">
        <f aca="false">'1. Raw Data'!C357</f>
        <v>Customer Support</v>
      </c>
      <c r="D358" s="3" t="str">
        <f aca="false">'1. Raw Data'!D357</f>
        <v>Mid</v>
      </c>
      <c r="E358" s="3" t="str">
        <f aca="false">'1. Raw Data'!E357</f>
        <v>Other</v>
      </c>
      <c r="F358" s="3" t="n">
        <f aca="false">'1. Raw Data'!F357</f>
        <v>0.6</v>
      </c>
      <c r="G358" s="3" t="n">
        <f aca="false">IF('1. Raw Data'!G357="",ROUND(IFERROR(AVERAGEIFS('1. Raw Data'!G2:G1201,'1. Raw Data'!C2:C1201,'1. Raw Data'!C357,'1. Raw Data'!D2:D1201,'1. Raw Data'!D357),0),2),'1. Raw Data'!G357)</f>
        <v>4744.15</v>
      </c>
      <c r="H358" s="3" t="str">
        <f aca="false">PROPER('1. Raw Data'!H357)</f>
        <v>Yes</v>
      </c>
      <c r="I358" s="3" t="n">
        <f aca="false">'1. Raw Data'!I357</f>
        <v>4</v>
      </c>
      <c r="J358" s="3" t="n">
        <f aca="false">'1. Raw Data'!J357</f>
        <v>4</v>
      </c>
      <c r="K358" s="3" t="n">
        <f aca="false">'1. Raw Data'!K357</f>
        <v>2</v>
      </c>
      <c r="L358" s="3" t="n">
        <f aca="false">'1. Raw Data'!L357</f>
        <v>0</v>
      </c>
      <c r="M358" s="3" t="n">
        <f aca="false">'1. Raw Data'!M357</f>
        <v>1</v>
      </c>
      <c r="N358" s="3" t="str">
        <f aca="false">'1. Raw Data'!N357</f>
        <v>Yes</v>
      </c>
    </row>
    <row r="359" customFormat="false" ht="15" hidden="false" customHeight="false" outlineLevel="0" collapsed="false">
      <c r="A359" s="3" t="str">
        <f aca="false">'1. Raw Data'!A358</f>
        <v>EMP-0357</v>
      </c>
      <c r="B359" s="3" t="n">
        <f aca="false">'1. Raw Data'!B358</f>
        <v>21</v>
      </c>
      <c r="C359" s="3" t="str">
        <f aca="false">'1. Raw Data'!C358</f>
        <v>Customer Support</v>
      </c>
      <c r="D359" s="3" t="str">
        <f aca="false">'1. Raw Data'!D358</f>
        <v>Mid</v>
      </c>
      <c r="E359" s="3" t="str">
        <f aca="false">'1. Raw Data'!E358</f>
        <v>Business</v>
      </c>
      <c r="F359" s="3" t="n">
        <f aca="false">'1. Raw Data'!F358</f>
        <v>0</v>
      </c>
      <c r="G359" s="3" t="n">
        <f aca="false">IF('1. Raw Data'!G358="",ROUND(IFERROR(AVERAGEIFS('1. Raw Data'!G2:G1201,'1. Raw Data'!C2:C1201,'1. Raw Data'!C358,'1. Raw Data'!D2:D1201,'1. Raw Data'!D358),0),2),'1. Raw Data'!G358)</f>
        <v>5675.92</v>
      </c>
      <c r="H359" s="3" t="str">
        <f aca="false">PROPER('1. Raw Data'!H358)</f>
        <v>Yes</v>
      </c>
      <c r="I359" s="3" t="n">
        <f aca="false">'1. Raw Data'!I358</f>
        <v>3</v>
      </c>
      <c r="J359" s="3" t="n">
        <f aca="false">'1. Raw Data'!J358</f>
        <v>4</v>
      </c>
      <c r="K359" s="3" t="n">
        <f aca="false">'1. Raw Data'!K358</f>
        <v>9</v>
      </c>
      <c r="L359" s="3" t="n">
        <f aca="false">'1. Raw Data'!L358</f>
        <v>0</v>
      </c>
      <c r="M359" s="3" t="n">
        <f aca="false">'1. Raw Data'!M358</f>
        <v>1</v>
      </c>
      <c r="N359" s="3" t="str">
        <f aca="false">'1. Raw Data'!N358</f>
        <v>Yes</v>
      </c>
    </row>
    <row r="360" customFormat="false" ht="15" hidden="false" customHeight="false" outlineLevel="0" collapsed="false">
      <c r="A360" s="3" t="str">
        <f aca="false">'1. Raw Data'!A359</f>
        <v>EMP-0358</v>
      </c>
      <c r="B360" s="3" t="n">
        <f aca="false">'1. Raw Data'!B359</f>
        <v>21</v>
      </c>
      <c r="C360" s="3" t="str">
        <f aca="false">'1. Raw Data'!C359</f>
        <v>Engineering</v>
      </c>
      <c r="D360" s="3" t="str">
        <f aca="false">'1. Raw Data'!D359</f>
        <v>Mid</v>
      </c>
      <c r="E360" s="3" t="str">
        <f aca="false">'1. Raw Data'!E359</f>
        <v>Other</v>
      </c>
      <c r="F360" s="3" t="n">
        <f aca="false">'1. Raw Data'!F359</f>
        <v>0</v>
      </c>
      <c r="G360" s="3" t="n">
        <f aca="false">IF('1. Raw Data'!G359="",ROUND(IFERROR(AVERAGEIFS('1. Raw Data'!G2:G1201,'1. Raw Data'!C2:C1201,'1. Raw Data'!C359,'1. Raw Data'!D2:D1201,'1. Raw Data'!D359),0),2),'1. Raw Data'!G359)</f>
        <v>5123.3</v>
      </c>
      <c r="H360" s="3" t="str">
        <f aca="false">PROPER('1. Raw Data'!H359)</f>
        <v>No</v>
      </c>
      <c r="I360" s="3" t="n">
        <f aca="false">'1. Raw Data'!I359</f>
        <v>1</v>
      </c>
      <c r="J360" s="3" t="n">
        <f aca="false">'1. Raw Data'!J359</f>
        <v>4</v>
      </c>
      <c r="K360" s="3" t="n">
        <f aca="false">'1. Raw Data'!K359</f>
        <v>9</v>
      </c>
      <c r="L360" s="3" t="n">
        <f aca="false">'1. Raw Data'!L359</f>
        <v>0</v>
      </c>
      <c r="M360" s="3" t="n">
        <f aca="false">'1. Raw Data'!M359</f>
        <v>3</v>
      </c>
      <c r="N360" s="3" t="str">
        <f aca="false">'1. Raw Data'!N359</f>
        <v>No</v>
      </c>
    </row>
    <row r="361" customFormat="false" ht="15" hidden="false" customHeight="false" outlineLevel="0" collapsed="false">
      <c r="A361" s="3" t="str">
        <f aca="false">'1. Raw Data'!A360</f>
        <v>EMP-0359</v>
      </c>
      <c r="B361" s="3" t="n">
        <f aca="false">'1. Raw Data'!B360</f>
        <v>22</v>
      </c>
      <c r="C361" s="3" t="str">
        <f aca="false">'1. Raw Data'!C360</f>
        <v>HR</v>
      </c>
      <c r="D361" s="3" t="str">
        <f aca="false">'1. Raw Data'!D360</f>
        <v>Mid</v>
      </c>
      <c r="E361" s="3" t="str">
        <f aca="false">'1. Raw Data'!E360</f>
        <v>Other</v>
      </c>
      <c r="F361" s="3" t="n">
        <f aca="false">'1. Raw Data'!F360</f>
        <v>1</v>
      </c>
      <c r="G361" s="3" t="n">
        <f aca="false">IF('1. Raw Data'!G360="",ROUND(IFERROR(AVERAGEIFS('1. Raw Data'!G2:G1201,'1. Raw Data'!C2:C1201,'1. Raw Data'!C360,'1. Raw Data'!D2:D1201,'1. Raw Data'!D360),0),2),'1. Raw Data'!G360)</f>
        <v>5053.91</v>
      </c>
      <c r="H361" s="3" t="str">
        <f aca="false">PROPER('1. Raw Data'!H360)</f>
        <v>Yes</v>
      </c>
      <c r="I361" s="3" t="n">
        <f aca="false">'1. Raw Data'!I360</f>
        <v>3</v>
      </c>
      <c r="J361" s="3" t="n">
        <f aca="false">'1. Raw Data'!J360</f>
        <v>4</v>
      </c>
      <c r="K361" s="3" t="n">
        <f aca="false">'1. Raw Data'!K360</f>
        <v>4</v>
      </c>
      <c r="L361" s="3" t="n">
        <f aca="false">'1. Raw Data'!L360</f>
        <v>1</v>
      </c>
      <c r="M361" s="3" t="n">
        <f aca="false">'1. Raw Data'!M360</f>
        <v>0</v>
      </c>
      <c r="N361" s="3" t="str">
        <f aca="false">'1. Raw Data'!N360</f>
        <v>Yes</v>
      </c>
    </row>
    <row r="362" customFormat="false" ht="15" hidden="false" customHeight="false" outlineLevel="0" collapsed="false">
      <c r="A362" s="3" t="str">
        <f aca="false">'1. Raw Data'!A361</f>
        <v>EMP-0360</v>
      </c>
      <c r="B362" s="3" t="n">
        <f aca="false">'1. Raw Data'!B361</f>
        <v>44</v>
      </c>
      <c r="C362" s="3" t="str">
        <f aca="false">'1. Raw Data'!C361</f>
        <v>Marketing</v>
      </c>
      <c r="D362" s="3" t="str">
        <f aca="false">'1. Raw Data'!D361</f>
        <v>Mid</v>
      </c>
      <c r="E362" s="3" t="str">
        <f aca="false">'1. Raw Data'!E361</f>
        <v>Marketing</v>
      </c>
      <c r="F362" s="3" t="n">
        <f aca="false">'1. Raw Data'!F361</f>
        <v>0.9</v>
      </c>
      <c r="G362" s="3" t="n">
        <f aca="false">IF('1. Raw Data'!G361="",ROUND(IFERROR(AVERAGEIFS('1. Raw Data'!G2:G1201,'1. Raw Data'!C2:C1201,'1. Raw Data'!C361,'1. Raw Data'!D2:D1201,'1. Raw Data'!D361),0),2),'1. Raw Data'!G361)</f>
        <v>5676.67</v>
      </c>
      <c r="H362" s="3" t="str">
        <f aca="false">PROPER('1. Raw Data'!H361)</f>
        <v>Yes</v>
      </c>
      <c r="I362" s="3" t="n">
        <f aca="false">'1. Raw Data'!I361</f>
        <v>2</v>
      </c>
      <c r="J362" s="3" t="n">
        <f aca="false">'1. Raw Data'!J361</f>
        <v>3</v>
      </c>
      <c r="K362" s="3" t="n">
        <f aca="false">'1. Raw Data'!K361</f>
        <v>17</v>
      </c>
      <c r="L362" s="3" t="n">
        <f aca="false">'1. Raw Data'!L361</f>
        <v>0</v>
      </c>
      <c r="M362" s="3" t="n">
        <f aca="false">'1. Raw Data'!M361</f>
        <v>1</v>
      </c>
      <c r="N362" s="3" t="str">
        <f aca="false">'1. Raw Data'!N361</f>
        <v>No</v>
      </c>
    </row>
    <row r="363" customFormat="false" ht="15" hidden="false" customHeight="false" outlineLevel="0" collapsed="false">
      <c r="A363" s="3" t="str">
        <f aca="false">'1. Raw Data'!A362</f>
        <v>EMP-0361</v>
      </c>
      <c r="B363" s="3" t="n">
        <f aca="false">'1. Raw Data'!B362</f>
        <v>31</v>
      </c>
      <c r="C363" s="3" t="str">
        <f aca="false">'1. Raw Data'!C362</f>
        <v>Engineering</v>
      </c>
      <c r="D363" s="3" t="str">
        <f aca="false">'1. Raw Data'!D362</f>
        <v>Junior</v>
      </c>
      <c r="E363" s="3" t="str">
        <f aca="false">'1. Raw Data'!E362</f>
        <v>Technical</v>
      </c>
      <c r="F363" s="3" t="n">
        <f aca="false">'1. Raw Data'!F362</f>
        <v>0</v>
      </c>
      <c r="G363" s="3" t="n">
        <f aca="false">IF('1. Raw Data'!G362="",ROUND(IFERROR(AVERAGEIFS('1. Raw Data'!G2:G1201,'1. Raw Data'!C2:C1201,'1. Raw Data'!C362,'1. Raw Data'!D2:D1201,'1. Raw Data'!D362),0),2),'1. Raw Data'!G362)</f>
        <v>3754.65</v>
      </c>
      <c r="H363" s="3" t="str">
        <f aca="false">PROPER('1. Raw Data'!H362)</f>
        <v>No</v>
      </c>
      <c r="I363" s="3" t="n">
        <f aca="false">'1. Raw Data'!I362</f>
        <v>4</v>
      </c>
      <c r="J363" s="3" t="n">
        <f aca="false">'1. Raw Data'!J362</f>
        <v>2</v>
      </c>
      <c r="K363" s="3" t="n">
        <f aca="false">'1. Raw Data'!K362</f>
        <v>10</v>
      </c>
      <c r="L363" s="3" t="n">
        <f aca="false">'1. Raw Data'!L362</f>
        <v>0</v>
      </c>
      <c r="M363" s="3" t="n">
        <f aca="false">'1. Raw Data'!M362</f>
        <v>1</v>
      </c>
      <c r="N363" s="3" t="str">
        <f aca="false">'1. Raw Data'!N362</f>
        <v>No</v>
      </c>
    </row>
    <row r="364" customFormat="false" ht="15" hidden="false" customHeight="false" outlineLevel="0" collapsed="false">
      <c r="A364" s="3" t="str">
        <f aca="false">'1. Raw Data'!A363</f>
        <v>EMP-0362</v>
      </c>
      <c r="B364" s="3" t="n">
        <f aca="false">'1. Raw Data'!B363</f>
        <v>39</v>
      </c>
      <c r="C364" s="3" t="str">
        <f aca="false">'1. Raw Data'!C363</f>
        <v>Sales</v>
      </c>
      <c r="D364" s="3" t="str">
        <f aca="false">'1. Raw Data'!D363</f>
        <v>Senior</v>
      </c>
      <c r="E364" s="3" t="str">
        <f aca="false">'1. Raw Data'!E363</f>
        <v>Business</v>
      </c>
      <c r="F364" s="3" t="n">
        <f aca="false">'1. Raw Data'!F363</f>
        <v>6.5</v>
      </c>
      <c r="G364" s="3" t="n">
        <f aca="false">IF('1. Raw Data'!G363="",ROUND(IFERROR(AVERAGEIFS('1. Raw Data'!G2:G1201,'1. Raw Data'!C2:C1201,'1. Raw Data'!C363,'1. Raw Data'!D2:D1201,'1. Raw Data'!D363),0),2),'1. Raw Data'!G363)</f>
        <v>8001.75</v>
      </c>
      <c r="H364" s="3" t="str">
        <f aca="false">PROPER('1. Raw Data'!H363)</f>
        <v>No</v>
      </c>
      <c r="I364" s="3" t="n">
        <f aca="false">'1. Raw Data'!I363</f>
        <v>3</v>
      </c>
      <c r="J364" s="3" t="n">
        <f aca="false">'1. Raw Data'!J363</f>
        <v>2</v>
      </c>
      <c r="K364" s="3" t="n">
        <f aca="false">'1. Raw Data'!K363</f>
        <v>1</v>
      </c>
      <c r="L364" s="3" t="n">
        <f aca="false">'1. Raw Data'!L363</f>
        <v>0</v>
      </c>
      <c r="M364" s="3" t="n">
        <f aca="false">'1. Raw Data'!M363</f>
        <v>2</v>
      </c>
      <c r="N364" s="3" t="str">
        <f aca="false">'1. Raw Data'!N363</f>
        <v>No</v>
      </c>
    </row>
    <row r="365" customFormat="false" ht="15" hidden="false" customHeight="false" outlineLevel="0" collapsed="false">
      <c r="A365" s="3" t="str">
        <f aca="false">'1. Raw Data'!A364</f>
        <v>EMP-0363</v>
      </c>
      <c r="B365" s="3" t="n">
        <f aca="false">'1. Raw Data'!B364</f>
        <v>23</v>
      </c>
      <c r="C365" s="3" t="str">
        <f aca="false">'1. Raw Data'!C364</f>
        <v>Engineering</v>
      </c>
      <c r="D365" s="3" t="str">
        <f aca="false">'1. Raw Data'!D364</f>
        <v>Mid</v>
      </c>
      <c r="E365" s="3" t="str">
        <f aca="false">'1. Raw Data'!E364</f>
        <v>Marketing</v>
      </c>
      <c r="F365" s="3" t="n">
        <f aca="false">'1. Raw Data'!F364</f>
        <v>0.3</v>
      </c>
      <c r="G365" s="3" t="n">
        <f aca="false">IF('1. Raw Data'!G364="",ROUND(IFERROR(AVERAGEIFS('1. Raw Data'!G2:G1201,'1. Raw Data'!C2:C1201,'1. Raw Data'!C364,'1. Raw Data'!D2:D1201,'1. Raw Data'!D364),0),2),'1. Raw Data'!G364)</f>
        <v>4902.49</v>
      </c>
      <c r="H365" s="3" t="str">
        <f aca="false">PROPER('1. Raw Data'!H364)</f>
        <v>No</v>
      </c>
      <c r="I365" s="3" t="n">
        <f aca="false">'1. Raw Data'!I364</f>
        <v>2</v>
      </c>
      <c r="J365" s="3" t="n">
        <f aca="false">'1. Raw Data'!J364</f>
        <v>3</v>
      </c>
      <c r="K365" s="3" t="n">
        <f aca="false">'1. Raw Data'!K364</f>
        <v>12</v>
      </c>
      <c r="L365" s="3" t="n">
        <f aca="false">'1. Raw Data'!L364</f>
        <v>0</v>
      </c>
      <c r="M365" s="3" t="n">
        <f aca="false">'1. Raw Data'!M364</f>
        <v>3</v>
      </c>
      <c r="N365" s="3" t="str">
        <f aca="false">'1. Raw Data'!N364</f>
        <v>No</v>
      </c>
    </row>
    <row r="366" customFormat="false" ht="15" hidden="false" customHeight="false" outlineLevel="0" collapsed="false">
      <c r="A366" s="3" t="str">
        <f aca="false">'1. Raw Data'!A365</f>
        <v>EMP-0364</v>
      </c>
      <c r="B366" s="3" t="n">
        <f aca="false">'1. Raw Data'!B365</f>
        <v>32</v>
      </c>
      <c r="C366" s="3" t="str">
        <f aca="false">'1. Raw Data'!C365</f>
        <v>Customer Support</v>
      </c>
      <c r="D366" s="3" t="str">
        <f aca="false">'1. Raw Data'!D365</f>
        <v>Lead</v>
      </c>
      <c r="E366" s="3" t="str">
        <f aca="false">'1. Raw Data'!E365</f>
        <v>Marketing</v>
      </c>
      <c r="F366" s="3" t="n">
        <f aca="false">'1. Raw Data'!F365</f>
        <v>0.3</v>
      </c>
      <c r="G366" s="3" t="n">
        <f aca="false">IF('1. Raw Data'!G365="",ROUND(IFERROR(AVERAGEIFS('1. Raw Data'!G2:G1201,'1. Raw Data'!C2:C1201,'1. Raw Data'!C365,'1. Raw Data'!D2:D1201,'1. Raw Data'!D365),0),2),'1. Raw Data'!G365)</f>
        <v>8606.61</v>
      </c>
      <c r="H366" s="3" t="str">
        <f aca="false">PROPER('1. Raw Data'!H365)</f>
        <v>Yes</v>
      </c>
      <c r="I366" s="3" t="n">
        <f aca="false">'1. Raw Data'!I365</f>
        <v>2</v>
      </c>
      <c r="J366" s="3" t="n">
        <f aca="false">'1. Raw Data'!J365</f>
        <v>4</v>
      </c>
      <c r="K366" s="3" t="n">
        <f aca="false">'1. Raw Data'!K365</f>
        <v>1</v>
      </c>
      <c r="L366" s="3" t="n">
        <f aca="false">'1. Raw Data'!L365</f>
        <v>0</v>
      </c>
      <c r="M366" s="3" t="n">
        <f aca="false">'1. Raw Data'!M365</f>
        <v>2</v>
      </c>
      <c r="N366" s="3" t="str">
        <f aca="false">'1. Raw Data'!N365</f>
        <v>No</v>
      </c>
    </row>
    <row r="367" customFormat="false" ht="15" hidden="false" customHeight="false" outlineLevel="0" collapsed="false">
      <c r="A367" s="3" t="str">
        <f aca="false">'1. Raw Data'!A366</f>
        <v>EMP-0365</v>
      </c>
      <c r="B367" s="3" t="n">
        <f aca="false">'1. Raw Data'!B366</f>
        <v>23</v>
      </c>
      <c r="C367" s="3" t="str">
        <f aca="false">'1. Raw Data'!C366</f>
        <v>HR</v>
      </c>
      <c r="D367" s="3" t="str">
        <f aca="false">'1. Raw Data'!D366</f>
        <v>Senior</v>
      </c>
      <c r="E367" s="3" t="str">
        <f aca="false">'1. Raw Data'!E366</f>
        <v>Technical</v>
      </c>
      <c r="F367" s="3" t="n">
        <f aca="false">'1. Raw Data'!F366</f>
        <v>2</v>
      </c>
      <c r="G367" s="3" t="n">
        <f aca="false">IF('1. Raw Data'!G366="",ROUND(IFERROR(AVERAGEIFS('1. Raw Data'!G2:G1201,'1. Raw Data'!C2:C1201,'1. Raw Data'!C366,'1. Raw Data'!D2:D1201,'1. Raw Data'!D366),0),2),'1. Raw Data'!G366)</f>
        <v>7362.84</v>
      </c>
      <c r="H367" s="3" t="str">
        <f aca="false">PROPER('1. Raw Data'!H366)</f>
        <v>No</v>
      </c>
      <c r="I367" s="3" t="n">
        <f aca="false">'1. Raw Data'!I366</f>
        <v>2</v>
      </c>
      <c r="J367" s="3" t="n">
        <f aca="false">'1. Raw Data'!J366</f>
        <v>4</v>
      </c>
      <c r="K367" s="3" t="n">
        <f aca="false">'1. Raw Data'!K366</f>
        <v>12</v>
      </c>
      <c r="L367" s="3" t="n">
        <f aca="false">'1. Raw Data'!L366</f>
        <v>1</v>
      </c>
      <c r="M367" s="3" t="n">
        <f aca="false">'1. Raw Data'!M366</f>
        <v>2</v>
      </c>
      <c r="N367" s="3" t="str">
        <f aca="false">'1. Raw Data'!N366</f>
        <v>Yes</v>
      </c>
    </row>
    <row r="368" customFormat="false" ht="15" hidden="false" customHeight="false" outlineLevel="0" collapsed="false">
      <c r="A368" s="3" t="str">
        <f aca="false">'1. Raw Data'!A367</f>
        <v>EMP-0366</v>
      </c>
      <c r="B368" s="3" t="n">
        <f aca="false">'1. Raw Data'!B367</f>
        <v>42</v>
      </c>
      <c r="C368" s="3" t="str">
        <f aca="false">'1. Raw Data'!C367</f>
        <v>Sales</v>
      </c>
      <c r="D368" s="3" t="str">
        <f aca="false">'1. Raw Data'!D367</f>
        <v>Mid</v>
      </c>
      <c r="E368" s="3" t="str">
        <f aca="false">'1. Raw Data'!E367</f>
        <v>Other</v>
      </c>
      <c r="F368" s="3" t="n">
        <f aca="false">'1. Raw Data'!F367</f>
        <v>3.1</v>
      </c>
      <c r="G368" s="3" t="n">
        <f aca="false">IF('1. Raw Data'!G367="",ROUND(IFERROR(AVERAGEIFS('1. Raw Data'!G2:G1201,'1. Raw Data'!C2:C1201,'1. Raw Data'!C367,'1. Raw Data'!D2:D1201,'1. Raw Data'!D367),0),2),'1. Raw Data'!G367)</f>
        <v>5210.36</v>
      </c>
      <c r="H368" s="3" t="str">
        <f aca="false">PROPER('1. Raw Data'!H367)</f>
        <v>No</v>
      </c>
      <c r="I368" s="3" t="n">
        <f aca="false">'1. Raw Data'!I367</f>
        <v>3</v>
      </c>
      <c r="J368" s="3" t="n">
        <f aca="false">'1. Raw Data'!J367</f>
        <v>3</v>
      </c>
      <c r="K368" s="3" t="n">
        <f aca="false">'1. Raw Data'!K367</f>
        <v>6</v>
      </c>
      <c r="L368" s="3" t="n">
        <f aca="false">'1. Raw Data'!L367</f>
        <v>1</v>
      </c>
      <c r="M368" s="3" t="n">
        <f aca="false">'1. Raw Data'!M367</f>
        <v>5</v>
      </c>
      <c r="N368" s="3" t="str">
        <f aca="false">'1. Raw Data'!N367</f>
        <v>No</v>
      </c>
    </row>
    <row r="369" customFormat="false" ht="15" hidden="false" customHeight="false" outlineLevel="0" collapsed="false">
      <c r="A369" s="3" t="str">
        <f aca="false">'1. Raw Data'!A368</f>
        <v>EMP-0367</v>
      </c>
      <c r="B369" s="3" t="n">
        <f aca="false">'1. Raw Data'!B368</f>
        <v>42</v>
      </c>
      <c r="C369" s="3" t="str">
        <f aca="false">'1. Raw Data'!C368</f>
        <v>Engineering</v>
      </c>
      <c r="D369" s="3" t="str">
        <f aca="false">'1. Raw Data'!D368</f>
        <v>Mid</v>
      </c>
      <c r="E369" s="3" t="str">
        <f aca="false">'1. Raw Data'!E368</f>
        <v>Business</v>
      </c>
      <c r="F369" s="3" t="n">
        <f aca="false">'1. Raw Data'!F368</f>
        <v>0.7</v>
      </c>
      <c r="G369" s="3" t="n">
        <f aca="false">IF('1. Raw Data'!G368="",ROUND(IFERROR(AVERAGEIFS('1. Raw Data'!G2:G1201,'1. Raw Data'!C2:C1201,'1. Raw Data'!C368,'1. Raw Data'!D2:D1201,'1. Raw Data'!D368),0),2),'1. Raw Data'!G368)</f>
        <v>5419.54</v>
      </c>
      <c r="H369" s="3" t="str">
        <f aca="false">PROPER('1. Raw Data'!H368)</f>
        <v>No</v>
      </c>
      <c r="I369" s="3" t="n">
        <f aca="false">'1. Raw Data'!I368</f>
        <v>4</v>
      </c>
      <c r="J369" s="3" t="n">
        <f aca="false">'1. Raw Data'!J368</f>
        <v>3</v>
      </c>
      <c r="K369" s="3" t="n">
        <f aca="false">'1. Raw Data'!K368</f>
        <v>2</v>
      </c>
      <c r="L369" s="3" t="n">
        <f aca="false">'1. Raw Data'!L368</f>
        <v>0</v>
      </c>
      <c r="M369" s="3" t="n">
        <f aca="false">'1. Raw Data'!M368</f>
        <v>3</v>
      </c>
      <c r="N369" s="3" t="str">
        <f aca="false">'1. Raw Data'!N368</f>
        <v>No</v>
      </c>
    </row>
    <row r="370" customFormat="false" ht="15" hidden="false" customHeight="false" outlineLevel="0" collapsed="false">
      <c r="A370" s="3" t="str">
        <f aca="false">'1. Raw Data'!A369</f>
        <v>EMP-0368</v>
      </c>
      <c r="B370" s="3" t="n">
        <f aca="false">'1. Raw Data'!B369</f>
        <v>29</v>
      </c>
      <c r="C370" s="3" t="str">
        <f aca="false">'1. Raw Data'!C369</f>
        <v>Sales</v>
      </c>
      <c r="D370" s="3" t="str">
        <f aca="false">'1. Raw Data'!D369</f>
        <v>Junior</v>
      </c>
      <c r="E370" s="3" t="str">
        <f aca="false">'1. Raw Data'!E369</f>
        <v>Business</v>
      </c>
      <c r="F370" s="3" t="n">
        <f aca="false">'1. Raw Data'!F369</f>
        <v>1.5</v>
      </c>
      <c r="G370" s="3" t="n">
        <f aca="false">IF('1. Raw Data'!G369="",ROUND(IFERROR(AVERAGEIFS('1. Raw Data'!G2:G1201,'1. Raw Data'!C2:C1201,'1. Raw Data'!C369,'1. Raw Data'!D2:D1201,'1. Raw Data'!D369),0),2),'1. Raw Data'!G369)</f>
        <v>2916.42</v>
      </c>
      <c r="H370" s="3" t="str">
        <f aca="false">PROPER('1. Raw Data'!H369)</f>
        <v>No</v>
      </c>
      <c r="I370" s="3" t="n">
        <f aca="false">'1. Raw Data'!I369</f>
        <v>3</v>
      </c>
      <c r="J370" s="3" t="n">
        <f aca="false">'1. Raw Data'!J369</f>
        <v>4</v>
      </c>
      <c r="K370" s="3" t="n">
        <f aca="false">'1. Raw Data'!K369</f>
        <v>5</v>
      </c>
      <c r="L370" s="3" t="n">
        <f aca="false">'1. Raw Data'!L369</f>
        <v>1</v>
      </c>
      <c r="M370" s="3" t="n">
        <f aca="false">'1. Raw Data'!M369</f>
        <v>2</v>
      </c>
      <c r="N370" s="3" t="str">
        <f aca="false">'1. Raw Data'!N369</f>
        <v>No</v>
      </c>
    </row>
    <row r="371" customFormat="false" ht="15" hidden="false" customHeight="false" outlineLevel="0" collapsed="false">
      <c r="A371" s="3" t="str">
        <f aca="false">'1. Raw Data'!A370</f>
        <v>EMP-0369</v>
      </c>
      <c r="B371" s="3" t="n">
        <f aca="false">'1. Raw Data'!B370</f>
        <v>41</v>
      </c>
      <c r="C371" s="3" t="str">
        <f aca="false">'1. Raw Data'!C370</f>
        <v>Sales</v>
      </c>
      <c r="D371" s="3" t="str">
        <f aca="false">'1. Raw Data'!D370</f>
        <v>Junior</v>
      </c>
      <c r="E371" s="3" t="str">
        <f aca="false">'1. Raw Data'!E370</f>
        <v>Marketing</v>
      </c>
      <c r="F371" s="3" t="n">
        <f aca="false">'1. Raw Data'!F370</f>
        <v>2.8</v>
      </c>
      <c r="G371" s="3" t="n">
        <f aca="false">IF('1. Raw Data'!G370="",ROUND(IFERROR(AVERAGEIFS('1. Raw Data'!G2:G1201,'1. Raw Data'!C2:C1201,'1. Raw Data'!C370,'1. Raw Data'!D2:D1201,'1. Raw Data'!D370),0),2),'1. Raw Data'!G370)</f>
        <v>3064.08</v>
      </c>
      <c r="H371" s="3" t="str">
        <f aca="false">PROPER('1. Raw Data'!H370)</f>
        <v>No</v>
      </c>
      <c r="I371" s="3" t="n">
        <f aca="false">'1. Raw Data'!I370</f>
        <v>4</v>
      </c>
      <c r="J371" s="3" t="n">
        <f aca="false">'1. Raw Data'!J370</f>
        <v>1</v>
      </c>
      <c r="K371" s="3" t="n">
        <f aca="false">'1. Raw Data'!K370</f>
        <v>2</v>
      </c>
      <c r="L371" s="3" t="n">
        <f aca="false">'1. Raw Data'!L370</f>
        <v>2</v>
      </c>
      <c r="M371" s="3" t="n">
        <f aca="false">'1. Raw Data'!M370</f>
        <v>3</v>
      </c>
      <c r="N371" s="3" t="str">
        <f aca="false">'1. Raw Data'!N370</f>
        <v>Yes</v>
      </c>
    </row>
    <row r="372" customFormat="false" ht="15" hidden="false" customHeight="false" outlineLevel="0" collapsed="false">
      <c r="A372" s="3" t="str">
        <f aca="false">'1. Raw Data'!A371</f>
        <v>EMP-0370</v>
      </c>
      <c r="B372" s="3" t="n">
        <f aca="false">'1. Raw Data'!B371</f>
        <v>30</v>
      </c>
      <c r="C372" s="3" t="str">
        <f aca="false">'1. Raw Data'!C371</f>
        <v>Engineering</v>
      </c>
      <c r="D372" s="3" t="str">
        <f aca="false">'1. Raw Data'!D371</f>
        <v>Mid</v>
      </c>
      <c r="E372" s="3" t="str">
        <f aca="false">'1. Raw Data'!E371</f>
        <v>Technical</v>
      </c>
      <c r="F372" s="3" t="n">
        <f aca="false">'1. Raw Data'!F371</f>
        <v>1.7</v>
      </c>
      <c r="G372" s="3" t="n">
        <f aca="false">IF('1. Raw Data'!G371="",ROUND(IFERROR(AVERAGEIFS('1. Raw Data'!G2:G1201,'1. Raw Data'!C2:C1201,'1. Raw Data'!C371,'1. Raw Data'!D2:D1201,'1. Raw Data'!D371),0),2),'1. Raw Data'!G371)</f>
        <v>4186.85</v>
      </c>
      <c r="H372" s="3" t="str">
        <f aca="false">PROPER('1. Raw Data'!H371)</f>
        <v>No</v>
      </c>
      <c r="I372" s="3" t="n">
        <f aca="false">'1. Raw Data'!I371</f>
        <v>4</v>
      </c>
      <c r="J372" s="3" t="n">
        <f aca="false">'1. Raw Data'!J371</f>
        <v>3</v>
      </c>
      <c r="K372" s="3" t="n">
        <f aca="false">'1. Raw Data'!K371</f>
        <v>6</v>
      </c>
      <c r="L372" s="3" t="n">
        <f aca="false">'1. Raw Data'!L371</f>
        <v>0</v>
      </c>
      <c r="M372" s="3" t="n">
        <f aca="false">'1. Raw Data'!M371</f>
        <v>1</v>
      </c>
      <c r="N372" s="3" t="str">
        <f aca="false">'1. Raw Data'!N371</f>
        <v>No</v>
      </c>
    </row>
    <row r="373" customFormat="false" ht="15" hidden="false" customHeight="false" outlineLevel="0" collapsed="false">
      <c r="A373" s="3" t="str">
        <f aca="false">'1. Raw Data'!A372</f>
        <v>EMP-0371</v>
      </c>
      <c r="B373" s="3" t="n">
        <f aca="false">'1. Raw Data'!B372</f>
        <v>31</v>
      </c>
      <c r="C373" s="3" t="str">
        <f aca="false">'1. Raw Data'!C372</f>
        <v>Engineering</v>
      </c>
      <c r="D373" s="3" t="str">
        <f aca="false">'1. Raw Data'!D372</f>
        <v>Junior</v>
      </c>
      <c r="E373" s="3" t="str">
        <f aca="false">'1. Raw Data'!E372</f>
        <v>Technical</v>
      </c>
      <c r="F373" s="3" t="n">
        <f aca="false">'1. Raw Data'!F372</f>
        <v>0.4</v>
      </c>
      <c r="G373" s="3" t="n">
        <f aca="false">IF('1. Raw Data'!G372="",ROUND(IFERROR(AVERAGEIFS('1. Raw Data'!G2:G1201,'1. Raw Data'!C2:C1201,'1. Raw Data'!C372,'1. Raw Data'!D2:D1201,'1. Raw Data'!D372),0),2),'1. Raw Data'!G372)</f>
        <v>3648.88</v>
      </c>
      <c r="H373" s="3" t="str">
        <f aca="false">PROPER('1. Raw Data'!H372)</f>
        <v>No</v>
      </c>
      <c r="I373" s="3" t="n">
        <f aca="false">'1. Raw Data'!I372</f>
        <v>4</v>
      </c>
      <c r="J373" s="3" t="n">
        <f aca="false">'1. Raw Data'!J372</f>
        <v>3</v>
      </c>
      <c r="K373" s="3" t="n">
        <f aca="false">'1. Raw Data'!K372</f>
        <v>2</v>
      </c>
      <c r="L373" s="3" t="n">
        <f aca="false">'1. Raw Data'!L372</f>
        <v>0</v>
      </c>
      <c r="M373" s="3" t="n">
        <f aca="false">'1. Raw Data'!M372</f>
        <v>1</v>
      </c>
      <c r="N373" s="3" t="str">
        <f aca="false">'1. Raw Data'!N372</f>
        <v>No</v>
      </c>
    </row>
    <row r="374" customFormat="false" ht="15" hidden="false" customHeight="false" outlineLevel="0" collapsed="false">
      <c r="A374" s="3" t="str">
        <f aca="false">'1. Raw Data'!A373</f>
        <v>EMP-0372</v>
      </c>
      <c r="B374" s="3" t="n">
        <f aca="false">'1. Raw Data'!B373</f>
        <v>40</v>
      </c>
      <c r="C374" s="3" t="str">
        <f aca="false">'1. Raw Data'!C373</f>
        <v>Sales</v>
      </c>
      <c r="D374" s="3" t="str">
        <f aca="false">'1. Raw Data'!D373</f>
        <v>Mid</v>
      </c>
      <c r="E374" s="3" t="str">
        <f aca="false">'1. Raw Data'!E373</f>
        <v>Other</v>
      </c>
      <c r="F374" s="3" t="n">
        <f aca="false">'1. Raw Data'!F373</f>
        <v>2.5</v>
      </c>
      <c r="G374" s="3" t="n">
        <f aca="false">IF('1. Raw Data'!G373="",ROUND(IFERROR(AVERAGEIFS('1. Raw Data'!G2:G1201,'1. Raw Data'!C2:C1201,'1. Raw Data'!C373,'1. Raw Data'!D2:D1201,'1. Raw Data'!D373),0),2),'1. Raw Data'!G373)</f>
        <v>5390.58</v>
      </c>
      <c r="H374" s="3" t="str">
        <f aca="false">PROPER('1. Raw Data'!H373)</f>
        <v>Yes</v>
      </c>
      <c r="I374" s="3" t="n">
        <f aca="false">'1. Raw Data'!I373</f>
        <v>2</v>
      </c>
      <c r="J374" s="3" t="n">
        <f aca="false">'1. Raw Data'!J373</f>
        <v>1</v>
      </c>
      <c r="K374" s="3" t="n">
        <f aca="false">'1. Raw Data'!K373</f>
        <v>33</v>
      </c>
      <c r="L374" s="3" t="n">
        <f aca="false">'1. Raw Data'!L373</f>
        <v>0</v>
      </c>
      <c r="M374" s="3" t="n">
        <f aca="false">'1. Raw Data'!M373</f>
        <v>1</v>
      </c>
      <c r="N374" s="3" t="str">
        <f aca="false">'1. Raw Data'!N373</f>
        <v>Yes</v>
      </c>
    </row>
    <row r="375" customFormat="false" ht="15" hidden="false" customHeight="false" outlineLevel="0" collapsed="false">
      <c r="A375" s="3" t="str">
        <f aca="false">'1. Raw Data'!A374</f>
        <v>EMP-0373</v>
      </c>
      <c r="B375" s="3" t="n">
        <f aca="false">'1. Raw Data'!B374</f>
        <v>37</v>
      </c>
      <c r="C375" s="3" t="str">
        <f aca="false">'1. Raw Data'!C374</f>
        <v>Sales</v>
      </c>
      <c r="D375" s="3" t="str">
        <f aca="false">'1. Raw Data'!D374</f>
        <v>Junior</v>
      </c>
      <c r="E375" s="3" t="str">
        <f aca="false">'1. Raw Data'!E374</f>
        <v>Technical</v>
      </c>
      <c r="F375" s="3" t="n">
        <f aca="false">'1. Raw Data'!F374</f>
        <v>3.4</v>
      </c>
      <c r="G375" s="3" t="n">
        <f aca="false">IF('1. Raw Data'!G374="",ROUND(IFERROR(AVERAGEIFS('1. Raw Data'!G2:G1201,'1. Raw Data'!C2:C1201,'1. Raw Data'!C374,'1. Raw Data'!D2:D1201,'1. Raw Data'!D374),0),2),'1. Raw Data'!G374)</f>
        <v>2961.36</v>
      </c>
      <c r="H375" s="3" t="str">
        <f aca="false">PROPER('1. Raw Data'!H374)</f>
        <v>No</v>
      </c>
      <c r="I375" s="3" t="n">
        <f aca="false">'1. Raw Data'!I374</f>
        <v>4</v>
      </c>
      <c r="J375" s="3" t="n">
        <f aca="false">'1. Raw Data'!J374</f>
        <v>2</v>
      </c>
      <c r="K375" s="3" t="n">
        <f aca="false">'1. Raw Data'!K374</f>
        <v>4</v>
      </c>
      <c r="L375" s="3" t="n">
        <f aca="false">'1. Raw Data'!L374</f>
        <v>0</v>
      </c>
      <c r="M375" s="3" t="n">
        <f aca="false">'1. Raw Data'!M374</f>
        <v>4</v>
      </c>
      <c r="N375" s="3" t="str">
        <f aca="false">'1. Raw Data'!N374</f>
        <v>No</v>
      </c>
    </row>
    <row r="376" customFormat="false" ht="15" hidden="false" customHeight="false" outlineLevel="0" collapsed="false">
      <c r="A376" s="3" t="str">
        <f aca="false">'1. Raw Data'!A375</f>
        <v>EMP-0374</v>
      </c>
      <c r="B376" s="3" t="n">
        <f aca="false">'1. Raw Data'!B375</f>
        <v>52</v>
      </c>
      <c r="C376" s="3" t="str">
        <f aca="false">'1. Raw Data'!C375</f>
        <v>HR</v>
      </c>
      <c r="D376" s="3" t="str">
        <f aca="false">'1. Raw Data'!D375</f>
        <v>Mid</v>
      </c>
      <c r="E376" s="3" t="str">
        <f aca="false">'1. Raw Data'!E375</f>
        <v>Business</v>
      </c>
      <c r="F376" s="3" t="n">
        <f aca="false">'1. Raw Data'!F375</f>
        <v>0.1</v>
      </c>
      <c r="G376" s="3" t="n">
        <f aca="false">IF('1. Raw Data'!G375="",ROUND(IFERROR(AVERAGEIFS('1. Raw Data'!G2:G1201,'1. Raw Data'!C2:C1201,'1. Raw Data'!C375,'1. Raw Data'!D2:D1201,'1. Raw Data'!D375),0),2),'1. Raw Data'!G375)</f>
        <v>5196.28</v>
      </c>
      <c r="H376" s="3" t="str">
        <f aca="false">PROPER('1. Raw Data'!H375)</f>
        <v>No</v>
      </c>
      <c r="I376" s="3" t="n">
        <f aca="false">'1. Raw Data'!I375</f>
        <v>4</v>
      </c>
      <c r="J376" s="3" t="n">
        <f aca="false">'1. Raw Data'!J375</f>
        <v>3</v>
      </c>
      <c r="K376" s="3" t="n">
        <f aca="false">'1. Raw Data'!K375</f>
        <v>1</v>
      </c>
      <c r="L376" s="3" t="n">
        <f aca="false">'1. Raw Data'!L375</f>
        <v>0</v>
      </c>
      <c r="M376" s="3" t="n">
        <f aca="false">'1. Raw Data'!M375</f>
        <v>1</v>
      </c>
      <c r="N376" s="3" t="str">
        <f aca="false">'1. Raw Data'!N375</f>
        <v>No</v>
      </c>
    </row>
    <row r="377" customFormat="false" ht="15" hidden="false" customHeight="false" outlineLevel="0" collapsed="false">
      <c r="A377" s="3" t="str">
        <f aca="false">'1. Raw Data'!A376</f>
        <v>EMP-0375</v>
      </c>
      <c r="B377" s="3" t="n">
        <f aca="false">'1. Raw Data'!B376</f>
        <v>48</v>
      </c>
      <c r="C377" s="3" t="str">
        <f aca="false">'1. Raw Data'!C376</f>
        <v>Customer Support</v>
      </c>
      <c r="D377" s="3" t="str">
        <f aca="false">'1. Raw Data'!D376</f>
        <v>Senior</v>
      </c>
      <c r="E377" s="3" t="str">
        <f aca="false">'1. Raw Data'!E376</f>
        <v>Marketing</v>
      </c>
      <c r="F377" s="3" t="n">
        <f aca="false">'1. Raw Data'!F376</f>
        <v>3.6</v>
      </c>
      <c r="G377" s="3" t="n">
        <f aca="false">IF('1. Raw Data'!G376="",ROUND(IFERROR(AVERAGEIFS('1. Raw Data'!G2:G1201,'1. Raw Data'!C2:C1201,'1. Raw Data'!C376,'1. Raw Data'!D2:D1201,'1. Raw Data'!D376),0),2),'1. Raw Data'!G376)</f>
        <v>7693.1</v>
      </c>
      <c r="H377" s="3" t="str">
        <f aca="false">PROPER('1. Raw Data'!H376)</f>
        <v>No</v>
      </c>
      <c r="I377" s="3" t="n">
        <f aca="false">'1. Raw Data'!I376</f>
        <v>4</v>
      </c>
      <c r="J377" s="3" t="n">
        <f aca="false">'1. Raw Data'!J376</f>
        <v>1</v>
      </c>
      <c r="K377" s="3" t="n">
        <f aca="false">'1. Raw Data'!K376</f>
        <v>27</v>
      </c>
      <c r="L377" s="3" t="n">
        <f aca="false">'1. Raw Data'!L376</f>
        <v>3</v>
      </c>
      <c r="M377" s="3" t="n">
        <f aca="false">'1. Raw Data'!M376</f>
        <v>3</v>
      </c>
      <c r="N377" s="3" t="str">
        <f aca="false">'1. Raw Data'!N376</f>
        <v>No</v>
      </c>
    </row>
    <row r="378" customFormat="false" ht="15" hidden="false" customHeight="false" outlineLevel="0" collapsed="false">
      <c r="A378" s="3" t="str">
        <f aca="false">'1. Raw Data'!A377</f>
        <v>EMP-0376</v>
      </c>
      <c r="B378" s="3" t="n">
        <f aca="false">'1. Raw Data'!B377</f>
        <v>32</v>
      </c>
      <c r="C378" s="3" t="str">
        <f aca="false">'1. Raw Data'!C377</f>
        <v>Engineering</v>
      </c>
      <c r="D378" s="3" t="str">
        <f aca="false">'1. Raw Data'!D377</f>
        <v>Junior</v>
      </c>
      <c r="E378" s="3" t="str">
        <f aca="false">'1. Raw Data'!E377</f>
        <v>Business</v>
      </c>
      <c r="F378" s="3" t="n">
        <f aca="false">'1. Raw Data'!F377</f>
        <v>0.5</v>
      </c>
      <c r="G378" s="3" t="n">
        <f aca="false">IF('1. Raw Data'!G377="",ROUND(IFERROR(AVERAGEIFS('1. Raw Data'!G2:G1201,'1. Raw Data'!C2:C1201,'1. Raw Data'!C377,'1. Raw Data'!D2:D1201,'1. Raw Data'!D377),0),2),'1. Raw Data'!G377)</f>
        <v>3008.42</v>
      </c>
      <c r="H378" s="3" t="str">
        <f aca="false">PROPER('1. Raw Data'!H377)</f>
        <v>No</v>
      </c>
      <c r="I378" s="3" t="n">
        <f aca="false">'1. Raw Data'!I377</f>
        <v>3</v>
      </c>
      <c r="J378" s="3" t="n">
        <f aca="false">'1. Raw Data'!J377</f>
        <v>2</v>
      </c>
      <c r="K378" s="3" t="n">
        <f aca="false">'1. Raw Data'!K377</f>
        <v>1</v>
      </c>
      <c r="L378" s="3" t="n">
        <f aca="false">'1. Raw Data'!L377</f>
        <v>0</v>
      </c>
      <c r="M378" s="3" t="n">
        <f aca="false">'1. Raw Data'!M377</f>
        <v>0</v>
      </c>
      <c r="N378" s="3" t="str">
        <f aca="false">'1. Raw Data'!N377</f>
        <v>No</v>
      </c>
    </row>
    <row r="379" customFormat="false" ht="15" hidden="false" customHeight="false" outlineLevel="0" collapsed="false">
      <c r="A379" s="3" t="str">
        <f aca="false">'1. Raw Data'!A378</f>
        <v>EMP-0377</v>
      </c>
      <c r="B379" s="3" t="n">
        <f aca="false">'1. Raw Data'!B378</f>
        <v>31</v>
      </c>
      <c r="C379" s="3" t="str">
        <f aca="false">'1. Raw Data'!C378</f>
        <v>Sales</v>
      </c>
      <c r="D379" s="3" t="str">
        <f aca="false">'1. Raw Data'!D378</f>
        <v>Senior</v>
      </c>
      <c r="E379" s="3" t="str">
        <f aca="false">'1. Raw Data'!E378</f>
        <v>Marketing</v>
      </c>
      <c r="F379" s="3" t="n">
        <f aca="false">'1. Raw Data'!F378</f>
        <v>2.2</v>
      </c>
      <c r="G379" s="3" t="n">
        <f aca="false">IF('1. Raw Data'!G378="",ROUND(IFERROR(AVERAGEIFS('1. Raw Data'!G2:G1201,'1. Raw Data'!C2:C1201,'1. Raw Data'!C378,'1. Raw Data'!D2:D1201,'1. Raw Data'!D378),0),2),'1. Raw Data'!G378)</f>
        <v>8511.25</v>
      </c>
      <c r="H379" s="3" t="str">
        <f aca="false">PROPER('1. Raw Data'!H378)</f>
        <v>Yes</v>
      </c>
      <c r="I379" s="3" t="n">
        <f aca="false">'1. Raw Data'!I378</f>
        <v>2</v>
      </c>
      <c r="J379" s="3" t="n">
        <f aca="false">'1. Raw Data'!J378</f>
        <v>3</v>
      </c>
      <c r="K379" s="3" t="n">
        <f aca="false">'1. Raw Data'!K378</f>
        <v>3</v>
      </c>
      <c r="L379" s="3" t="n">
        <f aca="false">'1. Raw Data'!L378</f>
        <v>2</v>
      </c>
      <c r="M379" s="3" t="n">
        <f aca="false">'1. Raw Data'!M378</f>
        <v>0</v>
      </c>
      <c r="N379" s="3" t="str">
        <f aca="false">'1. Raw Data'!N378</f>
        <v>Yes</v>
      </c>
    </row>
    <row r="380" customFormat="false" ht="15" hidden="false" customHeight="false" outlineLevel="0" collapsed="false">
      <c r="A380" s="3" t="str">
        <f aca="false">'1. Raw Data'!A379</f>
        <v>EMP-0378</v>
      </c>
      <c r="B380" s="3" t="n">
        <f aca="false">'1. Raw Data'!B379</f>
        <v>41</v>
      </c>
      <c r="C380" s="3" t="str">
        <f aca="false">'1. Raw Data'!C379</f>
        <v>Customer Support</v>
      </c>
      <c r="D380" s="3" t="str">
        <f aca="false">'1. Raw Data'!D379</f>
        <v>Mid</v>
      </c>
      <c r="E380" s="3" t="str">
        <f aca="false">'1. Raw Data'!E379</f>
        <v>Other</v>
      </c>
      <c r="F380" s="3" t="n">
        <f aca="false">'1. Raw Data'!F379</f>
        <v>4.6</v>
      </c>
      <c r="G380" s="3" t="n">
        <f aca="false">IF('1. Raw Data'!G379="",ROUND(IFERROR(AVERAGEIFS('1. Raw Data'!G2:G1201,'1. Raw Data'!C2:C1201,'1. Raw Data'!C379,'1. Raw Data'!D2:D1201,'1. Raw Data'!D379),0),2),'1. Raw Data'!G379)</f>
        <v>4084.53</v>
      </c>
      <c r="H380" s="3" t="str">
        <f aca="false">PROPER('1. Raw Data'!H379)</f>
        <v>Yes</v>
      </c>
      <c r="I380" s="3" t="n">
        <f aca="false">'1. Raw Data'!I379</f>
        <v>3</v>
      </c>
      <c r="J380" s="3" t="n">
        <f aca="false">'1. Raw Data'!J379</f>
        <v>1</v>
      </c>
      <c r="K380" s="3" t="n">
        <f aca="false">'1. Raw Data'!K379</f>
        <v>3</v>
      </c>
      <c r="L380" s="3" t="n">
        <f aca="false">'1. Raw Data'!L379</f>
        <v>0</v>
      </c>
      <c r="M380" s="3" t="n">
        <f aca="false">'1. Raw Data'!M379</f>
        <v>3</v>
      </c>
      <c r="N380" s="3" t="str">
        <f aca="false">'1. Raw Data'!N379</f>
        <v>Yes</v>
      </c>
    </row>
    <row r="381" customFormat="false" ht="15" hidden="false" customHeight="false" outlineLevel="0" collapsed="false">
      <c r="A381" s="3" t="str">
        <f aca="false">'1. Raw Data'!A380</f>
        <v>EMP-0379</v>
      </c>
      <c r="B381" s="3" t="n">
        <f aca="false">'1. Raw Data'!B380</f>
        <v>38</v>
      </c>
      <c r="C381" s="3" t="str">
        <f aca="false">'1. Raw Data'!C380</f>
        <v>Sales</v>
      </c>
      <c r="D381" s="3" t="str">
        <f aca="false">'1. Raw Data'!D380</f>
        <v>Senior</v>
      </c>
      <c r="E381" s="3" t="str">
        <f aca="false">'1. Raw Data'!E380</f>
        <v>Business</v>
      </c>
      <c r="F381" s="3" t="n">
        <f aca="false">'1. Raw Data'!F380</f>
        <v>1.2</v>
      </c>
      <c r="G381" s="3" t="n">
        <f aca="false">IF('1. Raw Data'!G380="",ROUND(IFERROR(AVERAGEIFS('1. Raw Data'!G2:G1201,'1. Raw Data'!C2:C1201,'1. Raw Data'!C380,'1. Raw Data'!D2:D1201,'1. Raw Data'!D380),0),2),'1. Raw Data'!G380)</f>
        <v>6266.98</v>
      </c>
      <c r="H381" s="3" t="str">
        <f aca="false">PROPER('1. Raw Data'!H380)</f>
        <v>Yes</v>
      </c>
      <c r="I381" s="3" t="n">
        <f aca="false">'1. Raw Data'!I380</f>
        <v>4</v>
      </c>
      <c r="J381" s="3" t="n">
        <f aca="false">'1. Raw Data'!J380</f>
        <v>2</v>
      </c>
      <c r="K381" s="3" t="n">
        <f aca="false">'1. Raw Data'!K380</f>
        <v>1</v>
      </c>
      <c r="L381" s="3" t="n">
        <f aca="false">'1. Raw Data'!L380</f>
        <v>0</v>
      </c>
      <c r="M381" s="3" t="n">
        <f aca="false">'1. Raw Data'!M380</f>
        <v>2</v>
      </c>
      <c r="N381" s="3" t="str">
        <f aca="false">'1. Raw Data'!N380</f>
        <v>No</v>
      </c>
    </row>
    <row r="382" customFormat="false" ht="15" hidden="false" customHeight="false" outlineLevel="0" collapsed="false">
      <c r="A382" s="3" t="str">
        <f aca="false">'1. Raw Data'!A381</f>
        <v>EMP-0380</v>
      </c>
      <c r="B382" s="3" t="n">
        <f aca="false">'1. Raw Data'!B381</f>
        <v>36</v>
      </c>
      <c r="C382" s="3" t="str">
        <f aca="false">'1. Raw Data'!C381</f>
        <v>Sales</v>
      </c>
      <c r="D382" s="3" t="str">
        <f aca="false">'1. Raw Data'!D381</f>
        <v>Junior</v>
      </c>
      <c r="E382" s="3" t="str">
        <f aca="false">'1. Raw Data'!E381</f>
        <v>Technical</v>
      </c>
      <c r="F382" s="3" t="n">
        <f aca="false">'1. Raw Data'!F381</f>
        <v>7.9</v>
      </c>
      <c r="G382" s="3" t="n">
        <f aca="false">IF('1. Raw Data'!G381="",ROUND(IFERROR(AVERAGEIFS('1. Raw Data'!G2:G1201,'1. Raw Data'!C2:C1201,'1. Raw Data'!C381,'1. Raw Data'!D2:D1201,'1. Raw Data'!D381),0),2),'1. Raw Data'!G381)</f>
        <v>3274.48</v>
      </c>
      <c r="H382" s="3" t="str">
        <f aca="false">PROPER('1. Raw Data'!H381)</f>
        <v>No</v>
      </c>
      <c r="I382" s="3" t="n">
        <f aca="false">'1. Raw Data'!I381</f>
        <v>4</v>
      </c>
      <c r="J382" s="3" t="n">
        <f aca="false">'1. Raw Data'!J381</f>
        <v>3</v>
      </c>
      <c r="K382" s="3" t="n">
        <f aca="false">'1. Raw Data'!K381</f>
        <v>4</v>
      </c>
      <c r="L382" s="3" t="n">
        <f aca="false">'1. Raw Data'!L381</f>
        <v>3</v>
      </c>
      <c r="M382" s="3" t="n">
        <f aca="false">'1. Raw Data'!M381</f>
        <v>1</v>
      </c>
      <c r="N382" s="3" t="str">
        <f aca="false">'1. Raw Data'!N381</f>
        <v>No</v>
      </c>
    </row>
    <row r="383" customFormat="false" ht="15" hidden="false" customHeight="false" outlineLevel="0" collapsed="false">
      <c r="A383" s="3" t="str">
        <f aca="false">'1. Raw Data'!A382</f>
        <v>EMP-0381</v>
      </c>
      <c r="B383" s="3" t="n">
        <f aca="false">'1. Raw Data'!B382</f>
        <v>31</v>
      </c>
      <c r="C383" s="3" t="str">
        <f aca="false">'1. Raw Data'!C382</f>
        <v>Sales</v>
      </c>
      <c r="D383" s="3" t="str">
        <f aca="false">'1. Raw Data'!D382</f>
        <v>Junior</v>
      </c>
      <c r="E383" s="3" t="str">
        <f aca="false">'1. Raw Data'!E382</f>
        <v>Business</v>
      </c>
      <c r="F383" s="3" t="n">
        <f aca="false">'1. Raw Data'!F382</f>
        <v>0.5</v>
      </c>
      <c r="G383" s="3" t="n">
        <f aca="false">IF('1. Raw Data'!G382="",ROUND(IFERROR(AVERAGEIFS('1. Raw Data'!G2:G1201,'1. Raw Data'!C2:C1201,'1. Raw Data'!C382,'1. Raw Data'!D2:D1201,'1. Raw Data'!D382),0),2),'1. Raw Data'!G382)</f>
        <v>3777.79</v>
      </c>
      <c r="H383" s="3" t="str">
        <f aca="false">PROPER('1. Raw Data'!H382)</f>
        <v>Yes</v>
      </c>
      <c r="I383" s="3" t="n">
        <f aca="false">'1. Raw Data'!I382</f>
        <v>3</v>
      </c>
      <c r="J383" s="3" t="n">
        <f aca="false">'1. Raw Data'!J382</f>
        <v>3</v>
      </c>
      <c r="K383" s="3" t="n">
        <f aca="false">'1. Raw Data'!K382</f>
        <v>1</v>
      </c>
      <c r="L383" s="3" t="n">
        <f aca="false">'1. Raw Data'!L382</f>
        <v>0</v>
      </c>
      <c r="M383" s="3" t="n">
        <f aca="false">'1. Raw Data'!M382</f>
        <v>2</v>
      </c>
      <c r="N383" s="3" t="str">
        <f aca="false">'1. Raw Data'!N382</f>
        <v>No</v>
      </c>
    </row>
    <row r="384" customFormat="false" ht="15" hidden="false" customHeight="false" outlineLevel="0" collapsed="false">
      <c r="A384" s="3" t="str">
        <f aca="false">'1. Raw Data'!A383</f>
        <v>EMP-0382</v>
      </c>
      <c r="B384" s="3" t="n">
        <f aca="false">'1. Raw Data'!B383</f>
        <v>32</v>
      </c>
      <c r="C384" s="3" t="str">
        <f aca="false">'1. Raw Data'!C383</f>
        <v>Sales</v>
      </c>
      <c r="D384" s="3" t="str">
        <f aca="false">'1. Raw Data'!D383</f>
        <v>Mid</v>
      </c>
      <c r="E384" s="3" t="str">
        <f aca="false">'1. Raw Data'!E383</f>
        <v>Technical</v>
      </c>
      <c r="F384" s="3" t="n">
        <f aca="false">'1. Raw Data'!F383</f>
        <v>4.8</v>
      </c>
      <c r="G384" s="3" t="n">
        <f aca="false">IF('1. Raw Data'!G383="",ROUND(IFERROR(AVERAGEIFS('1. Raw Data'!G2:G1201,'1. Raw Data'!C2:C1201,'1. Raw Data'!C383,'1. Raw Data'!D2:D1201,'1. Raw Data'!D383),0),2),'1. Raw Data'!G383)</f>
        <v>4607.82</v>
      </c>
      <c r="H384" s="3" t="str">
        <f aca="false">PROPER('1. Raw Data'!H383)</f>
        <v>Yes</v>
      </c>
      <c r="I384" s="3" t="n">
        <f aca="false">'1. Raw Data'!I383</f>
        <v>1</v>
      </c>
      <c r="J384" s="3" t="n">
        <f aca="false">'1. Raw Data'!J383</f>
        <v>2</v>
      </c>
      <c r="K384" s="3" t="n">
        <f aca="false">'1. Raw Data'!K383</f>
        <v>8</v>
      </c>
      <c r="L384" s="3" t="n">
        <f aca="false">'1. Raw Data'!L383</f>
        <v>4</v>
      </c>
      <c r="M384" s="3" t="n">
        <f aca="false">'1. Raw Data'!M383</f>
        <v>1</v>
      </c>
      <c r="N384" s="3" t="str">
        <f aca="false">'1. Raw Data'!N383</f>
        <v>No</v>
      </c>
    </row>
    <row r="385" customFormat="false" ht="15" hidden="false" customHeight="false" outlineLevel="0" collapsed="false">
      <c r="A385" s="3" t="str">
        <f aca="false">'1. Raw Data'!A384</f>
        <v>EMP-0383</v>
      </c>
      <c r="B385" s="3" t="n">
        <f aca="false">'1. Raw Data'!B384</f>
        <v>32</v>
      </c>
      <c r="C385" s="3" t="str">
        <f aca="false">'1. Raw Data'!C384</f>
        <v>Sales</v>
      </c>
      <c r="D385" s="3" t="str">
        <f aca="false">'1. Raw Data'!D384</f>
        <v>Junior</v>
      </c>
      <c r="E385" s="3" t="str">
        <f aca="false">'1. Raw Data'!E384</f>
        <v>Other</v>
      </c>
      <c r="F385" s="3" t="n">
        <f aca="false">'1. Raw Data'!F384</f>
        <v>0.5</v>
      </c>
      <c r="G385" s="3" t="n">
        <f aca="false">IF('1. Raw Data'!G384="",ROUND(IFERROR(AVERAGEIFS('1. Raw Data'!G2:G1201,'1. Raw Data'!C2:C1201,'1. Raw Data'!C384,'1. Raw Data'!D2:D1201,'1. Raw Data'!D384),0),2),'1. Raw Data'!G384)</f>
        <v>3478.26</v>
      </c>
      <c r="H385" s="3" t="str">
        <f aca="false">PROPER('1. Raw Data'!H384)</f>
        <v>No</v>
      </c>
      <c r="I385" s="3" t="n">
        <f aca="false">'1. Raw Data'!I384</f>
        <v>3</v>
      </c>
      <c r="J385" s="3" t="n">
        <f aca="false">'1. Raw Data'!J384</f>
        <v>3</v>
      </c>
      <c r="K385" s="3" t="n">
        <f aca="false">'1. Raw Data'!K384</f>
        <v>1</v>
      </c>
      <c r="L385" s="3" t="n">
        <f aca="false">'1. Raw Data'!L384</f>
        <v>0</v>
      </c>
      <c r="M385" s="3" t="n">
        <f aca="false">'1. Raw Data'!M384</f>
        <v>3</v>
      </c>
      <c r="N385" s="3" t="str">
        <f aca="false">'1. Raw Data'!N384</f>
        <v>No</v>
      </c>
    </row>
    <row r="386" customFormat="false" ht="15" hidden="false" customHeight="false" outlineLevel="0" collapsed="false">
      <c r="A386" s="3" t="str">
        <f aca="false">'1. Raw Data'!A385</f>
        <v>EMP-0384</v>
      </c>
      <c r="B386" s="3" t="n">
        <f aca="false">'1. Raw Data'!B385</f>
        <v>39</v>
      </c>
      <c r="C386" s="3" t="str">
        <f aca="false">'1. Raw Data'!C385</f>
        <v>Finance</v>
      </c>
      <c r="D386" s="3" t="str">
        <f aca="false">'1. Raw Data'!D385</f>
        <v>Junior</v>
      </c>
      <c r="E386" s="3" t="str">
        <f aca="false">'1. Raw Data'!E385</f>
        <v>Marketing</v>
      </c>
      <c r="F386" s="3" t="n">
        <f aca="false">'1. Raw Data'!F385</f>
        <v>7.5</v>
      </c>
      <c r="G386" s="3" t="n">
        <f aca="false">IF('1. Raw Data'!G385="",ROUND(IFERROR(AVERAGEIFS('1. Raw Data'!G2:G1201,'1. Raw Data'!C2:C1201,'1. Raw Data'!C385,'1. Raw Data'!D2:D1201,'1. Raw Data'!D385),0),2),'1. Raw Data'!G385)</f>
        <v>3538.27</v>
      </c>
      <c r="H386" s="3" t="str">
        <f aca="false">PROPER('1. Raw Data'!H385)</f>
        <v>No</v>
      </c>
      <c r="I386" s="3" t="n">
        <f aca="false">'1. Raw Data'!I385</f>
        <v>2</v>
      </c>
      <c r="J386" s="3" t="n">
        <f aca="false">'1. Raw Data'!J385</f>
        <v>3</v>
      </c>
      <c r="K386" s="3" t="n">
        <f aca="false">'1. Raw Data'!K385</f>
        <v>18</v>
      </c>
      <c r="L386" s="3" t="n">
        <f aca="false">'1. Raw Data'!L385</f>
        <v>2</v>
      </c>
      <c r="M386" s="3" t="n">
        <f aca="false">'1. Raw Data'!M385</f>
        <v>3</v>
      </c>
      <c r="N386" s="3" t="str">
        <f aca="false">'1. Raw Data'!N385</f>
        <v>No</v>
      </c>
    </row>
    <row r="387" customFormat="false" ht="15" hidden="false" customHeight="false" outlineLevel="0" collapsed="false">
      <c r="A387" s="3" t="str">
        <f aca="false">'1. Raw Data'!A386</f>
        <v>EMP-0385</v>
      </c>
      <c r="B387" s="3" t="n">
        <f aca="false">'1. Raw Data'!B386</f>
        <v>30</v>
      </c>
      <c r="C387" s="3" t="str">
        <f aca="false">'1. Raw Data'!C386</f>
        <v>Sales</v>
      </c>
      <c r="D387" s="3" t="str">
        <f aca="false">'1. Raw Data'!D386</f>
        <v>Mid</v>
      </c>
      <c r="E387" s="3" t="str">
        <f aca="false">'1. Raw Data'!E386</f>
        <v>Other</v>
      </c>
      <c r="F387" s="3" t="n">
        <f aca="false">'1. Raw Data'!F386</f>
        <v>6.1</v>
      </c>
      <c r="G387" s="3" t="n">
        <f aca="false">IF('1. Raw Data'!G386="",ROUND(IFERROR(AVERAGEIFS('1. Raw Data'!G2:G1201,'1. Raw Data'!C2:C1201,'1. Raw Data'!C386,'1. Raw Data'!D2:D1201,'1. Raw Data'!D386),0),2),'1. Raw Data'!G386)</f>
        <v>4466.55</v>
      </c>
      <c r="H387" s="3" t="str">
        <f aca="false">PROPER('1. Raw Data'!H386)</f>
        <v>No</v>
      </c>
      <c r="I387" s="3" t="n">
        <f aca="false">'1. Raw Data'!I386</f>
        <v>1</v>
      </c>
      <c r="J387" s="3" t="n">
        <f aca="false">'1. Raw Data'!J386</f>
        <v>1</v>
      </c>
      <c r="K387" s="3" t="n">
        <f aca="false">'1. Raw Data'!K386</f>
        <v>4</v>
      </c>
      <c r="L387" s="3" t="n">
        <f aca="false">'1. Raw Data'!L386</f>
        <v>1</v>
      </c>
      <c r="M387" s="3" t="n">
        <f aca="false">'1. Raw Data'!M386</f>
        <v>1</v>
      </c>
      <c r="N387" s="3" t="str">
        <f aca="false">'1. Raw Data'!N386</f>
        <v>No</v>
      </c>
    </row>
    <row r="388" customFormat="false" ht="15" hidden="false" customHeight="false" outlineLevel="0" collapsed="false">
      <c r="A388" s="3" t="str">
        <f aca="false">'1. Raw Data'!A387</f>
        <v>EMP-0386</v>
      </c>
      <c r="B388" s="3" t="n">
        <f aca="false">'1. Raw Data'!B387</f>
        <v>31</v>
      </c>
      <c r="C388" s="3" t="str">
        <f aca="false">'1. Raw Data'!C387</f>
        <v>HR</v>
      </c>
      <c r="D388" s="3" t="str">
        <f aca="false">'1. Raw Data'!D387</f>
        <v>Junior</v>
      </c>
      <c r="E388" s="3" t="str">
        <f aca="false">'1. Raw Data'!E387</f>
        <v>Other</v>
      </c>
      <c r="F388" s="3" t="n">
        <f aca="false">'1. Raw Data'!F387</f>
        <v>0.6</v>
      </c>
      <c r="G388" s="3" t="n">
        <f aca="false">IF('1. Raw Data'!G387="",ROUND(IFERROR(AVERAGEIFS('1. Raw Data'!G2:G1201,'1. Raw Data'!C2:C1201,'1. Raw Data'!C387,'1. Raw Data'!D2:D1201,'1. Raw Data'!D387),0),2),'1. Raw Data'!G387)</f>
        <v>2991.76</v>
      </c>
      <c r="H388" s="3" t="str">
        <f aca="false">PROPER('1. Raw Data'!H387)</f>
        <v>No</v>
      </c>
      <c r="I388" s="3" t="n">
        <f aca="false">'1. Raw Data'!I387</f>
        <v>2</v>
      </c>
      <c r="J388" s="3" t="n">
        <f aca="false">'1. Raw Data'!J387</f>
        <v>4</v>
      </c>
      <c r="K388" s="3" t="n">
        <f aca="false">'1. Raw Data'!K387</f>
        <v>13</v>
      </c>
      <c r="L388" s="3" t="n">
        <f aca="false">'1. Raw Data'!L387</f>
        <v>0</v>
      </c>
      <c r="M388" s="3" t="n">
        <f aca="false">'1. Raw Data'!M387</f>
        <v>2</v>
      </c>
      <c r="N388" s="3" t="str">
        <f aca="false">'1. Raw Data'!N387</f>
        <v>Yes</v>
      </c>
    </row>
    <row r="389" customFormat="false" ht="15" hidden="false" customHeight="false" outlineLevel="0" collapsed="false">
      <c r="A389" s="3" t="str">
        <f aca="false">'1. Raw Data'!A388</f>
        <v>EMP-0387</v>
      </c>
      <c r="B389" s="3" t="n">
        <f aca="false">'1. Raw Data'!B388</f>
        <v>40</v>
      </c>
      <c r="C389" s="3" t="str">
        <f aca="false">'1. Raw Data'!C388</f>
        <v>HR</v>
      </c>
      <c r="D389" s="3" t="str">
        <f aca="false">'1. Raw Data'!D388</f>
        <v>Mid</v>
      </c>
      <c r="E389" s="3" t="str">
        <f aca="false">'1. Raw Data'!E388</f>
        <v>Other</v>
      </c>
      <c r="F389" s="3" t="n">
        <f aca="false">'1. Raw Data'!F388</f>
        <v>2.3</v>
      </c>
      <c r="G389" s="3" t="n">
        <f aca="false">IF('1. Raw Data'!G388="",ROUND(IFERROR(AVERAGEIFS('1. Raw Data'!G2:G1201,'1. Raw Data'!C2:C1201,'1. Raw Data'!C388,'1. Raw Data'!D2:D1201,'1. Raw Data'!D388),0),2),'1. Raw Data'!G388)</f>
        <v>4298.29</v>
      </c>
      <c r="H389" s="3" t="str">
        <f aca="false">PROPER('1. Raw Data'!H388)</f>
        <v>No</v>
      </c>
      <c r="I389" s="3" t="n">
        <f aca="false">'1. Raw Data'!I388</f>
        <v>3</v>
      </c>
      <c r="J389" s="3" t="n">
        <f aca="false">'1. Raw Data'!J388</f>
        <v>3</v>
      </c>
      <c r="K389" s="3" t="n">
        <f aca="false">'1. Raw Data'!K388</f>
        <v>13</v>
      </c>
      <c r="L389" s="3" t="n">
        <f aca="false">'1. Raw Data'!L388</f>
        <v>0</v>
      </c>
      <c r="M389" s="3" t="n">
        <f aca="false">'1. Raw Data'!M388</f>
        <v>1</v>
      </c>
      <c r="N389" s="3" t="str">
        <f aca="false">'1. Raw Data'!N388</f>
        <v>No</v>
      </c>
    </row>
    <row r="390" customFormat="false" ht="15" hidden="false" customHeight="false" outlineLevel="0" collapsed="false">
      <c r="A390" s="3" t="str">
        <f aca="false">'1. Raw Data'!A389</f>
        <v>EMP-0388</v>
      </c>
      <c r="B390" s="3" t="n">
        <f aca="false">'1. Raw Data'!B389</f>
        <v>43</v>
      </c>
      <c r="C390" s="3" t="str">
        <f aca="false">'1. Raw Data'!C389</f>
        <v>Sales</v>
      </c>
      <c r="D390" s="3" t="str">
        <f aca="false">'1. Raw Data'!D389</f>
        <v>Lead</v>
      </c>
      <c r="E390" s="3" t="str">
        <f aca="false">'1. Raw Data'!E389</f>
        <v>Marketing</v>
      </c>
      <c r="F390" s="3" t="n">
        <f aca="false">'1. Raw Data'!F389</f>
        <v>5</v>
      </c>
      <c r="G390" s="3" t="n">
        <f aca="false">IF('1. Raw Data'!G389="",ROUND(IFERROR(AVERAGEIFS('1. Raw Data'!G2:G1201,'1. Raw Data'!C2:C1201,'1. Raw Data'!C389,'1. Raw Data'!D2:D1201,'1. Raw Data'!D389),0),2),'1. Raw Data'!G389)</f>
        <v>10150.48</v>
      </c>
      <c r="H390" s="3" t="str">
        <f aca="false">PROPER('1. Raw Data'!H389)</f>
        <v>Yes</v>
      </c>
      <c r="I390" s="3" t="n">
        <f aca="false">'1. Raw Data'!I389</f>
        <v>2</v>
      </c>
      <c r="J390" s="3" t="n">
        <f aca="false">'1. Raw Data'!J389</f>
        <v>3</v>
      </c>
      <c r="K390" s="3" t="n">
        <f aca="false">'1. Raw Data'!K389</f>
        <v>15</v>
      </c>
      <c r="L390" s="3" t="n">
        <f aca="false">'1. Raw Data'!L389</f>
        <v>1</v>
      </c>
      <c r="M390" s="3" t="n">
        <f aca="false">'1. Raw Data'!M389</f>
        <v>0</v>
      </c>
      <c r="N390" s="3" t="str">
        <f aca="false">'1. Raw Data'!N389</f>
        <v>No</v>
      </c>
    </row>
    <row r="391" customFormat="false" ht="15" hidden="false" customHeight="false" outlineLevel="0" collapsed="false">
      <c r="A391" s="3" t="str">
        <f aca="false">'1. Raw Data'!A390</f>
        <v>EMP-0389</v>
      </c>
      <c r="B391" s="3" t="n">
        <f aca="false">'1. Raw Data'!B390</f>
        <v>36</v>
      </c>
      <c r="C391" s="3" t="str">
        <f aca="false">'1. Raw Data'!C390</f>
        <v>Sales</v>
      </c>
      <c r="D391" s="3" t="str">
        <f aca="false">'1. Raw Data'!D390</f>
        <v>Junior</v>
      </c>
      <c r="E391" s="3" t="str">
        <f aca="false">'1. Raw Data'!E390</f>
        <v>Marketing</v>
      </c>
      <c r="F391" s="3" t="n">
        <f aca="false">'1. Raw Data'!F390</f>
        <v>0.1</v>
      </c>
      <c r="G391" s="3" t="n">
        <f aca="false">IF('1. Raw Data'!G390="",ROUND(IFERROR(AVERAGEIFS('1. Raw Data'!G2:G1201,'1. Raw Data'!C2:C1201,'1. Raw Data'!C390,'1. Raw Data'!D2:D1201,'1. Raw Data'!D390),0),2),'1. Raw Data'!G390)</f>
        <v>3223.33</v>
      </c>
      <c r="H391" s="3" t="str">
        <f aca="false">PROPER('1. Raw Data'!H390)</f>
        <v>Yes</v>
      </c>
      <c r="I391" s="3" t="n">
        <f aca="false">'1. Raw Data'!I390</f>
        <v>1</v>
      </c>
      <c r="J391" s="3" t="n">
        <f aca="false">'1. Raw Data'!J390</f>
        <v>3</v>
      </c>
      <c r="K391" s="3" t="n">
        <f aca="false">'1. Raw Data'!K390</f>
        <v>5</v>
      </c>
      <c r="L391" s="3" t="n">
        <f aca="false">'1. Raw Data'!L390</f>
        <v>0</v>
      </c>
      <c r="M391" s="3" t="n">
        <f aca="false">'1. Raw Data'!M390</f>
        <v>1</v>
      </c>
      <c r="N391" s="3" t="str">
        <f aca="false">'1. Raw Data'!N390</f>
        <v>No</v>
      </c>
    </row>
    <row r="392" customFormat="false" ht="15" hidden="false" customHeight="false" outlineLevel="0" collapsed="false">
      <c r="A392" s="3" t="str">
        <f aca="false">'1. Raw Data'!A391</f>
        <v>EMP-0390</v>
      </c>
      <c r="B392" s="3" t="n">
        <f aca="false">'1. Raw Data'!B391</f>
        <v>40</v>
      </c>
      <c r="C392" s="3" t="str">
        <f aca="false">'1. Raw Data'!C391</f>
        <v>Marketing</v>
      </c>
      <c r="D392" s="3" t="str">
        <f aca="false">'1. Raw Data'!D391</f>
        <v>Lead</v>
      </c>
      <c r="E392" s="3" t="str">
        <f aca="false">'1. Raw Data'!E391</f>
        <v>Marketing</v>
      </c>
      <c r="F392" s="3" t="n">
        <f aca="false">'1. Raw Data'!F391</f>
        <v>0.3</v>
      </c>
      <c r="G392" s="3" t="n">
        <f aca="false">IF('1. Raw Data'!G391="",ROUND(IFERROR(AVERAGEIFS('1. Raw Data'!G2:G1201,'1. Raw Data'!C2:C1201,'1. Raw Data'!C391,'1. Raw Data'!D2:D1201,'1. Raw Data'!D391),0),2),'1. Raw Data'!G391)</f>
        <v>9834.88</v>
      </c>
      <c r="H392" s="3" t="str">
        <f aca="false">PROPER('1. Raw Data'!H391)</f>
        <v>No</v>
      </c>
      <c r="I392" s="3" t="n">
        <f aca="false">'1. Raw Data'!I391</f>
        <v>2</v>
      </c>
      <c r="J392" s="3" t="n">
        <f aca="false">'1. Raw Data'!J391</f>
        <v>1</v>
      </c>
      <c r="K392" s="3" t="n">
        <f aca="false">'1. Raw Data'!K391</f>
        <v>5</v>
      </c>
      <c r="L392" s="3" t="n">
        <f aca="false">'1. Raw Data'!L391</f>
        <v>0</v>
      </c>
      <c r="M392" s="3" t="n">
        <f aca="false">'1. Raw Data'!M391</f>
        <v>1</v>
      </c>
      <c r="N392" s="3" t="str">
        <f aca="false">'1. Raw Data'!N391</f>
        <v>No</v>
      </c>
    </row>
    <row r="393" customFormat="false" ht="15" hidden="false" customHeight="false" outlineLevel="0" collapsed="false">
      <c r="A393" s="3" t="str">
        <f aca="false">'1. Raw Data'!A392</f>
        <v>EMP-0391</v>
      </c>
      <c r="B393" s="3" t="n">
        <f aca="false">'1. Raw Data'!B392</f>
        <v>33</v>
      </c>
      <c r="C393" s="3" t="str">
        <f aca="false">'1. Raw Data'!C392</f>
        <v>HR</v>
      </c>
      <c r="D393" s="3" t="str">
        <f aca="false">'1. Raw Data'!D392</f>
        <v>Junior</v>
      </c>
      <c r="E393" s="3" t="str">
        <f aca="false">'1. Raw Data'!E392</f>
        <v>Other</v>
      </c>
      <c r="F393" s="3" t="n">
        <f aca="false">'1. Raw Data'!F392</f>
        <v>4.4</v>
      </c>
      <c r="G393" s="3" t="n">
        <f aca="false">IF('1. Raw Data'!G392="",ROUND(IFERROR(AVERAGEIFS('1. Raw Data'!G2:G1201,'1. Raw Data'!C2:C1201,'1. Raw Data'!C392,'1. Raw Data'!D2:D1201,'1. Raw Data'!D392),0),2),'1. Raw Data'!G392)</f>
        <v>3665.84</v>
      </c>
      <c r="H393" s="3" t="str">
        <f aca="false">PROPER('1. Raw Data'!H392)</f>
        <v>No</v>
      </c>
      <c r="I393" s="3" t="n">
        <f aca="false">'1. Raw Data'!I392</f>
        <v>3</v>
      </c>
      <c r="J393" s="3" t="n">
        <f aca="false">'1. Raw Data'!J392</f>
        <v>2</v>
      </c>
      <c r="K393" s="3" t="n">
        <f aca="false">'1. Raw Data'!K392</f>
        <v>5</v>
      </c>
      <c r="L393" s="3" t="n">
        <f aca="false">'1. Raw Data'!L392</f>
        <v>0</v>
      </c>
      <c r="M393" s="3" t="n">
        <f aca="false">'1. Raw Data'!M392</f>
        <v>4</v>
      </c>
      <c r="N393" s="3" t="str">
        <f aca="false">'1. Raw Data'!N392</f>
        <v>No</v>
      </c>
    </row>
    <row r="394" customFormat="false" ht="15" hidden="false" customHeight="false" outlineLevel="0" collapsed="false">
      <c r="A394" s="3" t="str">
        <f aca="false">'1. Raw Data'!A393</f>
        <v>EMP-0392</v>
      </c>
      <c r="B394" s="3" t="n">
        <f aca="false">'1. Raw Data'!B393</f>
        <v>31</v>
      </c>
      <c r="C394" s="3" t="str">
        <f aca="false">'1. Raw Data'!C393</f>
        <v>HR</v>
      </c>
      <c r="D394" s="3" t="str">
        <f aca="false">'1. Raw Data'!D393</f>
        <v>Senior</v>
      </c>
      <c r="E394" s="3" t="str">
        <f aca="false">'1. Raw Data'!E393</f>
        <v>Marketing</v>
      </c>
      <c r="F394" s="3" t="n">
        <f aca="false">'1. Raw Data'!F393</f>
        <v>2.3</v>
      </c>
      <c r="G394" s="3" t="n">
        <f aca="false">IF('1. Raw Data'!G393="",ROUND(IFERROR(AVERAGEIFS('1. Raw Data'!G2:G1201,'1. Raw Data'!C2:C1201,'1. Raw Data'!C393,'1. Raw Data'!D2:D1201,'1. Raw Data'!D393),0),2),'1. Raw Data'!G393)</f>
        <v>6807.87</v>
      </c>
      <c r="H394" s="3" t="str">
        <f aca="false">PROPER('1. Raw Data'!H393)</f>
        <v>No</v>
      </c>
      <c r="I394" s="3" t="n">
        <f aca="false">'1. Raw Data'!I393</f>
        <v>3</v>
      </c>
      <c r="J394" s="3" t="n">
        <f aca="false">'1. Raw Data'!J393</f>
        <v>1</v>
      </c>
      <c r="K394" s="3" t="n">
        <f aca="false">'1. Raw Data'!K393</f>
        <v>2</v>
      </c>
      <c r="L394" s="3" t="n">
        <f aca="false">'1. Raw Data'!L393</f>
        <v>2</v>
      </c>
      <c r="M394" s="3" t="n">
        <f aca="false">'1. Raw Data'!M393</f>
        <v>3</v>
      </c>
      <c r="N394" s="3" t="str">
        <f aca="false">'1. Raw Data'!N393</f>
        <v>No</v>
      </c>
    </row>
    <row r="395" customFormat="false" ht="15" hidden="false" customHeight="false" outlineLevel="0" collapsed="false">
      <c r="A395" s="3" t="str">
        <f aca="false">'1. Raw Data'!A394</f>
        <v>EMP-0393</v>
      </c>
      <c r="B395" s="3" t="n">
        <f aca="false">'1. Raw Data'!B394</f>
        <v>23</v>
      </c>
      <c r="C395" s="3" t="str">
        <f aca="false">'1. Raw Data'!C394</f>
        <v>Engineering</v>
      </c>
      <c r="D395" s="3" t="str">
        <f aca="false">'1. Raw Data'!D394</f>
        <v>Lead</v>
      </c>
      <c r="E395" s="3" t="str">
        <f aca="false">'1. Raw Data'!E394</f>
        <v>Technical</v>
      </c>
      <c r="F395" s="3" t="n">
        <f aca="false">'1. Raw Data'!F394</f>
        <v>0.7</v>
      </c>
      <c r="G395" s="3" t="n">
        <f aca="false">IF('1. Raw Data'!G394="",ROUND(IFERROR(AVERAGEIFS('1. Raw Data'!G2:G1201,'1. Raw Data'!C2:C1201,'1. Raw Data'!C394,'1. Raw Data'!D2:D1201,'1. Raw Data'!D394),0),2),'1. Raw Data'!G394)</f>
        <v>8373.35</v>
      </c>
      <c r="H395" s="3" t="str">
        <f aca="false">PROPER('1. Raw Data'!H394)</f>
        <v>Yes</v>
      </c>
      <c r="I395" s="3" t="n">
        <f aca="false">'1. Raw Data'!I394</f>
        <v>2</v>
      </c>
      <c r="J395" s="3" t="n">
        <f aca="false">'1. Raw Data'!J394</f>
        <v>2</v>
      </c>
      <c r="K395" s="3" t="n">
        <f aca="false">'1. Raw Data'!K394</f>
        <v>25</v>
      </c>
      <c r="L395" s="3" t="n">
        <f aca="false">'1. Raw Data'!L394</f>
        <v>0</v>
      </c>
      <c r="M395" s="3" t="n">
        <f aca="false">'1. Raw Data'!M394</f>
        <v>1</v>
      </c>
      <c r="N395" s="3" t="str">
        <f aca="false">'1. Raw Data'!N394</f>
        <v>Yes</v>
      </c>
    </row>
    <row r="396" customFormat="false" ht="15" hidden="false" customHeight="false" outlineLevel="0" collapsed="false">
      <c r="A396" s="3" t="str">
        <f aca="false">'1. Raw Data'!A395</f>
        <v>EMP-0394</v>
      </c>
      <c r="B396" s="3" t="n">
        <f aca="false">'1. Raw Data'!B395</f>
        <v>27</v>
      </c>
      <c r="C396" s="3" t="str">
        <f aca="false">'1. Raw Data'!C395</f>
        <v>Sales</v>
      </c>
      <c r="D396" s="3" t="str">
        <f aca="false">'1. Raw Data'!D395</f>
        <v>Mid</v>
      </c>
      <c r="E396" s="3" t="str">
        <f aca="false">'1. Raw Data'!E395</f>
        <v>Technical</v>
      </c>
      <c r="F396" s="3" t="n">
        <f aca="false">'1. Raw Data'!F395</f>
        <v>0.1</v>
      </c>
      <c r="G396" s="3" t="n">
        <f aca="false">IF('1. Raw Data'!G395="",ROUND(IFERROR(AVERAGEIFS('1. Raw Data'!G2:G1201,'1. Raw Data'!C2:C1201,'1. Raw Data'!C395,'1. Raw Data'!D2:D1201,'1. Raw Data'!D395),0),2),'1. Raw Data'!G395)</f>
        <v>4538.91</v>
      </c>
      <c r="H396" s="3" t="str">
        <f aca="false">PROPER('1. Raw Data'!H395)</f>
        <v>Yes</v>
      </c>
      <c r="I396" s="3" t="n">
        <f aca="false">'1. Raw Data'!I395</f>
        <v>3</v>
      </c>
      <c r="J396" s="3" t="n">
        <f aca="false">'1. Raw Data'!J395</f>
        <v>1</v>
      </c>
      <c r="K396" s="3" t="n">
        <f aca="false">'1. Raw Data'!K395</f>
        <v>5</v>
      </c>
      <c r="L396" s="3" t="n">
        <f aca="false">'1. Raw Data'!L395</f>
        <v>0</v>
      </c>
      <c r="M396" s="3" t="n">
        <f aca="false">'1. Raw Data'!M395</f>
        <v>4</v>
      </c>
      <c r="N396" s="3" t="str">
        <f aca="false">'1. Raw Data'!N395</f>
        <v>No</v>
      </c>
    </row>
    <row r="397" customFormat="false" ht="15" hidden="false" customHeight="false" outlineLevel="0" collapsed="false">
      <c r="A397" s="3" t="str">
        <f aca="false">'1. Raw Data'!A396</f>
        <v>EMP-0395</v>
      </c>
      <c r="B397" s="3" t="n">
        <f aca="false">'1. Raw Data'!B396</f>
        <v>44</v>
      </c>
      <c r="C397" s="3" t="str">
        <f aca="false">'1. Raw Data'!C396</f>
        <v>Engineering</v>
      </c>
      <c r="D397" s="3" t="str">
        <f aca="false">'1. Raw Data'!D396</f>
        <v>Junior</v>
      </c>
      <c r="E397" s="3" t="str">
        <f aca="false">'1. Raw Data'!E396</f>
        <v>Technical</v>
      </c>
      <c r="F397" s="3" t="n">
        <f aca="false">'1. Raw Data'!F396</f>
        <v>4.8</v>
      </c>
      <c r="G397" s="3" t="n">
        <f aca="false">IF('1. Raw Data'!G396="",ROUND(IFERROR(AVERAGEIFS('1. Raw Data'!G2:G1201,'1. Raw Data'!C2:C1201,'1. Raw Data'!C396,'1. Raw Data'!D2:D1201,'1. Raw Data'!D396),0),2),'1. Raw Data'!G396)</f>
        <v>2897.19</v>
      </c>
      <c r="H397" s="3" t="str">
        <f aca="false">PROPER('1. Raw Data'!H396)</f>
        <v>No</v>
      </c>
      <c r="I397" s="3" t="n">
        <f aca="false">'1. Raw Data'!I396</f>
        <v>3</v>
      </c>
      <c r="J397" s="3" t="n">
        <f aca="false">'1. Raw Data'!J396</f>
        <v>1</v>
      </c>
      <c r="K397" s="3" t="n">
        <f aca="false">'1. Raw Data'!K396</f>
        <v>2</v>
      </c>
      <c r="L397" s="3" t="n">
        <f aca="false">'1. Raw Data'!L396</f>
        <v>0</v>
      </c>
      <c r="M397" s="3" t="n">
        <f aca="false">'1. Raw Data'!M396</f>
        <v>2</v>
      </c>
      <c r="N397" s="3" t="str">
        <f aca="false">'1. Raw Data'!N396</f>
        <v>No</v>
      </c>
    </row>
    <row r="398" customFormat="false" ht="15" hidden="false" customHeight="false" outlineLevel="0" collapsed="false">
      <c r="A398" s="3" t="str">
        <f aca="false">'1. Raw Data'!A397</f>
        <v>EMP-0396</v>
      </c>
      <c r="B398" s="3" t="n">
        <f aca="false">'1. Raw Data'!B397</f>
        <v>35</v>
      </c>
      <c r="C398" s="3" t="str">
        <f aca="false">'1. Raw Data'!C397</f>
        <v>Marketing</v>
      </c>
      <c r="D398" s="3" t="str">
        <f aca="false">'1. Raw Data'!D397</f>
        <v>Senior</v>
      </c>
      <c r="E398" s="3" t="str">
        <f aca="false">'1. Raw Data'!E397</f>
        <v>Marketing</v>
      </c>
      <c r="F398" s="3" t="n">
        <f aca="false">'1. Raw Data'!F397</f>
        <v>0.5</v>
      </c>
      <c r="G398" s="3" t="n">
        <f aca="false">IF('1. Raw Data'!G397="",ROUND(IFERROR(AVERAGEIFS('1. Raw Data'!G2:G1201,'1. Raw Data'!C2:C1201,'1. Raw Data'!C397,'1. Raw Data'!D2:D1201,'1. Raw Data'!D397),0),2),'1. Raw Data'!G397)</f>
        <v>7993.24</v>
      </c>
      <c r="H398" s="3" t="str">
        <f aca="false">PROPER('1. Raw Data'!H397)</f>
        <v>No</v>
      </c>
      <c r="I398" s="3" t="n">
        <f aca="false">'1. Raw Data'!I397</f>
        <v>2</v>
      </c>
      <c r="J398" s="3" t="n">
        <f aca="false">'1. Raw Data'!J397</f>
        <v>3</v>
      </c>
      <c r="K398" s="3" t="n">
        <f aca="false">'1. Raw Data'!K397</f>
        <v>9</v>
      </c>
      <c r="L398" s="3" t="n">
        <f aca="false">'1. Raw Data'!L397</f>
        <v>0</v>
      </c>
      <c r="M398" s="3" t="n">
        <f aca="false">'1. Raw Data'!M397</f>
        <v>3</v>
      </c>
      <c r="N398" s="3" t="str">
        <f aca="false">'1. Raw Data'!N397</f>
        <v>Yes</v>
      </c>
    </row>
    <row r="399" customFormat="false" ht="15" hidden="false" customHeight="false" outlineLevel="0" collapsed="false">
      <c r="A399" s="3" t="str">
        <f aca="false">'1. Raw Data'!A398</f>
        <v>EMP-0397</v>
      </c>
      <c r="B399" s="3" t="n">
        <f aca="false">'1. Raw Data'!B398</f>
        <v>43</v>
      </c>
      <c r="C399" s="3" t="str">
        <f aca="false">'1. Raw Data'!C398</f>
        <v>Sales</v>
      </c>
      <c r="D399" s="3" t="str">
        <f aca="false">'1. Raw Data'!D398</f>
        <v>Mid</v>
      </c>
      <c r="E399" s="3" t="str">
        <f aca="false">'1. Raw Data'!E398</f>
        <v>Technical</v>
      </c>
      <c r="F399" s="3" t="n">
        <f aca="false">'1. Raw Data'!F398</f>
        <v>5.4</v>
      </c>
      <c r="G399" s="3" t="n">
        <f aca="false">IF('1. Raw Data'!G398="",ROUND(IFERROR(AVERAGEIFS('1. Raw Data'!G2:G1201,'1. Raw Data'!C2:C1201,'1. Raw Data'!C398,'1. Raw Data'!D2:D1201,'1. Raw Data'!D398),0),2),'1. Raw Data'!G398)</f>
        <v>4326.82</v>
      </c>
      <c r="H399" s="3" t="str">
        <f aca="false">PROPER('1. Raw Data'!H398)</f>
        <v>No</v>
      </c>
      <c r="I399" s="3" t="n">
        <f aca="false">'1. Raw Data'!I398</f>
        <v>2</v>
      </c>
      <c r="J399" s="3" t="n">
        <f aca="false">'1. Raw Data'!J398</f>
        <v>4</v>
      </c>
      <c r="K399" s="3" t="n">
        <f aca="false">'1. Raw Data'!K398</f>
        <v>19</v>
      </c>
      <c r="L399" s="3" t="n">
        <f aca="false">'1. Raw Data'!L398</f>
        <v>0</v>
      </c>
      <c r="M399" s="3" t="n">
        <f aca="false">'1. Raw Data'!M398</f>
        <v>0</v>
      </c>
      <c r="N399" s="3" t="str">
        <f aca="false">'1. Raw Data'!N398</f>
        <v>No</v>
      </c>
    </row>
    <row r="400" customFormat="false" ht="15" hidden="false" customHeight="false" outlineLevel="0" collapsed="false">
      <c r="A400" s="3" t="str">
        <f aca="false">'1. Raw Data'!A399</f>
        <v>EMP-0398</v>
      </c>
      <c r="B400" s="3" t="n">
        <f aca="false">'1. Raw Data'!B399</f>
        <v>23</v>
      </c>
      <c r="C400" s="3" t="str">
        <f aca="false">'1. Raw Data'!C399</f>
        <v>Engineering</v>
      </c>
      <c r="D400" s="3" t="str">
        <f aca="false">'1. Raw Data'!D399</f>
        <v>Senior</v>
      </c>
      <c r="E400" s="3" t="str">
        <f aca="false">'1. Raw Data'!E399</f>
        <v>Other</v>
      </c>
      <c r="F400" s="3" t="n">
        <f aca="false">'1. Raw Data'!F399</f>
        <v>1.7</v>
      </c>
      <c r="G400" s="3" t="n">
        <f aca="false">IF('1. Raw Data'!G399="",ROUND(IFERROR(AVERAGEIFS('1. Raw Data'!G2:G1201,'1. Raw Data'!C2:C1201,'1. Raw Data'!C399,'1. Raw Data'!D2:D1201,'1. Raw Data'!D399),0),2),'1. Raw Data'!G399)</f>
        <v>7030.07</v>
      </c>
      <c r="H400" s="3" t="str">
        <f aca="false">PROPER('1. Raw Data'!H399)</f>
        <v>No</v>
      </c>
      <c r="I400" s="3" t="n">
        <f aca="false">'1. Raw Data'!I399</f>
        <v>4</v>
      </c>
      <c r="J400" s="3" t="n">
        <f aca="false">'1. Raw Data'!J399</f>
        <v>2</v>
      </c>
      <c r="K400" s="3" t="n">
        <f aca="false">'1. Raw Data'!K399</f>
        <v>2</v>
      </c>
      <c r="L400" s="3" t="n">
        <f aca="false">'1. Raw Data'!L399</f>
        <v>1</v>
      </c>
      <c r="M400" s="3" t="n">
        <f aca="false">'1. Raw Data'!M399</f>
        <v>3</v>
      </c>
      <c r="N400" s="3" t="str">
        <f aca="false">'1. Raw Data'!N399</f>
        <v>Yes</v>
      </c>
    </row>
    <row r="401" customFormat="false" ht="15" hidden="false" customHeight="false" outlineLevel="0" collapsed="false">
      <c r="A401" s="3" t="str">
        <f aca="false">'1. Raw Data'!A400</f>
        <v>EMP-0399</v>
      </c>
      <c r="B401" s="3" t="n">
        <f aca="false">'1. Raw Data'!B400</f>
        <v>29</v>
      </c>
      <c r="C401" s="3" t="str">
        <f aca="false">'1. Raw Data'!C400</f>
        <v>Customer Support</v>
      </c>
      <c r="D401" s="3" t="str">
        <f aca="false">'1. Raw Data'!D400</f>
        <v>Mid</v>
      </c>
      <c r="E401" s="3" t="str">
        <f aca="false">'1. Raw Data'!E400</f>
        <v>Business</v>
      </c>
      <c r="F401" s="3" t="n">
        <f aca="false">'1. Raw Data'!F400</f>
        <v>0.5</v>
      </c>
      <c r="G401" s="3" t="n">
        <f aca="false">IF('1. Raw Data'!G400="",ROUND(IFERROR(AVERAGEIFS('1. Raw Data'!G2:G1201,'1. Raw Data'!C2:C1201,'1. Raw Data'!C400,'1. Raw Data'!D2:D1201,'1. Raw Data'!D400),0),2),'1. Raw Data'!G400)</f>
        <v>4311.97</v>
      </c>
      <c r="H401" s="3" t="str">
        <f aca="false">PROPER('1. Raw Data'!H400)</f>
        <v>Yes</v>
      </c>
      <c r="I401" s="3" t="n">
        <f aca="false">'1. Raw Data'!I400</f>
        <v>4</v>
      </c>
      <c r="J401" s="3" t="n">
        <f aca="false">'1. Raw Data'!J400</f>
        <v>4</v>
      </c>
      <c r="K401" s="3" t="n">
        <f aca="false">'1. Raw Data'!K400</f>
        <v>1</v>
      </c>
      <c r="L401" s="3" t="n">
        <f aca="false">'1. Raw Data'!L400</f>
        <v>0</v>
      </c>
      <c r="M401" s="3" t="n">
        <f aca="false">'1. Raw Data'!M400</f>
        <v>5</v>
      </c>
      <c r="N401" s="3" t="str">
        <f aca="false">'1. Raw Data'!N400</f>
        <v>No</v>
      </c>
    </row>
    <row r="402" customFormat="false" ht="15" hidden="false" customHeight="false" outlineLevel="0" collapsed="false">
      <c r="A402" s="3" t="str">
        <f aca="false">'1. Raw Data'!A401</f>
        <v>EMP-0400</v>
      </c>
      <c r="B402" s="3" t="n">
        <f aca="false">'1. Raw Data'!B401</f>
        <v>32</v>
      </c>
      <c r="C402" s="3" t="str">
        <f aca="false">'1. Raw Data'!C401</f>
        <v>Finance</v>
      </c>
      <c r="D402" s="3" t="str">
        <f aca="false">'1. Raw Data'!D401</f>
        <v>Mid</v>
      </c>
      <c r="E402" s="3" t="str">
        <f aca="false">'1. Raw Data'!E401</f>
        <v>Technical</v>
      </c>
      <c r="F402" s="3" t="n">
        <f aca="false">'1. Raw Data'!F401</f>
        <v>0.4</v>
      </c>
      <c r="G402" s="3" t="n">
        <f aca="false">IF('1. Raw Data'!G401="",ROUND(IFERROR(AVERAGEIFS('1. Raw Data'!G2:G1201,'1. Raw Data'!C2:C1201,'1. Raw Data'!C401,'1. Raw Data'!D2:D1201,'1. Raw Data'!D401),0),2),'1. Raw Data'!G401)</f>
        <v>5728.46</v>
      </c>
      <c r="H402" s="3" t="str">
        <f aca="false">PROPER('1. Raw Data'!H401)</f>
        <v>No</v>
      </c>
      <c r="I402" s="3" t="n">
        <f aca="false">'1. Raw Data'!I401</f>
        <v>3</v>
      </c>
      <c r="J402" s="3" t="n">
        <f aca="false">'1. Raw Data'!J401</f>
        <v>4</v>
      </c>
      <c r="K402" s="3" t="n">
        <f aca="false">'1. Raw Data'!K401</f>
        <v>6</v>
      </c>
      <c r="L402" s="3" t="n">
        <f aca="false">'1. Raw Data'!L401</f>
        <v>0</v>
      </c>
      <c r="M402" s="3" t="n">
        <f aca="false">'1. Raw Data'!M401</f>
        <v>3</v>
      </c>
      <c r="N402" s="3" t="str">
        <f aca="false">'1. Raw Data'!N401</f>
        <v>No</v>
      </c>
    </row>
    <row r="403" customFormat="false" ht="15" hidden="false" customHeight="false" outlineLevel="0" collapsed="false">
      <c r="A403" s="3" t="str">
        <f aca="false">'1. Raw Data'!A402</f>
        <v>EMP-0401</v>
      </c>
      <c r="B403" s="3" t="n">
        <f aca="false">'1. Raw Data'!B402</f>
        <v>27</v>
      </c>
      <c r="C403" s="3" t="str">
        <f aca="false">'1. Raw Data'!C402</f>
        <v>Customer Support</v>
      </c>
      <c r="D403" s="3" t="str">
        <f aca="false">'1. Raw Data'!D402</f>
        <v>Junior</v>
      </c>
      <c r="E403" s="3" t="str">
        <f aca="false">'1. Raw Data'!E402</f>
        <v>Technical</v>
      </c>
      <c r="F403" s="3" t="n">
        <f aca="false">'1. Raw Data'!F402</f>
        <v>1.6</v>
      </c>
      <c r="G403" s="3" t="n">
        <f aca="false">IF('1. Raw Data'!G402="",ROUND(IFERROR(AVERAGEIFS('1. Raw Data'!G2:G1201,'1. Raw Data'!C2:C1201,'1. Raw Data'!C402,'1. Raw Data'!D2:D1201,'1. Raw Data'!D402),0),2),'1. Raw Data'!G402)</f>
        <v>3742.67</v>
      </c>
      <c r="H403" s="3" t="str">
        <f aca="false">PROPER('1. Raw Data'!H402)</f>
        <v>Yes</v>
      </c>
      <c r="I403" s="3" t="n">
        <f aca="false">'1. Raw Data'!I402</f>
        <v>4</v>
      </c>
      <c r="J403" s="3" t="n">
        <f aca="false">'1. Raw Data'!J402</f>
        <v>1</v>
      </c>
      <c r="K403" s="3" t="n">
        <f aca="false">'1. Raw Data'!K402</f>
        <v>1</v>
      </c>
      <c r="L403" s="3" t="n">
        <f aca="false">'1. Raw Data'!L402</f>
        <v>0</v>
      </c>
      <c r="M403" s="3" t="n">
        <f aca="false">'1. Raw Data'!M402</f>
        <v>2</v>
      </c>
      <c r="N403" s="3" t="str">
        <f aca="false">'1. Raw Data'!N402</f>
        <v>No</v>
      </c>
    </row>
    <row r="404" customFormat="false" ht="15" hidden="false" customHeight="false" outlineLevel="0" collapsed="false">
      <c r="A404" s="3" t="str">
        <f aca="false">'1. Raw Data'!A403</f>
        <v>EMP-0402</v>
      </c>
      <c r="B404" s="3" t="n">
        <f aca="false">'1. Raw Data'!B403</f>
        <v>32</v>
      </c>
      <c r="C404" s="3" t="str">
        <f aca="false">'1. Raw Data'!C403</f>
        <v>Engineering</v>
      </c>
      <c r="D404" s="3" t="str">
        <f aca="false">'1. Raw Data'!D403</f>
        <v>Mid</v>
      </c>
      <c r="E404" s="3" t="str">
        <f aca="false">'1. Raw Data'!E403</f>
        <v>Technical</v>
      </c>
      <c r="F404" s="3" t="n">
        <f aca="false">'1. Raw Data'!F403</f>
        <v>2.5</v>
      </c>
      <c r="G404" s="3" t="n">
        <f aca="false">IF('1. Raw Data'!G403="",ROUND(IFERROR(AVERAGEIFS('1. Raw Data'!G2:G1201,'1. Raw Data'!C2:C1201,'1. Raw Data'!C403,'1. Raw Data'!D2:D1201,'1. Raw Data'!D403),0),2),'1. Raw Data'!G403)</f>
        <v>4353.42</v>
      </c>
      <c r="H404" s="3" t="str">
        <f aca="false">PROPER('1. Raw Data'!H403)</f>
        <v>No</v>
      </c>
      <c r="I404" s="3" t="n">
        <f aca="false">'1. Raw Data'!I403</f>
        <v>2</v>
      </c>
      <c r="J404" s="3" t="n">
        <f aca="false">'1. Raw Data'!J403</f>
        <v>3</v>
      </c>
      <c r="K404" s="3" t="n">
        <f aca="false">'1. Raw Data'!K403</f>
        <v>5</v>
      </c>
      <c r="L404" s="3" t="n">
        <f aca="false">'1. Raw Data'!L403</f>
        <v>2</v>
      </c>
      <c r="M404" s="3" t="n">
        <f aca="false">'1. Raw Data'!M403</f>
        <v>1</v>
      </c>
      <c r="N404" s="3" t="str">
        <f aca="false">'1. Raw Data'!N403</f>
        <v>No</v>
      </c>
    </row>
    <row r="405" customFormat="false" ht="15" hidden="false" customHeight="false" outlineLevel="0" collapsed="false">
      <c r="A405" s="3" t="str">
        <f aca="false">'1. Raw Data'!A404</f>
        <v>EMP-0403</v>
      </c>
      <c r="B405" s="3" t="n">
        <f aca="false">'1. Raw Data'!B404</f>
        <v>36</v>
      </c>
      <c r="C405" s="3" t="str">
        <f aca="false">'1. Raw Data'!C404</f>
        <v>Sales</v>
      </c>
      <c r="D405" s="3" t="str">
        <f aca="false">'1. Raw Data'!D404</f>
        <v>Junior</v>
      </c>
      <c r="E405" s="3" t="str">
        <f aca="false">'1. Raw Data'!E404</f>
        <v>Business</v>
      </c>
      <c r="F405" s="3" t="n">
        <f aca="false">'1. Raw Data'!F404</f>
        <v>0.9</v>
      </c>
      <c r="G405" s="3" t="n">
        <f aca="false">IF('1. Raw Data'!G404="",ROUND(IFERROR(AVERAGEIFS('1. Raw Data'!G2:G1201,'1. Raw Data'!C2:C1201,'1. Raw Data'!C404,'1. Raw Data'!D2:D1201,'1. Raw Data'!D404),0),2),'1. Raw Data'!G404)</f>
        <v>3727.85</v>
      </c>
      <c r="H405" s="3" t="str">
        <f aca="false">PROPER('1. Raw Data'!H404)</f>
        <v>Yes</v>
      </c>
      <c r="I405" s="3" t="n">
        <f aca="false">'1. Raw Data'!I404</f>
        <v>2</v>
      </c>
      <c r="J405" s="3" t="n">
        <f aca="false">'1. Raw Data'!J404</f>
        <v>4</v>
      </c>
      <c r="K405" s="3" t="n">
        <f aca="false">'1. Raw Data'!K404</f>
        <v>10</v>
      </c>
      <c r="L405" s="3" t="n">
        <f aca="false">'1. Raw Data'!L404</f>
        <v>0</v>
      </c>
      <c r="M405" s="3" t="n">
        <f aca="false">'1. Raw Data'!M404</f>
        <v>3</v>
      </c>
      <c r="N405" s="3" t="str">
        <f aca="false">'1. Raw Data'!N404</f>
        <v>No</v>
      </c>
    </row>
    <row r="406" customFormat="false" ht="15" hidden="false" customHeight="false" outlineLevel="0" collapsed="false">
      <c r="A406" s="3" t="str">
        <f aca="false">'1. Raw Data'!A405</f>
        <v>EMP-0404</v>
      </c>
      <c r="B406" s="3" t="n">
        <f aca="false">'1. Raw Data'!B405</f>
        <v>36</v>
      </c>
      <c r="C406" s="3" t="str">
        <f aca="false">'1. Raw Data'!C405</f>
        <v>Customer Support</v>
      </c>
      <c r="D406" s="3" t="str">
        <f aca="false">'1. Raw Data'!D405</f>
        <v>Junior</v>
      </c>
      <c r="E406" s="3" t="str">
        <f aca="false">'1. Raw Data'!E405</f>
        <v>Technical</v>
      </c>
      <c r="F406" s="3" t="n">
        <f aca="false">'1. Raw Data'!F405</f>
        <v>6.5</v>
      </c>
      <c r="G406" s="3" t="n">
        <f aca="false">IF('1. Raw Data'!G405="",ROUND(IFERROR(AVERAGEIFS('1. Raw Data'!G2:G1201,'1. Raw Data'!C2:C1201,'1. Raw Data'!C405,'1. Raw Data'!D2:D1201,'1. Raw Data'!D405),0),2),'1. Raw Data'!G405)</f>
        <v>3291.31</v>
      </c>
      <c r="H406" s="3" t="str">
        <f aca="false">PROPER('1. Raw Data'!H405)</f>
        <v>Yes</v>
      </c>
      <c r="I406" s="3" t="n">
        <f aca="false">'1. Raw Data'!I405</f>
        <v>4</v>
      </c>
      <c r="J406" s="3" t="n">
        <f aca="false">'1. Raw Data'!J405</f>
        <v>4</v>
      </c>
      <c r="K406" s="3" t="n">
        <f aca="false">'1. Raw Data'!K405</f>
        <v>2</v>
      </c>
      <c r="L406" s="3" t="n">
        <f aca="false">'1. Raw Data'!L405</f>
        <v>6</v>
      </c>
      <c r="M406" s="3" t="n">
        <f aca="false">'1. Raw Data'!M405</f>
        <v>0</v>
      </c>
      <c r="N406" s="3" t="str">
        <f aca="false">'1. Raw Data'!N405</f>
        <v>No</v>
      </c>
    </row>
    <row r="407" customFormat="false" ht="15" hidden="false" customHeight="false" outlineLevel="0" collapsed="false">
      <c r="A407" s="3" t="str">
        <f aca="false">'1. Raw Data'!A406</f>
        <v>EMP-0405</v>
      </c>
      <c r="B407" s="3" t="n">
        <f aca="false">'1. Raw Data'!B406</f>
        <v>39</v>
      </c>
      <c r="C407" s="3" t="str">
        <f aca="false">'1. Raw Data'!C406</f>
        <v>HR</v>
      </c>
      <c r="D407" s="3" t="str">
        <f aca="false">'1. Raw Data'!D406</f>
        <v>Junior</v>
      </c>
      <c r="E407" s="3" t="str">
        <f aca="false">'1. Raw Data'!E406</f>
        <v>Technical</v>
      </c>
      <c r="F407" s="3" t="n">
        <f aca="false">'1. Raw Data'!F406</f>
        <v>2.6</v>
      </c>
      <c r="G407" s="3" t="n">
        <f aca="false">IF('1. Raw Data'!G406="",ROUND(IFERROR(AVERAGEIFS('1. Raw Data'!G2:G1201,'1. Raw Data'!C2:C1201,'1. Raw Data'!C406,'1. Raw Data'!D2:D1201,'1. Raw Data'!D406),0),2),'1. Raw Data'!G406)</f>
        <v>2973.5</v>
      </c>
      <c r="H407" s="3" t="str">
        <f aca="false">PROPER('1. Raw Data'!H406)</f>
        <v>No</v>
      </c>
      <c r="I407" s="3" t="n">
        <f aca="false">'1. Raw Data'!I406</f>
        <v>4</v>
      </c>
      <c r="J407" s="3" t="n">
        <f aca="false">'1. Raw Data'!J406</f>
        <v>2</v>
      </c>
      <c r="K407" s="3" t="n">
        <f aca="false">'1. Raw Data'!K406</f>
        <v>5</v>
      </c>
      <c r="L407" s="3" t="n">
        <f aca="false">'1. Raw Data'!L406</f>
        <v>2</v>
      </c>
      <c r="M407" s="3" t="n">
        <f aca="false">'1. Raw Data'!M406</f>
        <v>5</v>
      </c>
      <c r="N407" s="3" t="str">
        <f aca="false">'1. Raw Data'!N406</f>
        <v>No</v>
      </c>
    </row>
    <row r="408" customFormat="false" ht="15" hidden="false" customHeight="false" outlineLevel="0" collapsed="false">
      <c r="A408" s="3" t="str">
        <f aca="false">'1. Raw Data'!A407</f>
        <v>EMP-0406</v>
      </c>
      <c r="B408" s="3" t="n">
        <f aca="false">'1. Raw Data'!B407</f>
        <v>37</v>
      </c>
      <c r="C408" s="3" t="str">
        <f aca="false">'1. Raw Data'!C407</f>
        <v>HR</v>
      </c>
      <c r="D408" s="3" t="str">
        <f aca="false">'1. Raw Data'!D407</f>
        <v>Mid</v>
      </c>
      <c r="E408" s="3" t="str">
        <f aca="false">'1. Raw Data'!E407</f>
        <v>Business</v>
      </c>
      <c r="F408" s="3" t="n">
        <f aca="false">'1. Raw Data'!F407</f>
        <v>0.9</v>
      </c>
      <c r="G408" s="3" t="n">
        <f aca="false">IF('1. Raw Data'!G407="",ROUND(IFERROR(AVERAGEIFS('1. Raw Data'!G2:G1201,'1. Raw Data'!C2:C1201,'1. Raw Data'!C407,'1. Raw Data'!D2:D1201,'1. Raw Data'!D407),0),2),'1. Raw Data'!G407)</f>
        <v>4857.21</v>
      </c>
      <c r="H408" s="3" t="str">
        <f aca="false">PROPER('1. Raw Data'!H407)</f>
        <v>Yes</v>
      </c>
      <c r="I408" s="3" t="n">
        <f aca="false">'1. Raw Data'!I407</f>
        <v>2</v>
      </c>
      <c r="J408" s="3" t="n">
        <f aca="false">'1. Raw Data'!J407</f>
        <v>4</v>
      </c>
      <c r="K408" s="3" t="n">
        <f aca="false">'1. Raw Data'!K407</f>
        <v>4</v>
      </c>
      <c r="L408" s="3" t="n">
        <f aca="false">'1. Raw Data'!L407</f>
        <v>0</v>
      </c>
      <c r="M408" s="3" t="n">
        <f aca="false">'1. Raw Data'!M407</f>
        <v>1</v>
      </c>
      <c r="N408" s="3" t="str">
        <f aca="false">'1. Raw Data'!N407</f>
        <v>No</v>
      </c>
    </row>
    <row r="409" customFormat="false" ht="15" hidden="false" customHeight="false" outlineLevel="0" collapsed="false">
      <c r="A409" s="3" t="str">
        <f aca="false">'1. Raw Data'!A408</f>
        <v>EMP-0407</v>
      </c>
      <c r="B409" s="3" t="n">
        <f aca="false">'1. Raw Data'!B408</f>
        <v>43</v>
      </c>
      <c r="C409" s="3" t="str">
        <f aca="false">'1. Raw Data'!C408</f>
        <v>HR</v>
      </c>
      <c r="D409" s="3" t="str">
        <f aca="false">'1. Raw Data'!D408</f>
        <v>Junior</v>
      </c>
      <c r="E409" s="3" t="str">
        <f aca="false">'1. Raw Data'!E408</f>
        <v>Marketing</v>
      </c>
      <c r="F409" s="3" t="n">
        <f aca="false">'1. Raw Data'!F408</f>
        <v>4.8</v>
      </c>
      <c r="G409" s="3" t="n">
        <f aca="false">IF('1. Raw Data'!G408="",ROUND(IFERROR(AVERAGEIFS('1. Raw Data'!G2:G1201,'1. Raw Data'!C2:C1201,'1. Raw Data'!C408,'1. Raw Data'!D2:D1201,'1. Raw Data'!D408),0),2),'1. Raw Data'!G408)</f>
        <v>3830.53</v>
      </c>
      <c r="H409" s="3" t="str">
        <f aca="false">PROPER('1. Raw Data'!H408)</f>
        <v>Yes</v>
      </c>
      <c r="I409" s="3" t="n">
        <f aca="false">'1. Raw Data'!I408</f>
        <v>4</v>
      </c>
      <c r="J409" s="3" t="n">
        <f aca="false">'1. Raw Data'!J408</f>
        <v>2</v>
      </c>
      <c r="K409" s="3" t="n">
        <f aca="false">'1. Raw Data'!K408</f>
        <v>2</v>
      </c>
      <c r="L409" s="3" t="n">
        <f aca="false">'1. Raw Data'!L408</f>
        <v>0</v>
      </c>
      <c r="M409" s="3" t="n">
        <f aca="false">'1. Raw Data'!M408</f>
        <v>1</v>
      </c>
      <c r="N409" s="3" t="str">
        <f aca="false">'1. Raw Data'!N408</f>
        <v>No</v>
      </c>
    </row>
    <row r="410" customFormat="false" ht="15" hidden="false" customHeight="false" outlineLevel="0" collapsed="false">
      <c r="A410" s="3" t="str">
        <f aca="false">'1. Raw Data'!A409</f>
        <v>EMP-0408</v>
      </c>
      <c r="B410" s="3" t="n">
        <f aca="false">'1. Raw Data'!B409</f>
        <v>37</v>
      </c>
      <c r="C410" s="3" t="str">
        <f aca="false">'1. Raw Data'!C409</f>
        <v>Sales</v>
      </c>
      <c r="D410" s="3" t="str">
        <f aca="false">'1. Raw Data'!D409</f>
        <v>Lead</v>
      </c>
      <c r="E410" s="3" t="str">
        <f aca="false">'1. Raw Data'!E409</f>
        <v>Business</v>
      </c>
      <c r="F410" s="3" t="n">
        <f aca="false">'1. Raw Data'!F409</f>
        <v>0.6</v>
      </c>
      <c r="G410" s="3" t="n">
        <f aca="false">IF('1. Raw Data'!G409="",ROUND(IFERROR(AVERAGEIFS('1. Raw Data'!G2:G1201,'1. Raw Data'!C2:C1201,'1. Raw Data'!C409,'1. Raw Data'!D2:D1201,'1. Raw Data'!D409),0),2),'1. Raw Data'!G409)</f>
        <v>10621.03</v>
      </c>
      <c r="H410" s="3" t="str">
        <f aca="false">PROPER('1. Raw Data'!H409)</f>
        <v>Yes</v>
      </c>
      <c r="I410" s="3" t="n">
        <f aca="false">'1. Raw Data'!I409</f>
        <v>1</v>
      </c>
      <c r="J410" s="3" t="n">
        <f aca="false">'1. Raw Data'!J409</f>
        <v>4</v>
      </c>
      <c r="K410" s="3" t="n">
        <f aca="false">'1. Raw Data'!K409</f>
        <v>2</v>
      </c>
      <c r="L410" s="3" t="n">
        <f aca="false">'1. Raw Data'!L409</f>
        <v>0</v>
      </c>
      <c r="M410" s="3" t="n">
        <f aca="false">'1. Raw Data'!M409</f>
        <v>1</v>
      </c>
      <c r="N410" s="3" t="str">
        <f aca="false">'1. Raw Data'!N409</f>
        <v>No</v>
      </c>
    </row>
    <row r="411" customFormat="false" ht="15" hidden="false" customHeight="false" outlineLevel="0" collapsed="false">
      <c r="A411" s="3" t="str">
        <f aca="false">'1. Raw Data'!A410</f>
        <v>EMP-0409</v>
      </c>
      <c r="B411" s="3" t="n">
        <f aca="false">'1. Raw Data'!B410</f>
        <v>21</v>
      </c>
      <c r="C411" s="3" t="str">
        <f aca="false">'1. Raw Data'!C410</f>
        <v>Marketing</v>
      </c>
      <c r="D411" s="3" t="str">
        <f aca="false">'1. Raw Data'!D410</f>
        <v>Senior</v>
      </c>
      <c r="E411" s="3" t="str">
        <f aca="false">'1. Raw Data'!E410</f>
        <v>Other</v>
      </c>
      <c r="F411" s="3" t="n">
        <f aca="false">'1. Raw Data'!F410</f>
        <v>0</v>
      </c>
      <c r="G411" s="3" t="n">
        <f aca="false">IF('1. Raw Data'!G410="",ROUND(IFERROR(AVERAGEIFS('1. Raw Data'!G2:G1201,'1. Raw Data'!C2:C1201,'1. Raw Data'!C410,'1. Raw Data'!D2:D1201,'1. Raw Data'!D410),0),2),'1. Raw Data'!G410)</f>
        <v>8539.59</v>
      </c>
      <c r="H411" s="3" t="str">
        <f aca="false">PROPER('1. Raw Data'!H410)</f>
        <v>Yes</v>
      </c>
      <c r="I411" s="3" t="n">
        <f aca="false">'1. Raw Data'!I410</f>
        <v>3</v>
      </c>
      <c r="J411" s="3" t="n">
        <f aca="false">'1. Raw Data'!J410</f>
        <v>2</v>
      </c>
      <c r="K411" s="3" t="n">
        <f aca="false">'1. Raw Data'!K410</f>
        <v>1</v>
      </c>
      <c r="L411" s="3" t="n">
        <f aca="false">'1. Raw Data'!L410</f>
        <v>0</v>
      </c>
      <c r="M411" s="3" t="n">
        <f aca="false">'1. Raw Data'!M410</f>
        <v>1</v>
      </c>
      <c r="N411" s="3" t="str">
        <f aca="false">'1. Raw Data'!N410</f>
        <v>No</v>
      </c>
    </row>
    <row r="412" customFormat="false" ht="15" hidden="false" customHeight="false" outlineLevel="0" collapsed="false">
      <c r="A412" s="3" t="str">
        <f aca="false">'1. Raw Data'!A411</f>
        <v>EMP-0410</v>
      </c>
      <c r="B412" s="3" t="n">
        <f aca="false">'1. Raw Data'!B411</f>
        <v>43</v>
      </c>
      <c r="C412" s="3" t="str">
        <f aca="false">'1. Raw Data'!C411</f>
        <v>Sales</v>
      </c>
      <c r="D412" s="3" t="str">
        <f aca="false">'1. Raw Data'!D411</f>
        <v>Junior</v>
      </c>
      <c r="E412" s="3" t="str">
        <f aca="false">'1. Raw Data'!E411</f>
        <v>Business</v>
      </c>
      <c r="F412" s="3" t="n">
        <f aca="false">'1. Raw Data'!F411</f>
        <v>0.5</v>
      </c>
      <c r="G412" s="3" t="n">
        <f aca="false">IF('1. Raw Data'!G411="",ROUND(IFERROR(AVERAGEIFS('1. Raw Data'!G2:G1201,'1. Raw Data'!C2:C1201,'1. Raw Data'!C411,'1. Raw Data'!D2:D1201,'1. Raw Data'!D411),0),2),'1. Raw Data'!G411)</f>
        <v>3458.69</v>
      </c>
      <c r="H412" s="3" t="str">
        <f aca="false">PROPER('1. Raw Data'!H411)</f>
        <v>Yes</v>
      </c>
      <c r="I412" s="3" t="n">
        <f aca="false">'1. Raw Data'!I411</f>
        <v>4</v>
      </c>
      <c r="J412" s="3" t="n">
        <f aca="false">'1. Raw Data'!J411</f>
        <v>3</v>
      </c>
      <c r="K412" s="3" t="n">
        <f aca="false">'1. Raw Data'!K411</f>
        <v>13</v>
      </c>
      <c r="L412" s="3" t="n">
        <f aca="false">'1. Raw Data'!L411</f>
        <v>0</v>
      </c>
      <c r="M412" s="3" t="n">
        <f aca="false">'1. Raw Data'!M411</f>
        <v>0</v>
      </c>
      <c r="N412" s="3" t="str">
        <f aca="false">'1. Raw Data'!N411</f>
        <v>No</v>
      </c>
    </row>
    <row r="413" customFormat="false" ht="15" hidden="false" customHeight="false" outlineLevel="0" collapsed="false">
      <c r="A413" s="3" t="str">
        <f aca="false">'1. Raw Data'!A412</f>
        <v>EMP-0411</v>
      </c>
      <c r="B413" s="3" t="n">
        <f aca="false">'1. Raw Data'!B412</f>
        <v>29</v>
      </c>
      <c r="C413" s="3" t="str">
        <f aca="false">'1. Raw Data'!C412</f>
        <v>Sales</v>
      </c>
      <c r="D413" s="3" t="str">
        <f aca="false">'1. Raw Data'!D412</f>
        <v>Lead</v>
      </c>
      <c r="E413" s="3" t="str">
        <f aca="false">'1. Raw Data'!E412</f>
        <v>Business</v>
      </c>
      <c r="F413" s="3" t="n">
        <f aca="false">'1. Raw Data'!F412</f>
        <v>2.6</v>
      </c>
      <c r="G413" s="3" t="n">
        <f aca="false">IF('1. Raw Data'!G412="",ROUND(IFERROR(AVERAGEIFS('1. Raw Data'!G2:G1201,'1. Raw Data'!C2:C1201,'1. Raw Data'!C412,'1. Raw Data'!D2:D1201,'1. Raw Data'!D412),0),2),'1. Raw Data'!G412)</f>
        <v>10130.04</v>
      </c>
      <c r="H413" s="3" t="str">
        <f aca="false">PROPER('1. Raw Data'!H412)</f>
        <v>No</v>
      </c>
      <c r="I413" s="3" t="n">
        <f aca="false">'1. Raw Data'!I412</f>
        <v>2</v>
      </c>
      <c r="J413" s="3" t="n">
        <f aca="false">'1. Raw Data'!J412</f>
        <v>3</v>
      </c>
      <c r="K413" s="3" t="n">
        <f aca="false">'1. Raw Data'!K412</f>
        <v>9</v>
      </c>
      <c r="L413" s="3" t="n">
        <f aca="false">'1. Raw Data'!L412</f>
        <v>0</v>
      </c>
      <c r="M413" s="3" t="n">
        <f aca="false">'1. Raw Data'!M412</f>
        <v>0</v>
      </c>
      <c r="N413" s="3" t="str">
        <f aca="false">'1. Raw Data'!N412</f>
        <v>No</v>
      </c>
    </row>
    <row r="414" customFormat="false" ht="15" hidden="false" customHeight="false" outlineLevel="0" collapsed="false">
      <c r="A414" s="3" t="str">
        <f aca="false">'1. Raw Data'!A413</f>
        <v>EMP-0412</v>
      </c>
      <c r="B414" s="3" t="n">
        <f aca="false">'1. Raw Data'!B413</f>
        <v>21</v>
      </c>
      <c r="C414" s="3" t="str">
        <f aca="false">'1. Raw Data'!C413</f>
        <v>Finance</v>
      </c>
      <c r="D414" s="3" t="str">
        <f aca="false">'1. Raw Data'!D413</f>
        <v>Mid</v>
      </c>
      <c r="E414" s="3" t="str">
        <f aca="false">'1. Raw Data'!E413</f>
        <v>Marketing</v>
      </c>
      <c r="F414" s="3" t="n">
        <f aca="false">'1. Raw Data'!F413</f>
        <v>0</v>
      </c>
      <c r="G414" s="3" t="n">
        <f aca="false">IF('1. Raw Data'!G413="",ROUND(IFERROR(AVERAGEIFS('1. Raw Data'!G2:G1201,'1. Raw Data'!C2:C1201,'1. Raw Data'!C413,'1. Raw Data'!D2:D1201,'1. Raw Data'!D413),0),2),'1. Raw Data'!G413)</f>
        <v>5126.82</v>
      </c>
      <c r="H414" s="3" t="str">
        <f aca="false">PROPER('1. Raw Data'!H413)</f>
        <v>No</v>
      </c>
      <c r="I414" s="3" t="n">
        <f aca="false">'1. Raw Data'!I413</f>
        <v>3</v>
      </c>
      <c r="J414" s="3" t="n">
        <f aca="false">'1. Raw Data'!J413</f>
        <v>4</v>
      </c>
      <c r="K414" s="3" t="n">
        <f aca="false">'1. Raw Data'!K413</f>
        <v>27</v>
      </c>
      <c r="L414" s="3" t="n">
        <f aca="false">'1. Raw Data'!L413</f>
        <v>0</v>
      </c>
      <c r="M414" s="3" t="n">
        <f aca="false">'1. Raw Data'!M413</f>
        <v>4</v>
      </c>
      <c r="N414" s="3" t="str">
        <f aca="false">'1. Raw Data'!N413</f>
        <v>No</v>
      </c>
    </row>
    <row r="415" customFormat="false" ht="15" hidden="false" customHeight="false" outlineLevel="0" collapsed="false">
      <c r="A415" s="3" t="str">
        <f aca="false">'1. Raw Data'!A414</f>
        <v>EMP-0413</v>
      </c>
      <c r="B415" s="3" t="n">
        <f aca="false">'1. Raw Data'!B414</f>
        <v>45</v>
      </c>
      <c r="C415" s="3" t="str">
        <f aca="false">'1. Raw Data'!C414</f>
        <v>Customer Support</v>
      </c>
      <c r="D415" s="3" t="str">
        <f aca="false">'1. Raw Data'!D414</f>
        <v>Junior</v>
      </c>
      <c r="E415" s="3" t="str">
        <f aca="false">'1. Raw Data'!E414</f>
        <v>Technical</v>
      </c>
      <c r="F415" s="3" t="n">
        <f aca="false">'1. Raw Data'!F414</f>
        <v>1</v>
      </c>
      <c r="G415" s="3" t="n">
        <f aca="false">IF('1. Raw Data'!G414="",ROUND(IFERROR(AVERAGEIFS('1. Raw Data'!G2:G1201,'1. Raw Data'!C2:C1201,'1. Raw Data'!C414,'1. Raw Data'!D2:D1201,'1. Raw Data'!D414),0),2),'1. Raw Data'!G414)</f>
        <v>3749.95</v>
      </c>
      <c r="H415" s="3" t="str">
        <f aca="false">PROPER('1. Raw Data'!H414)</f>
        <v>No</v>
      </c>
      <c r="I415" s="3" t="n">
        <f aca="false">'1. Raw Data'!I414</f>
        <v>4</v>
      </c>
      <c r="J415" s="3" t="n">
        <f aca="false">'1. Raw Data'!J414</f>
        <v>4</v>
      </c>
      <c r="K415" s="3" t="n">
        <f aca="false">'1. Raw Data'!K414</f>
        <v>5</v>
      </c>
      <c r="L415" s="3" t="n">
        <f aca="false">'1. Raw Data'!L414</f>
        <v>1</v>
      </c>
      <c r="M415" s="3" t="n">
        <f aca="false">'1. Raw Data'!M414</f>
        <v>0</v>
      </c>
      <c r="N415" s="3" t="str">
        <f aca="false">'1. Raw Data'!N414</f>
        <v>Yes</v>
      </c>
    </row>
    <row r="416" customFormat="false" ht="15" hidden="false" customHeight="false" outlineLevel="0" collapsed="false">
      <c r="A416" s="3" t="str">
        <f aca="false">'1. Raw Data'!A415</f>
        <v>EMP-0414</v>
      </c>
      <c r="B416" s="3" t="n">
        <f aca="false">'1. Raw Data'!B415</f>
        <v>30</v>
      </c>
      <c r="C416" s="3" t="str">
        <f aca="false">'1. Raw Data'!C415</f>
        <v>Engineering</v>
      </c>
      <c r="D416" s="3" t="str">
        <f aca="false">'1. Raw Data'!D415</f>
        <v>Junior</v>
      </c>
      <c r="E416" s="3" t="str">
        <f aca="false">'1. Raw Data'!E415</f>
        <v>Marketing</v>
      </c>
      <c r="F416" s="3" t="n">
        <f aca="false">'1. Raw Data'!F415</f>
        <v>4.7</v>
      </c>
      <c r="G416" s="3" t="n">
        <f aca="false">IF('1. Raw Data'!G415="",ROUND(IFERROR(AVERAGEIFS('1. Raw Data'!G2:G1201,'1. Raw Data'!C2:C1201,'1. Raw Data'!C415,'1. Raw Data'!D2:D1201,'1. Raw Data'!D415),0),2),'1. Raw Data'!G415)</f>
        <v>3397.81</v>
      </c>
      <c r="H416" s="3" t="str">
        <f aca="false">PROPER('1. Raw Data'!H415)</f>
        <v>No</v>
      </c>
      <c r="I416" s="3" t="n">
        <f aca="false">'1. Raw Data'!I415</f>
        <v>3</v>
      </c>
      <c r="J416" s="3" t="n">
        <f aca="false">'1. Raw Data'!J415</f>
        <v>2</v>
      </c>
      <c r="K416" s="3" t="n">
        <f aca="false">'1. Raw Data'!K415</f>
        <v>1</v>
      </c>
      <c r="L416" s="3" t="n">
        <f aca="false">'1. Raw Data'!L415</f>
        <v>4</v>
      </c>
      <c r="M416" s="3" t="n">
        <f aca="false">'1. Raw Data'!M415</f>
        <v>1</v>
      </c>
      <c r="N416" s="3" t="str">
        <f aca="false">'1. Raw Data'!N415</f>
        <v>No</v>
      </c>
    </row>
    <row r="417" customFormat="false" ht="15" hidden="false" customHeight="false" outlineLevel="0" collapsed="false">
      <c r="A417" s="3" t="str">
        <f aca="false">'1. Raw Data'!A416</f>
        <v>EMP-0415</v>
      </c>
      <c r="B417" s="3" t="n">
        <f aca="false">'1. Raw Data'!B416</f>
        <v>29</v>
      </c>
      <c r="C417" s="3" t="str">
        <f aca="false">'1. Raw Data'!C416</f>
        <v>Sales</v>
      </c>
      <c r="D417" s="3" t="str">
        <f aca="false">'1. Raw Data'!D416</f>
        <v>Junior</v>
      </c>
      <c r="E417" s="3" t="str">
        <f aca="false">'1. Raw Data'!E416</f>
        <v>Marketing</v>
      </c>
      <c r="F417" s="3" t="n">
        <f aca="false">'1. Raw Data'!F416</f>
        <v>2.9</v>
      </c>
      <c r="G417" s="3" t="n">
        <f aca="false">IF('1. Raw Data'!G416="",ROUND(IFERROR(AVERAGEIFS('1. Raw Data'!G2:G1201,'1. Raw Data'!C2:C1201,'1. Raw Data'!C416,'1. Raw Data'!D2:D1201,'1. Raw Data'!D416),0),2),'1. Raw Data'!G416)</f>
        <v>3188.31</v>
      </c>
      <c r="H417" s="3" t="str">
        <f aca="false">PROPER('1. Raw Data'!H416)</f>
        <v>No</v>
      </c>
      <c r="I417" s="3" t="n">
        <f aca="false">'1. Raw Data'!I416</f>
        <v>1</v>
      </c>
      <c r="J417" s="3" t="n">
        <f aca="false">'1. Raw Data'!J416</f>
        <v>1</v>
      </c>
      <c r="K417" s="3" t="n">
        <f aca="false">'1. Raw Data'!K416</f>
        <v>12</v>
      </c>
      <c r="L417" s="3" t="n">
        <f aca="false">'1. Raw Data'!L416</f>
        <v>2</v>
      </c>
      <c r="M417" s="3" t="n">
        <f aca="false">'1. Raw Data'!M416</f>
        <v>2</v>
      </c>
      <c r="N417" s="3" t="str">
        <f aca="false">'1. Raw Data'!N416</f>
        <v>Yes</v>
      </c>
    </row>
    <row r="418" customFormat="false" ht="15" hidden="false" customHeight="false" outlineLevel="0" collapsed="false">
      <c r="A418" s="3" t="str">
        <f aca="false">'1. Raw Data'!A417</f>
        <v>EMP-0416</v>
      </c>
      <c r="B418" s="3" t="n">
        <f aca="false">'1. Raw Data'!B417</f>
        <v>26</v>
      </c>
      <c r="C418" s="3" t="str">
        <f aca="false">'1. Raw Data'!C417</f>
        <v>Sales</v>
      </c>
      <c r="D418" s="3" t="str">
        <f aca="false">'1. Raw Data'!D417</f>
        <v>Senior</v>
      </c>
      <c r="E418" s="3" t="str">
        <f aca="false">'1. Raw Data'!E417</f>
        <v>Marketing</v>
      </c>
      <c r="F418" s="3" t="n">
        <f aca="false">'1. Raw Data'!F417</f>
        <v>2.2</v>
      </c>
      <c r="G418" s="3" t="n">
        <f aca="false">IF('1. Raw Data'!G417="",ROUND(IFERROR(AVERAGEIFS('1. Raw Data'!G2:G1201,'1. Raw Data'!C2:C1201,'1. Raw Data'!C417,'1. Raw Data'!D2:D1201,'1. Raw Data'!D417),0),2),'1. Raw Data'!G417)</f>
        <v>7244.85</v>
      </c>
      <c r="H418" s="3" t="str">
        <f aca="false">PROPER('1. Raw Data'!H417)</f>
        <v>Yes</v>
      </c>
      <c r="I418" s="3" t="n">
        <f aca="false">'1. Raw Data'!I417</f>
        <v>4</v>
      </c>
      <c r="J418" s="3" t="n">
        <f aca="false">'1. Raw Data'!J417</f>
        <v>4</v>
      </c>
      <c r="K418" s="3" t="n">
        <f aca="false">'1. Raw Data'!K417</f>
        <v>1</v>
      </c>
      <c r="L418" s="3" t="n">
        <f aca="false">'1. Raw Data'!L417</f>
        <v>2</v>
      </c>
      <c r="M418" s="3" t="n">
        <f aca="false">'1. Raw Data'!M417</f>
        <v>0</v>
      </c>
      <c r="N418" s="3" t="str">
        <f aca="false">'1. Raw Data'!N417</f>
        <v>No</v>
      </c>
    </row>
    <row r="419" customFormat="false" ht="15" hidden="false" customHeight="false" outlineLevel="0" collapsed="false">
      <c r="A419" s="3" t="str">
        <f aca="false">'1. Raw Data'!A418</f>
        <v>EMP-0417</v>
      </c>
      <c r="B419" s="3" t="n">
        <f aca="false">'1. Raw Data'!B418</f>
        <v>34</v>
      </c>
      <c r="C419" s="3" t="str">
        <f aca="false">'1. Raw Data'!C418</f>
        <v>Finance</v>
      </c>
      <c r="D419" s="3" t="str">
        <f aca="false">'1. Raw Data'!D418</f>
        <v>Mid</v>
      </c>
      <c r="E419" s="3" t="str">
        <f aca="false">'1. Raw Data'!E418</f>
        <v>Other</v>
      </c>
      <c r="F419" s="3" t="n">
        <f aca="false">'1. Raw Data'!F418</f>
        <v>5</v>
      </c>
      <c r="G419" s="3" t="n">
        <f aca="false">IF('1. Raw Data'!G418="",ROUND(IFERROR(AVERAGEIFS('1. Raw Data'!G2:G1201,'1. Raw Data'!C2:C1201,'1. Raw Data'!C418,'1. Raw Data'!D2:D1201,'1. Raw Data'!D418),0),2),'1. Raw Data'!G418)</f>
        <v>5649.5</v>
      </c>
      <c r="H419" s="3" t="str">
        <f aca="false">PROPER('1. Raw Data'!H418)</f>
        <v>No</v>
      </c>
      <c r="I419" s="3" t="n">
        <f aca="false">'1. Raw Data'!I418</f>
        <v>3</v>
      </c>
      <c r="J419" s="3" t="n">
        <f aca="false">'1. Raw Data'!J418</f>
        <v>4</v>
      </c>
      <c r="K419" s="3" t="n">
        <f aca="false">'1. Raw Data'!K418</f>
        <v>2</v>
      </c>
      <c r="L419" s="3" t="n">
        <f aca="false">'1. Raw Data'!L418</f>
        <v>2</v>
      </c>
      <c r="M419" s="3" t="n">
        <f aca="false">'1. Raw Data'!M418</f>
        <v>3</v>
      </c>
      <c r="N419" s="3" t="str">
        <f aca="false">'1. Raw Data'!N418</f>
        <v>No</v>
      </c>
    </row>
    <row r="420" customFormat="false" ht="15" hidden="false" customHeight="false" outlineLevel="0" collapsed="false">
      <c r="A420" s="3" t="str">
        <f aca="false">'1. Raw Data'!A419</f>
        <v>EMP-0418</v>
      </c>
      <c r="B420" s="3" t="n">
        <f aca="false">'1. Raw Data'!B419</f>
        <v>44</v>
      </c>
      <c r="C420" s="3" t="str">
        <f aca="false">'1. Raw Data'!C419</f>
        <v>Finance</v>
      </c>
      <c r="D420" s="3" t="str">
        <f aca="false">'1. Raw Data'!D419</f>
        <v>Mid</v>
      </c>
      <c r="E420" s="3" t="str">
        <f aca="false">'1. Raw Data'!E419</f>
        <v>Business</v>
      </c>
      <c r="F420" s="3" t="n">
        <f aca="false">'1. Raw Data'!F419</f>
        <v>2.9</v>
      </c>
      <c r="G420" s="3" t="n">
        <f aca="false">IF('1. Raw Data'!G419="",ROUND(IFERROR(AVERAGEIFS('1. Raw Data'!G2:G1201,'1. Raw Data'!C2:C1201,'1. Raw Data'!C419,'1. Raw Data'!D2:D1201,'1. Raw Data'!D419),0),2),'1. Raw Data'!G419)</f>
        <v>4631.7</v>
      </c>
      <c r="H420" s="3" t="str">
        <f aca="false">PROPER('1. Raw Data'!H419)</f>
        <v>Yes</v>
      </c>
      <c r="I420" s="3" t="n">
        <f aca="false">'1. Raw Data'!I419</f>
        <v>4</v>
      </c>
      <c r="J420" s="3" t="n">
        <f aca="false">'1. Raw Data'!J419</f>
        <v>1</v>
      </c>
      <c r="K420" s="3" t="n">
        <f aca="false">'1. Raw Data'!K419</f>
        <v>6</v>
      </c>
      <c r="L420" s="3" t="n">
        <f aca="false">'1. Raw Data'!L419</f>
        <v>0</v>
      </c>
      <c r="M420" s="3" t="n">
        <f aca="false">'1. Raw Data'!M419</f>
        <v>4</v>
      </c>
      <c r="N420" s="3" t="str">
        <f aca="false">'1. Raw Data'!N419</f>
        <v>Yes</v>
      </c>
    </row>
    <row r="421" customFormat="false" ht="15" hidden="false" customHeight="false" outlineLevel="0" collapsed="false">
      <c r="A421" s="3" t="str">
        <f aca="false">'1. Raw Data'!A420</f>
        <v>EMP-0419</v>
      </c>
      <c r="B421" s="3" t="n">
        <f aca="false">'1. Raw Data'!B420</f>
        <v>49</v>
      </c>
      <c r="C421" s="3" t="str">
        <f aca="false">'1. Raw Data'!C420</f>
        <v>Finance</v>
      </c>
      <c r="D421" s="3" t="str">
        <f aca="false">'1. Raw Data'!D420</f>
        <v>Junior</v>
      </c>
      <c r="E421" s="3" t="str">
        <f aca="false">'1. Raw Data'!E420</f>
        <v>Business</v>
      </c>
      <c r="F421" s="3" t="n">
        <f aca="false">'1. Raw Data'!F420</f>
        <v>2.1</v>
      </c>
      <c r="G421" s="3" t="n">
        <f aca="false">IF('1. Raw Data'!G420="",ROUND(IFERROR(AVERAGEIFS('1. Raw Data'!G2:G1201,'1. Raw Data'!C2:C1201,'1. Raw Data'!C420,'1. Raw Data'!D2:D1201,'1. Raw Data'!D420),0),2),'1. Raw Data'!G420)</f>
        <v>3780.88</v>
      </c>
      <c r="H421" s="3" t="str">
        <f aca="false">PROPER('1. Raw Data'!H420)</f>
        <v>No</v>
      </c>
      <c r="I421" s="3" t="n">
        <f aca="false">'1. Raw Data'!I420</f>
        <v>3</v>
      </c>
      <c r="J421" s="3" t="n">
        <f aca="false">'1. Raw Data'!J420</f>
        <v>3</v>
      </c>
      <c r="K421" s="3" t="n">
        <f aca="false">'1. Raw Data'!K420</f>
        <v>17</v>
      </c>
      <c r="L421" s="3" t="n">
        <f aca="false">'1. Raw Data'!L420</f>
        <v>2</v>
      </c>
      <c r="M421" s="3" t="n">
        <f aca="false">'1. Raw Data'!M420</f>
        <v>1</v>
      </c>
      <c r="N421" s="3" t="str">
        <f aca="false">'1. Raw Data'!N420</f>
        <v>No</v>
      </c>
    </row>
    <row r="422" customFormat="false" ht="15" hidden="false" customHeight="false" outlineLevel="0" collapsed="false">
      <c r="A422" s="3" t="str">
        <f aca="false">'1. Raw Data'!A421</f>
        <v>EMP-0420</v>
      </c>
      <c r="B422" s="3" t="n">
        <f aca="false">'1. Raw Data'!B421</f>
        <v>24</v>
      </c>
      <c r="C422" s="3" t="str">
        <f aca="false">'1. Raw Data'!C421</f>
        <v>Engineering</v>
      </c>
      <c r="D422" s="3" t="str">
        <f aca="false">'1. Raw Data'!D421</f>
        <v>Senior</v>
      </c>
      <c r="E422" s="3" t="str">
        <f aca="false">'1. Raw Data'!E421</f>
        <v>Technical</v>
      </c>
      <c r="F422" s="3" t="n">
        <f aca="false">'1. Raw Data'!F421</f>
        <v>3</v>
      </c>
      <c r="G422" s="3" t="n">
        <f aca="false">IF('1. Raw Data'!G421="",ROUND(IFERROR(AVERAGEIFS('1. Raw Data'!G2:G1201,'1. Raw Data'!C2:C1201,'1. Raw Data'!C421,'1. Raw Data'!D2:D1201,'1. Raw Data'!D421),0),2),'1. Raw Data'!G421)</f>
        <v>7053.09</v>
      </c>
      <c r="H422" s="3" t="str">
        <f aca="false">PROPER('1. Raw Data'!H421)</f>
        <v>No</v>
      </c>
      <c r="I422" s="3" t="n">
        <f aca="false">'1. Raw Data'!I421</f>
        <v>4</v>
      </c>
      <c r="J422" s="3" t="n">
        <f aca="false">'1. Raw Data'!J421</f>
        <v>2</v>
      </c>
      <c r="K422" s="3" t="n">
        <f aca="false">'1. Raw Data'!K421</f>
        <v>6</v>
      </c>
      <c r="L422" s="3" t="n">
        <f aca="false">'1. Raw Data'!L421</f>
        <v>3</v>
      </c>
      <c r="M422" s="3" t="n">
        <f aca="false">'1. Raw Data'!M421</f>
        <v>1</v>
      </c>
      <c r="N422" s="3" t="str">
        <f aca="false">'1. Raw Data'!N421</f>
        <v>Yes</v>
      </c>
    </row>
    <row r="423" customFormat="false" ht="15" hidden="false" customHeight="false" outlineLevel="0" collapsed="false">
      <c r="A423" s="3" t="str">
        <f aca="false">'1. Raw Data'!A422</f>
        <v>EMP-0421</v>
      </c>
      <c r="B423" s="3" t="n">
        <f aca="false">'1. Raw Data'!B422</f>
        <v>60</v>
      </c>
      <c r="C423" s="3" t="str">
        <f aca="false">'1. Raw Data'!C422</f>
        <v>HR</v>
      </c>
      <c r="D423" s="3" t="str">
        <f aca="false">'1. Raw Data'!D422</f>
        <v>Senior</v>
      </c>
      <c r="E423" s="3" t="str">
        <f aca="false">'1. Raw Data'!E422</f>
        <v>Marketing</v>
      </c>
      <c r="F423" s="3" t="n">
        <f aca="false">'1. Raw Data'!F422</f>
        <v>0.9</v>
      </c>
      <c r="G423" s="3" t="n">
        <f aca="false">IF('1. Raw Data'!G422="",ROUND(IFERROR(AVERAGEIFS('1. Raw Data'!G2:G1201,'1. Raw Data'!C2:C1201,'1. Raw Data'!C422,'1. Raw Data'!D2:D1201,'1. Raw Data'!D422),0),2),'1. Raw Data'!G422)</f>
        <v>8390.89</v>
      </c>
      <c r="H423" s="3" t="str">
        <f aca="false">PROPER('1. Raw Data'!H422)</f>
        <v>No</v>
      </c>
      <c r="I423" s="3" t="n">
        <f aca="false">'1. Raw Data'!I422</f>
        <v>4</v>
      </c>
      <c r="J423" s="3" t="n">
        <f aca="false">'1. Raw Data'!J422</f>
        <v>4</v>
      </c>
      <c r="K423" s="3" t="n">
        <f aca="false">'1. Raw Data'!K422</f>
        <v>1</v>
      </c>
      <c r="L423" s="3" t="n">
        <f aca="false">'1. Raw Data'!L422</f>
        <v>0</v>
      </c>
      <c r="M423" s="3" t="n">
        <f aca="false">'1. Raw Data'!M422</f>
        <v>1</v>
      </c>
      <c r="N423" s="3" t="str">
        <f aca="false">'1. Raw Data'!N422</f>
        <v>No</v>
      </c>
    </row>
    <row r="424" customFormat="false" ht="15" hidden="false" customHeight="false" outlineLevel="0" collapsed="false">
      <c r="A424" s="3" t="str">
        <f aca="false">'1. Raw Data'!A423</f>
        <v>EMP-0422</v>
      </c>
      <c r="B424" s="3" t="n">
        <f aca="false">'1. Raw Data'!B423</f>
        <v>22</v>
      </c>
      <c r="C424" s="3" t="str">
        <f aca="false">'1. Raw Data'!C423</f>
        <v>Sales</v>
      </c>
      <c r="D424" s="3" t="str">
        <f aca="false">'1. Raw Data'!D423</f>
        <v>Junior</v>
      </c>
      <c r="E424" s="3" t="str">
        <f aca="false">'1. Raw Data'!E423</f>
        <v>Technical</v>
      </c>
      <c r="F424" s="3" t="n">
        <f aca="false">'1. Raw Data'!F423</f>
        <v>1</v>
      </c>
      <c r="G424" s="3" t="n">
        <f aca="false">IF('1. Raw Data'!G423="",ROUND(IFERROR(AVERAGEIFS('1. Raw Data'!G2:G1201,'1. Raw Data'!C2:C1201,'1. Raw Data'!C423,'1. Raw Data'!D2:D1201,'1. Raw Data'!D423),0),2),'1. Raw Data'!G423)</f>
        <v>3234.79</v>
      </c>
      <c r="H424" s="3" t="str">
        <f aca="false">PROPER('1. Raw Data'!H423)</f>
        <v>Yes</v>
      </c>
      <c r="I424" s="3" t="n">
        <f aca="false">'1. Raw Data'!I423</f>
        <v>4</v>
      </c>
      <c r="J424" s="3" t="n">
        <f aca="false">'1. Raw Data'!J423</f>
        <v>3</v>
      </c>
      <c r="K424" s="3" t="n">
        <f aca="false">'1. Raw Data'!K423</f>
        <v>1</v>
      </c>
      <c r="L424" s="3" t="n">
        <f aca="false">'1. Raw Data'!L423</f>
        <v>1</v>
      </c>
      <c r="M424" s="3" t="n">
        <f aca="false">'1. Raw Data'!M423</f>
        <v>3</v>
      </c>
      <c r="N424" s="3" t="str">
        <f aca="false">'1. Raw Data'!N423</f>
        <v>No</v>
      </c>
    </row>
    <row r="425" customFormat="false" ht="15" hidden="false" customHeight="false" outlineLevel="0" collapsed="false">
      <c r="A425" s="3" t="str">
        <f aca="false">'1. Raw Data'!A424</f>
        <v>EMP-0423</v>
      </c>
      <c r="B425" s="3" t="n">
        <f aca="false">'1. Raw Data'!B424</f>
        <v>30</v>
      </c>
      <c r="C425" s="3" t="str">
        <f aca="false">'1. Raw Data'!C424</f>
        <v>Engineering</v>
      </c>
      <c r="D425" s="3" t="str">
        <f aca="false">'1. Raw Data'!D424</f>
        <v>Senior</v>
      </c>
      <c r="E425" s="3" t="str">
        <f aca="false">'1. Raw Data'!E424</f>
        <v>Business</v>
      </c>
      <c r="F425" s="3" t="n">
        <f aca="false">'1. Raw Data'!F424</f>
        <v>7.5</v>
      </c>
      <c r="G425" s="3" t="n">
        <f aca="false">IF('1. Raw Data'!G424="",ROUND(IFERROR(AVERAGEIFS('1. Raw Data'!G2:G1201,'1. Raw Data'!C2:C1201,'1. Raw Data'!C424,'1. Raw Data'!D2:D1201,'1. Raw Data'!D424),0),2),'1. Raw Data'!G424)</f>
        <v>6923.48</v>
      </c>
      <c r="H425" s="3" t="str">
        <f aca="false">PROPER('1. Raw Data'!H424)</f>
        <v>No</v>
      </c>
      <c r="I425" s="3" t="n">
        <f aca="false">'1. Raw Data'!I424</f>
        <v>2</v>
      </c>
      <c r="J425" s="3" t="n">
        <f aca="false">'1. Raw Data'!J424</f>
        <v>2</v>
      </c>
      <c r="K425" s="3" t="n">
        <f aca="false">'1. Raw Data'!K424</f>
        <v>3</v>
      </c>
      <c r="L425" s="3" t="n">
        <f aca="false">'1. Raw Data'!L424</f>
        <v>1</v>
      </c>
      <c r="M425" s="3" t="n">
        <f aca="false">'1. Raw Data'!M424</f>
        <v>4</v>
      </c>
      <c r="N425" s="3" t="str">
        <f aca="false">'1. Raw Data'!N424</f>
        <v>No</v>
      </c>
    </row>
    <row r="426" customFormat="false" ht="15" hidden="false" customHeight="false" outlineLevel="0" collapsed="false">
      <c r="A426" s="3" t="str">
        <f aca="false">'1. Raw Data'!A425</f>
        <v>EMP-0424</v>
      </c>
      <c r="B426" s="3" t="n">
        <f aca="false">'1. Raw Data'!B425</f>
        <v>23</v>
      </c>
      <c r="C426" s="3" t="str">
        <f aca="false">'1. Raw Data'!C425</f>
        <v>Sales</v>
      </c>
      <c r="D426" s="3" t="str">
        <f aca="false">'1. Raw Data'!D425</f>
        <v>Mid</v>
      </c>
      <c r="E426" s="3" t="str">
        <f aca="false">'1. Raw Data'!E425</f>
        <v>Other</v>
      </c>
      <c r="F426" s="3" t="n">
        <f aca="false">'1. Raw Data'!F425</f>
        <v>0.9</v>
      </c>
      <c r="G426" s="3" t="n">
        <f aca="false">IF('1. Raw Data'!G425="",ROUND(IFERROR(AVERAGEIFS('1. Raw Data'!G2:G1201,'1. Raw Data'!C2:C1201,'1. Raw Data'!C425,'1. Raw Data'!D2:D1201,'1. Raw Data'!D425),0),2),'1. Raw Data'!G425)</f>
        <v>4704.69</v>
      </c>
      <c r="H426" s="3" t="str">
        <f aca="false">PROPER('1. Raw Data'!H425)</f>
        <v>Yes</v>
      </c>
      <c r="I426" s="3" t="n">
        <f aca="false">'1. Raw Data'!I425</f>
        <v>3</v>
      </c>
      <c r="J426" s="3" t="n">
        <f aca="false">'1. Raw Data'!J425</f>
        <v>4</v>
      </c>
      <c r="K426" s="3" t="n">
        <f aca="false">'1. Raw Data'!K425</f>
        <v>3</v>
      </c>
      <c r="L426" s="3" t="n">
        <f aca="false">'1. Raw Data'!L425</f>
        <v>0</v>
      </c>
      <c r="M426" s="3" t="n">
        <f aca="false">'1. Raw Data'!M425</f>
        <v>2</v>
      </c>
      <c r="N426" s="3" t="str">
        <f aca="false">'1. Raw Data'!N425</f>
        <v>Yes</v>
      </c>
    </row>
    <row r="427" customFormat="false" ht="15" hidden="false" customHeight="false" outlineLevel="0" collapsed="false">
      <c r="A427" s="3" t="str">
        <f aca="false">'1. Raw Data'!A426</f>
        <v>EMP-0425</v>
      </c>
      <c r="B427" s="3" t="n">
        <f aca="false">'1. Raw Data'!B426</f>
        <v>32</v>
      </c>
      <c r="C427" s="3" t="str">
        <f aca="false">'1. Raw Data'!C426</f>
        <v>HR</v>
      </c>
      <c r="D427" s="3" t="str">
        <f aca="false">'1. Raw Data'!D426</f>
        <v>Senior</v>
      </c>
      <c r="E427" s="3" t="str">
        <f aca="false">'1. Raw Data'!E426</f>
        <v>Other</v>
      </c>
      <c r="F427" s="3" t="n">
        <f aca="false">'1. Raw Data'!F426</f>
        <v>3.3</v>
      </c>
      <c r="G427" s="3" t="n">
        <f aca="false">IF('1. Raw Data'!G426="",ROUND(IFERROR(AVERAGEIFS('1. Raw Data'!G2:G1201,'1. Raw Data'!C2:C1201,'1. Raw Data'!C426,'1. Raw Data'!D2:D1201,'1. Raw Data'!D426),0),2),'1. Raw Data'!G426)</f>
        <v>7335.4</v>
      </c>
      <c r="H427" s="3" t="str">
        <f aca="false">PROPER('1. Raw Data'!H426)</f>
        <v>No</v>
      </c>
      <c r="I427" s="3" t="n">
        <f aca="false">'1. Raw Data'!I426</f>
        <v>3</v>
      </c>
      <c r="J427" s="3" t="n">
        <f aca="false">'1. Raw Data'!J426</f>
        <v>4</v>
      </c>
      <c r="K427" s="3" t="n">
        <f aca="false">'1. Raw Data'!K426</f>
        <v>19</v>
      </c>
      <c r="L427" s="3" t="n">
        <f aca="false">'1. Raw Data'!L426</f>
        <v>3</v>
      </c>
      <c r="M427" s="3" t="n">
        <f aca="false">'1. Raw Data'!M426</f>
        <v>1</v>
      </c>
      <c r="N427" s="3" t="str">
        <f aca="false">'1. Raw Data'!N426</f>
        <v>No</v>
      </c>
    </row>
    <row r="428" customFormat="false" ht="15" hidden="false" customHeight="false" outlineLevel="0" collapsed="false">
      <c r="A428" s="3" t="str">
        <f aca="false">'1. Raw Data'!A427</f>
        <v>EMP-0426</v>
      </c>
      <c r="B428" s="3" t="n">
        <f aca="false">'1. Raw Data'!B427</f>
        <v>38</v>
      </c>
      <c r="C428" s="3" t="str">
        <f aca="false">'1. Raw Data'!C427</f>
        <v>Customer Support</v>
      </c>
      <c r="D428" s="3" t="str">
        <f aca="false">'1. Raw Data'!D427</f>
        <v>Lead</v>
      </c>
      <c r="E428" s="3" t="str">
        <f aca="false">'1. Raw Data'!E427</f>
        <v>Marketing</v>
      </c>
      <c r="F428" s="3" t="n">
        <f aca="false">'1. Raw Data'!F427</f>
        <v>4.6</v>
      </c>
      <c r="G428" s="3" t="n">
        <f aca="false">IF('1. Raw Data'!G427="",ROUND(IFERROR(AVERAGEIFS('1. Raw Data'!G2:G1201,'1. Raw Data'!C2:C1201,'1. Raw Data'!C427,'1. Raw Data'!D2:D1201,'1. Raw Data'!D427),0),2),'1. Raw Data'!G427)</f>
        <v>10240.2</v>
      </c>
      <c r="H428" s="3" t="str">
        <f aca="false">PROPER('1. Raw Data'!H427)</f>
        <v>Yes</v>
      </c>
      <c r="I428" s="3" t="n">
        <f aca="false">'1. Raw Data'!I427</f>
        <v>3</v>
      </c>
      <c r="J428" s="3" t="n">
        <f aca="false">'1. Raw Data'!J427</f>
        <v>2</v>
      </c>
      <c r="K428" s="3" t="n">
        <f aca="false">'1. Raw Data'!K427</f>
        <v>13</v>
      </c>
      <c r="L428" s="3" t="n">
        <f aca="false">'1. Raw Data'!L427</f>
        <v>4</v>
      </c>
      <c r="M428" s="3" t="n">
        <f aca="false">'1. Raw Data'!M427</f>
        <v>3</v>
      </c>
      <c r="N428" s="3" t="str">
        <f aca="false">'1. Raw Data'!N427</f>
        <v>Yes</v>
      </c>
    </row>
    <row r="429" customFormat="false" ht="15" hidden="false" customHeight="false" outlineLevel="0" collapsed="false">
      <c r="A429" s="3" t="str">
        <f aca="false">'1. Raw Data'!A428</f>
        <v>EMP-0427</v>
      </c>
      <c r="B429" s="3" t="n">
        <f aca="false">'1. Raw Data'!B428</f>
        <v>41</v>
      </c>
      <c r="C429" s="3" t="str">
        <f aca="false">'1. Raw Data'!C428</f>
        <v>Customer Support</v>
      </c>
      <c r="D429" s="3" t="str">
        <f aca="false">'1. Raw Data'!D428</f>
        <v>Junior</v>
      </c>
      <c r="E429" s="3" t="str">
        <f aca="false">'1. Raw Data'!E428</f>
        <v>Technical</v>
      </c>
      <c r="F429" s="3" t="n">
        <f aca="false">'1. Raw Data'!F428</f>
        <v>3.8</v>
      </c>
      <c r="G429" s="3" t="n">
        <f aca="false">IF('1. Raw Data'!G428="",ROUND(IFERROR(AVERAGEIFS('1. Raw Data'!G2:G1201,'1. Raw Data'!C2:C1201,'1. Raw Data'!C428,'1. Raw Data'!D2:D1201,'1. Raw Data'!D428),0),2),'1. Raw Data'!G428)</f>
        <v>3760.18</v>
      </c>
      <c r="H429" s="3" t="str">
        <f aca="false">PROPER('1. Raw Data'!H428)</f>
        <v>Yes</v>
      </c>
      <c r="I429" s="3" t="n">
        <f aca="false">'1. Raw Data'!I428</f>
        <v>4</v>
      </c>
      <c r="J429" s="3" t="n">
        <f aca="false">'1. Raw Data'!J428</f>
        <v>3</v>
      </c>
      <c r="K429" s="3" t="n">
        <f aca="false">'1. Raw Data'!K428</f>
        <v>22</v>
      </c>
      <c r="L429" s="3" t="n">
        <f aca="false">'1. Raw Data'!L428</f>
        <v>2</v>
      </c>
      <c r="M429" s="3" t="n">
        <f aca="false">'1. Raw Data'!M428</f>
        <v>3</v>
      </c>
      <c r="N429" s="3" t="str">
        <f aca="false">'1. Raw Data'!N428</f>
        <v>Yes</v>
      </c>
    </row>
    <row r="430" customFormat="false" ht="15" hidden="false" customHeight="false" outlineLevel="0" collapsed="false">
      <c r="A430" s="3" t="str">
        <f aca="false">'1. Raw Data'!A429</f>
        <v>EMP-0428</v>
      </c>
      <c r="B430" s="3" t="n">
        <f aca="false">'1. Raw Data'!B429</f>
        <v>30</v>
      </c>
      <c r="C430" s="3" t="str">
        <f aca="false">'1. Raw Data'!C429</f>
        <v>Marketing</v>
      </c>
      <c r="D430" s="3" t="str">
        <f aca="false">'1. Raw Data'!D429</f>
        <v>Junior</v>
      </c>
      <c r="E430" s="3" t="str">
        <f aca="false">'1. Raw Data'!E429</f>
        <v>Technical</v>
      </c>
      <c r="F430" s="3" t="n">
        <f aca="false">'1. Raw Data'!F429</f>
        <v>1.6</v>
      </c>
      <c r="G430" s="3" t="n">
        <f aca="false">IF('1. Raw Data'!G429="",ROUND(IFERROR(AVERAGEIFS('1. Raw Data'!G2:G1201,'1. Raw Data'!C2:C1201,'1. Raw Data'!C429,'1. Raw Data'!D2:D1201,'1. Raw Data'!D429),0),2),'1. Raw Data'!G429)</f>
        <v>3061.57</v>
      </c>
      <c r="H430" s="3" t="str">
        <f aca="false">PROPER('1. Raw Data'!H429)</f>
        <v>No</v>
      </c>
      <c r="I430" s="3" t="n">
        <f aca="false">'1. Raw Data'!I429</f>
        <v>3</v>
      </c>
      <c r="J430" s="3" t="n">
        <f aca="false">'1. Raw Data'!J429</f>
        <v>3</v>
      </c>
      <c r="K430" s="3" t="n">
        <f aca="false">'1. Raw Data'!K429</f>
        <v>1</v>
      </c>
      <c r="L430" s="3" t="n">
        <f aca="false">'1. Raw Data'!L429</f>
        <v>1</v>
      </c>
      <c r="M430" s="3" t="n">
        <f aca="false">'1. Raw Data'!M429</f>
        <v>1</v>
      </c>
      <c r="N430" s="3" t="str">
        <f aca="false">'1. Raw Data'!N429</f>
        <v>No</v>
      </c>
    </row>
    <row r="431" customFormat="false" ht="15" hidden="false" customHeight="false" outlineLevel="0" collapsed="false">
      <c r="A431" s="3" t="str">
        <f aca="false">'1. Raw Data'!A430</f>
        <v>EMP-0429</v>
      </c>
      <c r="B431" s="3" t="n">
        <f aca="false">'1. Raw Data'!B430</f>
        <v>28</v>
      </c>
      <c r="C431" s="3" t="str">
        <f aca="false">'1. Raw Data'!C430</f>
        <v>Sales</v>
      </c>
      <c r="D431" s="3" t="str">
        <f aca="false">'1. Raw Data'!D430</f>
        <v>Mid</v>
      </c>
      <c r="E431" s="3" t="str">
        <f aca="false">'1. Raw Data'!E430</f>
        <v>Business</v>
      </c>
      <c r="F431" s="3" t="n">
        <f aca="false">'1. Raw Data'!F430</f>
        <v>1.1</v>
      </c>
      <c r="G431" s="3" t="n">
        <f aca="false">IF('1. Raw Data'!G430="",ROUND(IFERROR(AVERAGEIFS('1. Raw Data'!G2:G1201,'1. Raw Data'!C2:C1201,'1. Raw Data'!C430,'1. Raw Data'!D2:D1201,'1. Raw Data'!D430),0),2),'1. Raw Data'!G430)</f>
        <v>4459.03</v>
      </c>
      <c r="H431" s="3" t="str">
        <f aca="false">PROPER('1. Raw Data'!H430)</f>
        <v>No</v>
      </c>
      <c r="I431" s="3" t="n">
        <f aca="false">'1. Raw Data'!I430</f>
        <v>2</v>
      </c>
      <c r="J431" s="3" t="n">
        <f aca="false">'1. Raw Data'!J430</f>
        <v>4</v>
      </c>
      <c r="K431" s="3" t="n">
        <f aca="false">'1. Raw Data'!K430</f>
        <v>6</v>
      </c>
      <c r="L431" s="3" t="n">
        <f aca="false">'1. Raw Data'!L430</f>
        <v>1</v>
      </c>
      <c r="M431" s="3" t="n">
        <f aca="false">'1. Raw Data'!M430</f>
        <v>4</v>
      </c>
      <c r="N431" s="3" t="str">
        <f aca="false">'1. Raw Data'!N430</f>
        <v>No</v>
      </c>
    </row>
    <row r="432" customFormat="false" ht="15" hidden="false" customHeight="false" outlineLevel="0" collapsed="false">
      <c r="A432" s="3" t="str">
        <f aca="false">'1. Raw Data'!A431</f>
        <v>EMP-0430</v>
      </c>
      <c r="B432" s="3" t="n">
        <f aca="false">'1. Raw Data'!B431</f>
        <v>26</v>
      </c>
      <c r="C432" s="3" t="str">
        <f aca="false">'1. Raw Data'!C431</f>
        <v>Customer Support</v>
      </c>
      <c r="D432" s="3" t="str">
        <f aca="false">'1. Raw Data'!D431</f>
        <v>Lead</v>
      </c>
      <c r="E432" s="3" t="str">
        <f aca="false">'1. Raw Data'!E431</f>
        <v>Business</v>
      </c>
      <c r="F432" s="3" t="n">
        <f aca="false">'1. Raw Data'!F431</f>
        <v>2.1</v>
      </c>
      <c r="G432" s="3" t="n">
        <f aca="false">IF('1. Raw Data'!G431="",ROUND(IFERROR(AVERAGEIFS('1. Raw Data'!G2:G1201,'1. Raw Data'!C2:C1201,'1. Raw Data'!C431,'1. Raw Data'!D2:D1201,'1. Raw Data'!D431),0),2),'1. Raw Data'!G431)</f>
        <v>9218.22</v>
      </c>
      <c r="H432" s="3" t="str">
        <f aca="false">PROPER('1. Raw Data'!H431)</f>
        <v>Yes</v>
      </c>
      <c r="I432" s="3" t="n">
        <f aca="false">'1. Raw Data'!I431</f>
        <v>3</v>
      </c>
      <c r="J432" s="3" t="n">
        <f aca="false">'1. Raw Data'!J431</f>
        <v>3</v>
      </c>
      <c r="K432" s="3" t="n">
        <f aca="false">'1. Raw Data'!K431</f>
        <v>4</v>
      </c>
      <c r="L432" s="3" t="n">
        <f aca="false">'1. Raw Data'!L431</f>
        <v>0</v>
      </c>
      <c r="M432" s="3" t="n">
        <f aca="false">'1. Raw Data'!M431</f>
        <v>2</v>
      </c>
      <c r="N432" s="3" t="str">
        <f aca="false">'1. Raw Data'!N431</f>
        <v>Yes</v>
      </c>
    </row>
    <row r="433" customFormat="false" ht="15" hidden="false" customHeight="false" outlineLevel="0" collapsed="false">
      <c r="A433" s="3" t="str">
        <f aca="false">'1. Raw Data'!A432</f>
        <v>EMP-0431</v>
      </c>
      <c r="B433" s="3" t="n">
        <f aca="false">'1. Raw Data'!B432</f>
        <v>30</v>
      </c>
      <c r="C433" s="3" t="str">
        <f aca="false">'1. Raw Data'!C432</f>
        <v>Customer Support</v>
      </c>
      <c r="D433" s="3" t="str">
        <f aca="false">'1. Raw Data'!D432</f>
        <v>Mid</v>
      </c>
      <c r="E433" s="3" t="str">
        <f aca="false">'1. Raw Data'!E432</f>
        <v>Other</v>
      </c>
      <c r="F433" s="3" t="n">
        <f aca="false">'1. Raw Data'!F432</f>
        <v>3.2</v>
      </c>
      <c r="G433" s="3" t="n">
        <f aca="false">IF('1. Raw Data'!G432="",ROUND(IFERROR(AVERAGEIFS('1. Raw Data'!G2:G1201,'1. Raw Data'!C2:C1201,'1. Raw Data'!C432,'1. Raw Data'!D2:D1201,'1. Raw Data'!D432),0),2),'1. Raw Data'!G432)</f>
        <v>4591.16</v>
      </c>
      <c r="H433" s="3" t="str">
        <f aca="false">PROPER('1. Raw Data'!H432)</f>
        <v>Yes</v>
      </c>
      <c r="I433" s="3" t="n">
        <f aca="false">'1. Raw Data'!I432</f>
        <v>3</v>
      </c>
      <c r="J433" s="3" t="n">
        <f aca="false">'1. Raw Data'!J432</f>
        <v>4</v>
      </c>
      <c r="K433" s="3" t="n">
        <f aca="false">'1. Raw Data'!K432</f>
        <v>1</v>
      </c>
      <c r="L433" s="3" t="n">
        <f aca="false">'1. Raw Data'!L432</f>
        <v>2</v>
      </c>
      <c r="M433" s="3" t="n">
        <f aca="false">'1. Raw Data'!M432</f>
        <v>0</v>
      </c>
      <c r="N433" s="3" t="str">
        <f aca="false">'1. Raw Data'!N432</f>
        <v>No</v>
      </c>
    </row>
    <row r="434" customFormat="false" ht="15" hidden="false" customHeight="false" outlineLevel="0" collapsed="false">
      <c r="A434" s="3" t="str">
        <f aca="false">'1. Raw Data'!A433</f>
        <v>EMP-0432</v>
      </c>
      <c r="B434" s="3" t="n">
        <f aca="false">'1. Raw Data'!B433</f>
        <v>34</v>
      </c>
      <c r="C434" s="3" t="str">
        <f aca="false">'1. Raw Data'!C433</f>
        <v>Marketing</v>
      </c>
      <c r="D434" s="3" t="str">
        <f aca="false">'1. Raw Data'!D433</f>
        <v>Senior</v>
      </c>
      <c r="E434" s="3" t="str">
        <f aca="false">'1. Raw Data'!E433</f>
        <v>Business</v>
      </c>
      <c r="F434" s="3" t="n">
        <f aca="false">'1. Raw Data'!F433</f>
        <v>0.7</v>
      </c>
      <c r="G434" s="3" t="n">
        <f aca="false">IF('1. Raw Data'!G433="",ROUND(IFERROR(AVERAGEIFS('1. Raw Data'!G2:G1201,'1. Raw Data'!C2:C1201,'1. Raw Data'!C433,'1. Raw Data'!D2:D1201,'1. Raw Data'!D433),0),2),'1. Raw Data'!G433)</f>
        <v>7163.28</v>
      </c>
      <c r="H434" s="3" t="str">
        <f aca="false">PROPER('1. Raw Data'!H433)</f>
        <v>No</v>
      </c>
      <c r="I434" s="3" t="n">
        <f aca="false">'1. Raw Data'!I433</f>
        <v>2</v>
      </c>
      <c r="J434" s="3" t="n">
        <f aca="false">'1. Raw Data'!J433</f>
        <v>4</v>
      </c>
      <c r="K434" s="3" t="n">
        <f aca="false">'1. Raw Data'!K433</f>
        <v>40</v>
      </c>
      <c r="L434" s="3" t="n">
        <f aca="false">'1. Raw Data'!L433</f>
        <v>0</v>
      </c>
      <c r="M434" s="3" t="n">
        <f aca="false">'1. Raw Data'!M433</f>
        <v>0</v>
      </c>
      <c r="N434" s="3" t="str">
        <f aca="false">'1. Raw Data'!N433</f>
        <v>Yes</v>
      </c>
    </row>
    <row r="435" customFormat="false" ht="15" hidden="false" customHeight="false" outlineLevel="0" collapsed="false">
      <c r="A435" s="3" t="str">
        <f aca="false">'1. Raw Data'!A434</f>
        <v>EMP-0433</v>
      </c>
      <c r="B435" s="3" t="n">
        <f aca="false">'1. Raw Data'!B434</f>
        <v>42</v>
      </c>
      <c r="C435" s="3" t="str">
        <f aca="false">'1. Raw Data'!C434</f>
        <v>Engineering</v>
      </c>
      <c r="D435" s="3" t="str">
        <f aca="false">'1. Raw Data'!D434</f>
        <v>Mid</v>
      </c>
      <c r="E435" s="3" t="str">
        <f aca="false">'1. Raw Data'!E434</f>
        <v>Marketing</v>
      </c>
      <c r="F435" s="3" t="n">
        <f aca="false">'1. Raw Data'!F434</f>
        <v>0.6</v>
      </c>
      <c r="G435" s="3" t="n">
        <f aca="false">IF('1. Raw Data'!G434="",ROUND(IFERROR(AVERAGEIFS('1. Raw Data'!G2:G1201,'1. Raw Data'!C2:C1201,'1. Raw Data'!C434,'1. Raw Data'!D2:D1201,'1. Raw Data'!D434),0),2),'1. Raw Data'!G434)</f>
        <v>4542.13</v>
      </c>
      <c r="H435" s="3" t="str">
        <f aca="false">PROPER('1. Raw Data'!H434)</f>
        <v>No</v>
      </c>
      <c r="I435" s="3" t="n">
        <f aca="false">'1. Raw Data'!I434</f>
        <v>3</v>
      </c>
      <c r="J435" s="3" t="n">
        <f aca="false">'1. Raw Data'!J434</f>
        <v>3</v>
      </c>
      <c r="K435" s="3" t="n">
        <f aca="false">'1. Raw Data'!K434</f>
        <v>1</v>
      </c>
      <c r="L435" s="3" t="n">
        <f aca="false">'1. Raw Data'!L434</f>
        <v>0</v>
      </c>
      <c r="M435" s="3" t="n">
        <f aca="false">'1. Raw Data'!M434</f>
        <v>5</v>
      </c>
      <c r="N435" s="3" t="str">
        <f aca="false">'1. Raw Data'!N434</f>
        <v>No</v>
      </c>
    </row>
    <row r="436" customFormat="false" ht="15" hidden="false" customHeight="false" outlineLevel="0" collapsed="false">
      <c r="A436" s="3" t="str">
        <f aca="false">'1. Raw Data'!A435</f>
        <v>EMP-0434</v>
      </c>
      <c r="B436" s="3" t="n">
        <f aca="false">'1. Raw Data'!B435</f>
        <v>21</v>
      </c>
      <c r="C436" s="3" t="str">
        <f aca="false">'1. Raw Data'!C435</f>
        <v>Sales</v>
      </c>
      <c r="D436" s="3" t="str">
        <f aca="false">'1. Raw Data'!D435</f>
        <v>Junior</v>
      </c>
      <c r="E436" s="3" t="str">
        <f aca="false">'1. Raw Data'!E435</f>
        <v>Technical</v>
      </c>
      <c r="F436" s="3" t="n">
        <f aca="false">'1. Raw Data'!F435</f>
        <v>0</v>
      </c>
      <c r="G436" s="3" t="n">
        <f aca="false">IF('1. Raw Data'!G435="",ROUND(IFERROR(AVERAGEIFS('1. Raw Data'!G2:G1201,'1. Raw Data'!C2:C1201,'1. Raw Data'!C435,'1. Raw Data'!D2:D1201,'1. Raw Data'!D435),0),2),'1. Raw Data'!G435)</f>
        <v>2783.18</v>
      </c>
      <c r="H436" s="3" t="str">
        <f aca="false">PROPER('1. Raw Data'!H435)</f>
        <v>Yes</v>
      </c>
      <c r="I436" s="3" t="n">
        <f aca="false">'1. Raw Data'!I435</f>
        <v>1</v>
      </c>
      <c r="J436" s="3" t="n">
        <f aca="false">'1. Raw Data'!J435</f>
        <v>3</v>
      </c>
      <c r="K436" s="3" t="n">
        <f aca="false">'1. Raw Data'!K435</f>
        <v>11</v>
      </c>
      <c r="L436" s="3" t="n">
        <f aca="false">'1. Raw Data'!L435</f>
        <v>0</v>
      </c>
      <c r="M436" s="3" t="n">
        <f aca="false">'1. Raw Data'!M435</f>
        <v>5</v>
      </c>
      <c r="N436" s="3" t="str">
        <f aca="false">'1. Raw Data'!N435</f>
        <v>Yes</v>
      </c>
    </row>
    <row r="437" customFormat="false" ht="15" hidden="false" customHeight="false" outlineLevel="0" collapsed="false">
      <c r="A437" s="3" t="str">
        <f aca="false">'1. Raw Data'!A436</f>
        <v>EMP-0435</v>
      </c>
      <c r="B437" s="3" t="n">
        <f aca="false">'1. Raw Data'!B436</f>
        <v>23</v>
      </c>
      <c r="C437" s="3" t="str">
        <f aca="false">'1. Raw Data'!C436</f>
        <v>Engineering</v>
      </c>
      <c r="D437" s="3" t="str">
        <f aca="false">'1. Raw Data'!D436</f>
        <v>Senior</v>
      </c>
      <c r="E437" s="3" t="str">
        <f aca="false">'1. Raw Data'!E436</f>
        <v>Technical</v>
      </c>
      <c r="F437" s="3" t="n">
        <f aca="false">'1. Raw Data'!F436</f>
        <v>0.2</v>
      </c>
      <c r="G437" s="3" t="n">
        <f aca="false">IF('1. Raw Data'!G436="",ROUND(IFERROR(AVERAGEIFS('1. Raw Data'!G2:G1201,'1. Raw Data'!C2:C1201,'1. Raw Data'!C436,'1. Raw Data'!D2:D1201,'1. Raw Data'!D436),0),2),'1. Raw Data'!G436)</f>
        <v>6576.15</v>
      </c>
      <c r="H437" s="3" t="str">
        <f aca="false">PROPER('1. Raw Data'!H436)</f>
        <v>No</v>
      </c>
      <c r="I437" s="3" t="n">
        <f aca="false">'1. Raw Data'!I436</f>
        <v>4</v>
      </c>
      <c r="J437" s="3" t="n">
        <f aca="false">'1. Raw Data'!J436</f>
        <v>3</v>
      </c>
      <c r="K437" s="3" t="n">
        <f aca="false">'1. Raw Data'!K436</f>
        <v>10</v>
      </c>
      <c r="L437" s="3" t="n">
        <f aca="false">'1. Raw Data'!L436</f>
        <v>0</v>
      </c>
      <c r="M437" s="3" t="n">
        <f aca="false">'1. Raw Data'!M436</f>
        <v>2</v>
      </c>
      <c r="N437" s="3" t="str">
        <f aca="false">'1. Raw Data'!N436</f>
        <v>No</v>
      </c>
    </row>
    <row r="438" customFormat="false" ht="15" hidden="false" customHeight="false" outlineLevel="0" collapsed="false">
      <c r="A438" s="3" t="str">
        <f aca="false">'1. Raw Data'!A437</f>
        <v>EMP-0436</v>
      </c>
      <c r="B438" s="3" t="n">
        <f aca="false">'1. Raw Data'!B437</f>
        <v>34</v>
      </c>
      <c r="C438" s="3" t="str">
        <f aca="false">'1. Raw Data'!C437</f>
        <v>Marketing</v>
      </c>
      <c r="D438" s="3" t="str">
        <f aca="false">'1. Raw Data'!D437</f>
        <v>Junior</v>
      </c>
      <c r="E438" s="3" t="str">
        <f aca="false">'1. Raw Data'!E437</f>
        <v>Business</v>
      </c>
      <c r="F438" s="3" t="n">
        <f aca="false">'1. Raw Data'!F437</f>
        <v>8.1</v>
      </c>
      <c r="G438" s="3" t="n">
        <f aca="false">IF('1. Raw Data'!G437="",ROUND(IFERROR(AVERAGEIFS('1. Raw Data'!G2:G1201,'1. Raw Data'!C2:C1201,'1. Raw Data'!C437,'1. Raw Data'!D2:D1201,'1. Raw Data'!D437),0),2),'1. Raw Data'!G437)</f>
        <v>2985.73</v>
      </c>
      <c r="H438" s="3" t="str">
        <f aca="false">PROPER('1. Raw Data'!H437)</f>
        <v>No</v>
      </c>
      <c r="I438" s="3" t="n">
        <f aca="false">'1. Raw Data'!I437</f>
        <v>3</v>
      </c>
      <c r="J438" s="3" t="n">
        <f aca="false">'1. Raw Data'!J437</f>
        <v>4</v>
      </c>
      <c r="K438" s="3" t="n">
        <f aca="false">'1. Raw Data'!K437</f>
        <v>1</v>
      </c>
      <c r="L438" s="3" t="n">
        <f aca="false">'1. Raw Data'!L437</f>
        <v>2</v>
      </c>
      <c r="M438" s="3" t="n">
        <f aca="false">'1. Raw Data'!M437</f>
        <v>2</v>
      </c>
      <c r="N438" s="3" t="str">
        <f aca="false">'1. Raw Data'!N437</f>
        <v>No</v>
      </c>
    </row>
    <row r="439" customFormat="false" ht="15" hidden="false" customHeight="false" outlineLevel="0" collapsed="false">
      <c r="A439" s="3" t="str">
        <f aca="false">'1. Raw Data'!A438</f>
        <v>EMP-0437</v>
      </c>
      <c r="B439" s="3" t="n">
        <f aca="false">'1. Raw Data'!B438</f>
        <v>21</v>
      </c>
      <c r="C439" s="3" t="str">
        <f aca="false">'1. Raw Data'!C438</f>
        <v>Engineering</v>
      </c>
      <c r="D439" s="3" t="str">
        <f aca="false">'1. Raw Data'!D438</f>
        <v>Junior</v>
      </c>
      <c r="E439" s="3" t="str">
        <f aca="false">'1. Raw Data'!E438</f>
        <v>Technical</v>
      </c>
      <c r="F439" s="3" t="n">
        <f aca="false">'1. Raw Data'!F438</f>
        <v>0</v>
      </c>
      <c r="G439" s="3" t="n">
        <f aca="false">IF('1. Raw Data'!G438="",ROUND(IFERROR(AVERAGEIFS('1. Raw Data'!G2:G1201,'1. Raw Data'!C2:C1201,'1. Raw Data'!C438,'1. Raw Data'!D2:D1201,'1. Raw Data'!D438),0),2),'1. Raw Data'!G438)</f>
        <v>2766.67</v>
      </c>
      <c r="H439" s="3" t="str">
        <f aca="false">PROPER('1. Raw Data'!H438)</f>
        <v>No</v>
      </c>
      <c r="I439" s="3" t="n">
        <f aca="false">'1. Raw Data'!I438</f>
        <v>4</v>
      </c>
      <c r="J439" s="3" t="n">
        <f aca="false">'1. Raw Data'!J438</f>
        <v>3</v>
      </c>
      <c r="K439" s="3" t="n">
        <f aca="false">'1. Raw Data'!K438</f>
        <v>2</v>
      </c>
      <c r="L439" s="3" t="n">
        <f aca="false">'1. Raw Data'!L438</f>
        <v>0</v>
      </c>
      <c r="M439" s="3" t="n">
        <f aca="false">'1. Raw Data'!M438</f>
        <v>2</v>
      </c>
      <c r="N439" s="3" t="str">
        <f aca="false">'1. Raw Data'!N438</f>
        <v>No</v>
      </c>
    </row>
    <row r="440" customFormat="false" ht="15" hidden="false" customHeight="false" outlineLevel="0" collapsed="false">
      <c r="A440" s="3" t="str">
        <f aca="false">'1. Raw Data'!A439</f>
        <v>EMP-0438</v>
      </c>
      <c r="B440" s="3" t="n">
        <f aca="false">'1. Raw Data'!B439</f>
        <v>29</v>
      </c>
      <c r="C440" s="3" t="str">
        <f aca="false">'1. Raw Data'!C439</f>
        <v>Finance</v>
      </c>
      <c r="D440" s="3" t="str">
        <f aca="false">'1. Raw Data'!D439</f>
        <v>Mid</v>
      </c>
      <c r="E440" s="3" t="str">
        <f aca="false">'1. Raw Data'!E439</f>
        <v>Marketing</v>
      </c>
      <c r="F440" s="3" t="n">
        <f aca="false">'1. Raw Data'!F439</f>
        <v>3.6</v>
      </c>
      <c r="G440" s="3" t="n">
        <f aca="false">IF('1. Raw Data'!G439="",ROUND(IFERROR(AVERAGEIFS('1. Raw Data'!G2:G1201,'1. Raw Data'!C2:C1201,'1. Raw Data'!C439,'1. Raw Data'!D2:D1201,'1. Raw Data'!D439),0),2),'1. Raw Data'!G439)</f>
        <v>4600.51</v>
      </c>
      <c r="H440" s="3" t="str">
        <f aca="false">PROPER('1. Raw Data'!H439)</f>
        <v>No</v>
      </c>
      <c r="I440" s="3" t="n">
        <f aca="false">'1. Raw Data'!I439</f>
        <v>3</v>
      </c>
      <c r="J440" s="3" t="n">
        <f aca="false">'1. Raw Data'!J439</f>
        <v>3</v>
      </c>
      <c r="K440" s="3" t="n">
        <f aca="false">'1. Raw Data'!K439</f>
        <v>6</v>
      </c>
      <c r="L440" s="3" t="n">
        <f aca="false">'1. Raw Data'!L439</f>
        <v>3</v>
      </c>
      <c r="M440" s="3" t="n">
        <f aca="false">'1. Raw Data'!M439</f>
        <v>1</v>
      </c>
      <c r="N440" s="3" t="str">
        <f aca="false">'1. Raw Data'!N439</f>
        <v>No</v>
      </c>
    </row>
    <row r="441" customFormat="false" ht="15" hidden="false" customHeight="false" outlineLevel="0" collapsed="false">
      <c r="A441" s="3" t="str">
        <f aca="false">'1. Raw Data'!A440</f>
        <v>EMP-0439</v>
      </c>
      <c r="B441" s="3" t="n">
        <f aca="false">'1. Raw Data'!B440</f>
        <v>25</v>
      </c>
      <c r="C441" s="3" t="str">
        <f aca="false">'1. Raw Data'!C440</f>
        <v>Sales</v>
      </c>
      <c r="D441" s="3" t="str">
        <f aca="false">'1. Raw Data'!D440</f>
        <v>Mid</v>
      </c>
      <c r="E441" s="3" t="str">
        <f aca="false">'1. Raw Data'!E440</f>
        <v>Marketing</v>
      </c>
      <c r="F441" s="3" t="n">
        <f aca="false">'1. Raw Data'!F440</f>
        <v>4</v>
      </c>
      <c r="G441" s="3" t="n">
        <f aca="false">IF('1. Raw Data'!G440="",ROUND(IFERROR(AVERAGEIFS('1. Raw Data'!G2:G1201,'1. Raw Data'!C2:C1201,'1. Raw Data'!C440,'1. Raw Data'!D2:D1201,'1. Raw Data'!D440),0),2),'1. Raw Data'!G440)</f>
        <v>4852.54</v>
      </c>
      <c r="H441" s="3" t="str">
        <f aca="false">PROPER('1. Raw Data'!H440)</f>
        <v>No</v>
      </c>
      <c r="I441" s="3" t="n">
        <f aca="false">'1. Raw Data'!I440</f>
        <v>4</v>
      </c>
      <c r="J441" s="3" t="n">
        <f aca="false">'1. Raw Data'!J440</f>
        <v>2</v>
      </c>
      <c r="K441" s="3" t="n">
        <f aca="false">'1. Raw Data'!K440</f>
        <v>10</v>
      </c>
      <c r="L441" s="3" t="n">
        <f aca="false">'1. Raw Data'!L440</f>
        <v>0</v>
      </c>
      <c r="M441" s="3" t="n">
        <f aca="false">'1. Raw Data'!M440</f>
        <v>2</v>
      </c>
      <c r="N441" s="3" t="str">
        <f aca="false">'1. Raw Data'!N440</f>
        <v>No</v>
      </c>
    </row>
    <row r="442" customFormat="false" ht="15" hidden="false" customHeight="false" outlineLevel="0" collapsed="false">
      <c r="A442" s="3" t="str">
        <f aca="false">'1. Raw Data'!A441</f>
        <v>EMP-0440</v>
      </c>
      <c r="B442" s="3" t="n">
        <f aca="false">'1. Raw Data'!B441</f>
        <v>28</v>
      </c>
      <c r="C442" s="3" t="str">
        <f aca="false">'1. Raw Data'!C441</f>
        <v>Customer Support</v>
      </c>
      <c r="D442" s="3" t="str">
        <f aca="false">'1. Raw Data'!D441</f>
        <v>Junior</v>
      </c>
      <c r="E442" s="3" t="str">
        <f aca="false">'1. Raw Data'!E441</f>
        <v>Other</v>
      </c>
      <c r="F442" s="3" t="n">
        <f aca="false">'1. Raw Data'!F441</f>
        <v>0.5</v>
      </c>
      <c r="G442" s="3" t="n">
        <f aca="false">IF('1. Raw Data'!G441="",ROUND(IFERROR(AVERAGEIFS('1. Raw Data'!G2:G1201,'1. Raw Data'!C2:C1201,'1. Raw Data'!C441,'1. Raw Data'!D2:D1201,'1. Raw Data'!D441),0),2),'1. Raw Data'!G441)</f>
        <v>3170.8</v>
      </c>
      <c r="H442" s="3" t="str">
        <f aca="false">PROPER('1. Raw Data'!H441)</f>
        <v>Yes</v>
      </c>
      <c r="I442" s="3" t="n">
        <f aca="false">'1. Raw Data'!I441</f>
        <v>2</v>
      </c>
      <c r="J442" s="3" t="n">
        <f aca="false">'1. Raw Data'!J441</f>
        <v>1</v>
      </c>
      <c r="K442" s="3" t="n">
        <f aca="false">'1. Raw Data'!K441</f>
        <v>20</v>
      </c>
      <c r="L442" s="3" t="n">
        <f aca="false">'1. Raw Data'!L441</f>
        <v>0</v>
      </c>
      <c r="M442" s="3" t="n">
        <f aca="false">'1. Raw Data'!M441</f>
        <v>1</v>
      </c>
      <c r="N442" s="3" t="str">
        <f aca="false">'1. Raw Data'!N441</f>
        <v>Yes</v>
      </c>
    </row>
    <row r="443" customFormat="false" ht="15" hidden="false" customHeight="false" outlineLevel="0" collapsed="false">
      <c r="A443" s="3" t="str">
        <f aca="false">'1. Raw Data'!A442</f>
        <v>EMP-0441</v>
      </c>
      <c r="B443" s="3" t="n">
        <f aca="false">'1. Raw Data'!B442</f>
        <v>34</v>
      </c>
      <c r="C443" s="3" t="str">
        <f aca="false">'1. Raw Data'!C442</f>
        <v>Customer Support</v>
      </c>
      <c r="D443" s="3" t="str">
        <f aca="false">'1. Raw Data'!D442</f>
        <v>Mid</v>
      </c>
      <c r="E443" s="3" t="str">
        <f aca="false">'1. Raw Data'!E442</f>
        <v>Technical</v>
      </c>
      <c r="F443" s="3" t="n">
        <f aca="false">'1. Raw Data'!F442</f>
        <v>0.9</v>
      </c>
      <c r="G443" s="3" t="n">
        <f aca="false">IF('1. Raw Data'!G442="",ROUND(IFERROR(AVERAGEIFS('1. Raw Data'!G2:G1201,'1. Raw Data'!C2:C1201,'1. Raw Data'!C442,'1. Raw Data'!D2:D1201,'1. Raw Data'!D442),0),2),'1. Raw Data'!G442)</f>
        <v>4766.52</v>
      </c>
      <c r="H443" s="3" t="str">
        <f aca="false">PROPER('1. Raw Data'!H442)</f>
        <v>Yes</v>
      </c>
      <c r="I443" s="3" t="n">
        <f aca="false">'1. Raw Data'!I442</f>
        <v>4</v>
      </c>
      <c r="J443" s="3" t="n">
        <f aca="false">'1. Raw Data'!J442</f>
        <v>1</v>
      </c>
      <c r="K443" s="3" t="n">
        <f aca="false">'1. Raw Data'!K442</f>
        <v>1</v>
      </c>
      <c r="L443" s="3" t="n">
        <f aca="false">'1. Raw Data'!L442</f>
        <v>0</v>
      </c>
      <c r="M443" s="3" t="n">
        <f aca="false">'1. Raw Data'!M442</f>
        <v>3</v>
      </c>
      <c r="N443" s="3" t="str">
        <f aca="false">'1. Raw Data'!N442</f>
        <v>Yes</v>
      </c>
    </row>
    <row r="444" customFormat="false" ht="15" hidden="false" customHeight="false" outlineLevel="0" collapsed="false">
      <c r="A444" s="3" t="str">
        <f aca="false">'1. Raw Data'!A443</f>
        <v>EMP-0442</v>
      </c>
      <c r="B444" s="3" t="n">
        <f aca="false">'1. Raw Data'!B443</f>
        <v>33</v>
      </c>
      <c r="C444" s="3" t="str">
        <f aca="false">'1. Raw Data'!C443</f>
        <v>Engineering</v>
      </c>
      <c r="D444" s="3" t="str">
        <f aca="false">'1. Raw Data'!D443</f>
        <v>Senior</v>
      </c>
      <c r="E444" s="3" t="str">
        <f aca="false">'1. Raw Data'!E443</f>
        <v>Technical</v>
      </c>
      <c r="F444" s="3" t="n">
        <f aca="false">'1. Raw Data'!F443</f>
        <v>0.4</v>
      </c>
      <c r="G444" s="3" t="n">
        <f aca="false">IF('1. Raw Data'!G443="",ROUND(IFERROR(AVERAGEIFS('1. Raw Data'!G2:G1201,'1. Raw Data'!C2:C1201,'1. Raw Data'!C443,'1. Raw Data'!D2:D1201,'1. Raw Data'!D443),0),2),'1. Raw Data'!G443)</f>
        <v>7132.27</v>
      </c>
      <c r="H444" s="3" t="str">
        <f aca="false">PROPER('1. Raw Data'!H443)</f>
        <v>No</v>
      </c>
      <c r="I444" s="3" t="n">
        <f aca="false">'1. Raw Data'!I443</f>
        <v>1</v>
      </c>
      <c r="J444" s="3" t="n">
        <f aca="false">'1. Raw Data'!J443</f>
        <v>1</v>
      </c>
      <c r="K444" s="3" t="n">
        <f aca="false">'1. Raw Data'!K443</f>
        <v>15</v>
      </c>
      <c r="L444" s="3" t="n">
        <f aca="false">'1. Raw Data'!L443</f>
        <v>0</v>
      </c>
      <c r="M444" s="3" t="n">
        <f aca="false">'1. Raw Data'!M443</f>
        <v>1</v>
      </c>
      <c r="N444" s="3" t="str">
        <f aca="false">'1. Raw Data'!N443</f>
        <v>No</v>
      </c>
    </row>
    <row r="445" customFormat="false" ht="15" hidden="false" customHeight="false" outlineLevel="0" collapsed="false">
      <c r="A445" s="3" t="str">
        <f aca="false">'1. Raw Data'!A444</f>
        <v>EMP-0443</v>
      </c>
      <c r="B445" s="3" t="n">
        <f aca="false">'1. Raw Data'!B444</f>
        <v>42</v>
      </c>
      <c r="C445" s="3" t="str">
        <f aca="false">'1. Raw Data'!C444</f>
        <v>HR</v>
      </c>
      <c r="D445" s="3" t="str">
        <f aca="false">'1. Raw Data'!D444</f>
        <v>Lead</v>
      </c>
      <c r="E445" s="3" t="str">
        <f aca="false">'1. Raw Data'!E444</f>
        <v>Marketing</v>
      </c>
      <c r="F445" s="3" t="n">
        <f aca="false">'1. Raw Data'!F444</f>
        <v>2.7</v>
      </c>
      <c r="G445" s="3" t="n">
        <f aca="false">IF('1. Raw Data'!G444="",ROUND(IFERROR(AVERAGEIFS('1. Raw Data'!G2:G1201,'1. Raw Data'!C2:C1201,'1. Raw Data'!C444,'1. Raw Data'!D2:D1201,'1. Raw Data'!D444),0),2),'1. Raw Data'!G444)</f>
        <v>8491.65</v>
      </c>
      <c r="H445" s="3" t="str">
        <f aca="false">PROPER('1. Raw Data'!H444)</f>
        <v>No</v>
      </c>
      <c r="I445" s="3" t="n">
        <f aca="false">'1. Raw Data'!I444</f>
        <v>3</v>
      </c>
      <c r="J445" s="3" t="n">
        <f aca="false">'1. Raw Data'!J444</f>
        <v>2</v>
      </c>
      <c r="K445" s="3" t="n">
        <f aca="false">'1. Raw Data'!K444</f>
        <v>18</v>
      </c>
      <c r="L445" s="3" t="n">
        <f aca="false">'1. Raw Data'!L444</f>
        <v>2</v>
      </c>
      <c r="M445" s="3" t="n">
        <f aca="false">'1. Raw Data'!M444</f>
        <v>3</v>
      </c>
      <c r="N445" s="3" t="str">
        <f aca="false">'1. Raw Data'!N444</f>
        <v>No</v>
      </c>
    </row>
    <row r="446" customFormat="false" ht="15" hidden="false" customHeight="false" outlineLevel="0" collapsed="false">
      <c r="A446" s="3" t="str">
        <f aca="false">'1. Raw Data'!A445</f>
        <v>EMP-0444</v>
      </c>
      <c r="B446" s="3" t="n">
        <f aca="false">'1. Raw Data'!B445</f>
        <v>30</v>
      </c>
      <c r="C446" s="3" t="str">
        <f aca="false">'1. Raw Data'!C445</f>
        <v>Customer Support</v>
      </c>
      <c r="D446" s="3" t="str">
        <f aca="false">'1. Raw Data'!D445</f>
        <v>Junior</v>
      </c>
      <c r="E446" s="3" t="str">
        <f aca="false">'1. Raw Data'!E445</f>
        <v>Technical</v>
      </c>
      <c r="F446" s="3" t="n">
        <f aca="false">'1. Raw Data'!F445</f>
        <v>5.2</v>
      </c>
      <c r="G446" s="3" t="n">
        <f aca="false">IF('1. Raw Data'!G445="",ROUND(IFERROR(AVERAGEIFS('1. Raw Data'!G2:G1201,'1. Raw Data'!C2:C1201,'1. Raw Data'!C445,'1. Raw Data'!D2:D1201,'1. Raw Data'!D445),0),2),'1. Raw Data'!G445)</f>
        <v>3057.86</v>
      </c>
      <c r="H446" s="3" t="str">
        <f aca="false">PROPER('1. Raw Data'!H445)</f>
        <v>Yes</v>
      </c>
      <c r="I446" s="3" t="n">
        <f aca="false">'1. Raw Data'!I445</f>
        <v>4</v>
      </c>
      <c r="J446" s="3" t="n">
        <f aca="false">'1. Raw Data'!J445</f>
        <v>2</v>
      </c>
      <c r="K446" s="3" t="n">
        <f aca="false">'1. Raw Data'!K445</f>
        <v>1</v>
      </c>
      <c r="L446" s="3" t="n">
        <f aca="false">'1. Raw Data'!L445</f>
        <v>0</v>
      </c>
      <c r="M446" s="3" t="n">
        <f aca="false">'1. Raw Data'!M445</f>
        <v>2</v>
      </c>
      <c r="N446" s="3" t="str">
        <f aca="false">'1. Raw Data'!N445</f>
        <v>Yes</v>
      </c>
    </row>
    <row r="447" customFormat="false" ht="15" hidden="false" customHeight="false" outlineLevel="0" collapsed="false">
      <c r="A447" s="3" t="str">
        <f aca="false">'1. Raw Data'!A446</f>
        <v>EMP-0445</v>
      </c>
      <c r="B447" s="3" t="n">
        <f aca="false">'1. Raw Data'!B446</f>
        <v>21</v>
      </c>
      <c r="C447" s="3" t="str">
        <f aca="false">'1. Raw Data'!C446</f>
        <v>Engineering</v>
      </c>
      <c r="D447" s="3" t="str">
        <f aca="false">'1. Raw Data'!D446</f>
        <v>Junior</v>
      </c>
      <c r="E447" s="3" t="str">
        <f aca="false">'1. Raw Data'!E446</f>
        <v>Business</v>
      </c>
      <c r="F447" s="3" t="n">
        <f aca="false">'1. Raw Data'!F446</f>
        <v>0</v>
      </c>
      <c r="G447" s="3" t="n">
        <f aca="false">IF('1. Raw Data'!G446="",ROUND(IFERROR(AVERAGEIFS('1. Raw Data'!G2:G1201,'1. Raw Data'!C2:C1201,'1. Raw Data'!C446,'1. Raw Data'!D2:D1201,'1. Raw Data'!D446),0),2),'1. Raw Data'!G446)</f>
        <v>2824.69</v>
      </c>
      <c r="H447" s="3" t="str">
        <f aca="false">PROPER('1. Raw Data'!H446)</f>
        <v>No</v>
      </c>
      <c r="I447" s="3" t="n">
        <f aca="false">'1. Raw Data'!I446</f>
        <v>3</v>
      </c>
      <c r="J447" s="3" t="n">
        <f aca="false">'1. Raw Data'!J446</f>
        <v>1</v>
      </c>
      <c r="K447" s="3" t="n">
        <f aca="false">'1. Raw Data'!K446</f>
        <v>11</v>
      </c>
      <c r="L447" s="3" t="n">
        <f aca="false">'1. Raw Data'!L446</f>
        <v>0</v>
      </c>
      <c r="M447" s="3" t="n">
        <f aca="false">'1. Raw Data'!M446</f>
        <v>2</v>
      </c>
      <c r="N447" s="3" t="str">
        <f aca="false">'1. Raw Data'!N446</f>
        <v>No</v>
      </c>
    </row>
    <row r="448" customFormat="false" ht="15" hidden="false" customHeight="false" outlineLevel="0" collapsed="false">
      <c r="A448" s="3" t="str">
        <f aca="false">'1. Raw Data'!A447</f>
        <v>EMP-0446</v>
      </c>
      <c r="B448" s="3" t="n">
        <f aca="false">'1. Raw Data'!B447</f>
        <v>21</v>
      </c>
      <c r="C448" s="3" t="str">
        <f aca="false">'1. Raw Data'!C447</f>
        <v>Sales</v>
      </c>
      <c r="D448" s="3" t="str">
        <f aca="false">'1. Raw Data'!D447</f>
        <v>Mid</v>
      </c>
      <c r="E448" s="3" t="str">
        <f aca="false">'1. Raw Data'!E447</f>
        <v>Technical</v>
      </c>
      <c r="F448" s="3" t="n">
        <f aca="false">'1. Raw Data'!F447</f>
        <v>0</v>
      </c>
      <c r="G448" s="3" t="n">
        <f aca="false">IF('1. Raw Data'!G447="",ROUND(IFERROR(AVERAGEIFS('1. Raw Data'!G2:G1201,'1. Raw Data'!C2:C1201,'1. Raw Data'!C447,'1. Raw Data'!D2:D1201,'1. Raw Data'!D447),0),2),'1. Raw Data'!G447)</f>
        <v>4878.17</v>
      </c>
      <c r="H448" s="3" t="str">
        <f aca="false">PROPER('1. Raw Data'!H447)</f>
        <v>Yes</v>
      </c>
      <c r="I448" s="3" t="n">
        <f aca="false">'1. Raw Data'!I447</f>
        <v>4</v>
      </c>
      <c r="J448" s="3" t="n">
        <f aca="false">'1. Raw Data'!J447</f>
        <v>4</v>
      </c>
      <c r="K448" s="3" t="n">
        <f aca="false">'1. Raw Data'!K447</f>
        <v>7</v>
      </c>
      <c r="L448" s="3" t="n">
        <f aca="false">'1. Raw Data'!L447</f>
        <v>0</v>
      </c>
      <c r="M448" s="3" t="n">
        <f aca="false">'1. Raw Data'!M447</f>
        <v>3</v>
      </c>
      <c r="N448" s="3" t="str">
        <f aca="false">'1. Raw Data'!N447</f>
        <v>No</v>
      </c>
    </row>
    <row r="449" customFormat="false" ht="15" hidden="false" customHeight="false" outlineLevel="0" collapsed="false">
      <c r="A449" s="3" t="str">
        <f aca="false">'1. Raw Data'!A448</f>
        <v>EMP-0447</v>
      </c>
      <c r="B449" s="3" t="n">
        <f aca="false">'1. Raw Data'!B448</f>
        <v>41</v>
      </c>
      <c r="C449" s="3" t="str">
        <f aca="false">'1. Raw Data'!C448</f>
        <v>Engineering</v>
      </c>
      <c r="D449" s="3" t="str">
        <f aca="false">'1. Raw Data'!D448</f>
        <v>Lead</v>
      </c>
      <c r="E449" s="3" t="str">
        <f aca="false">'1. Raw Data'!E448</f>
        <v>Marketing</v>
      </c>
      <c r="F449" s="3" t="n">
        <f aca="false">'1. Raw Data'!F448</f>
        <v>9.9</v>
      </c>
      <c r="G449" s="3" t="n">
        <f aca="false">IF('1. Raw Data'!G448="",ROUND(IFERROR(AVERAGEIFS('1. Raw Data'!G2:G1201,'1. Raw Data'!C2:C1201,'1. Raw Data'!C448,'1. Raw Data'!D2:D1201,'1. Raw Data'!D448),0),2),'1. Raw Data'!G448)</f>
        <v>10343.93</v>
      </c>
      <c r="H449" s="3" t="str">
        <f aca="false">PROPER('1. Raw Data'!H448)</f>
        <v>No</v>
      </c>
      <c r="I449" s="3" t="n">
        <f aca="false">'1. Raw Data'!I448</f>
        <v>3</v>
      </c>
      <c r="J449" s="3" t="n">
        <f aca="false">'1. Raw Data'!J448</f>
        <v>4</v>
      </c>
      <c r="K449" s="3" t="n">
        <f aca="false">'1. Raw Data'!K448</f>
        <v>1</v>
      </c>
      <c r="L449" s="3" t="n">
        <f aca="false">'1. Raw Data'!L448</f>
        <v>3</v>
      </c>
      <c r="M449" s="3" t="n">
        <f aca="false">'1. Raw Data'!M448</f>
        <v>0</v>
      </c>
      <c r="N449" s="3" t="str">
        <f aca="false">'1. Raw Data'!N448</f>
        <v>No</v>
      </c>
    </row>
    <row r="450" customFormat="false" ht="15" hidden="false" customHeight="false" outlineLevel="0" collapsed="false">
      <c r="A450" s="3" t="str">
        <f aca="false">'1. Raw Data'!A449</f>
        <v>EMP-0448</v>
      </c>
      <c r="B450" s="3" t="n">
        <f aca="false">'1. Raw Data'!B449</f>
        <v>38</v>
      </c>
      <c r="C450" s="3" t="str">
        <f aca="false">'1. Raw Data'!C449</f>
        <v>HR</v>
      </c>
      <c r="D450" s="3" t="str">
        <f aca="false">'1. Raw Data'!D449</f>
        <v>Mid</v>
      </c>
      <c r="E450" s="3" t="str">
        <f aca="false">'1. Raw Data'!E449</f>
        <v>Technical</v>
      </c>
      <c r="F450" s="3" t="n">
        <f aca="false">'1. Raw Data'!F449</f>
        <v>2.6</v>
      </c>
      <c r="G450" s="3" t="n">
        <f aca="false">IF('1. Raw Data'!G449="",ROUND(IFERROR(AVERAGEIFS('1. Raw Data'!G2:G1201,'1. Raw Data'!C2:C1201,'1. Raw Data'!C449,'1. Raw Data'!D2:D1201,'1. Raw Data'!D449),0),2),'1. Raw Data'!G449)</f>
        <v>4906.09</v>
      </c>
      <c r="H450" s="3" t="str">
        <f aca="false">PROPER('1. Raw Data'!H449)</f>
        <v>No</v>
      </c>
      <c r="I450" s="3" t="n">
        <f aca="false">'1. Raw Data'!I449</f>
        <v>2</v>
      </c>
      <c r="J450" s="3" t="n">
        <f aca="false">'1. Raw Data'!J449</f>
        <v>4</v>
      </c>
      <c r="K450" s="3" t="n">
        <f aca="false">'1. Raw Data'!K449</f>
        <v>4</v>
      </c>
      <c r="L450" s="3" t="n">
        <f aca="false">'1. Raw Data'!L449</f>
        <v>2</v>
      </c>
      <c r="M450" s="3" t="n">
        <f aca="false">'1. Raw Data'!M449</f>
        <v>2</v>
      </c>
      <c r="N450" s="3" t="str">
        <f aca="false">'1. Raw Data'!N449</f>
        <v>No</v>
      </c>
    </row>
    <row r="451" customFormat="false" ht="15" hidden="false" customHeight="false" outlineLevel="0" collapsed="false">
      <c r="A451" s="3" t="str">
        <f aca="false">'1. Raw Data'!A450</f>
        <v>EMP-0449</v>
      </c>
      <c r="B451" s="3" t="n">
        <f aca="false">'1. Raw Data'!B450</f>
        <v>26</v>
      </c>
      <c r="C451" s="3" t="str">
        <f aca="false">'1. Raw Data'!C450</f>
        <v>Sales</v>
      </c>
      <c r="D451" s="3" t="str">
        <f aca="false">'1. Raw Data'!D450</f>
        <v>Senior</v>
      </c>
      <c r="E451" s="3" t="str">
        <f aca="false">'1. Raw Data'!E450</f>
        <v>Marketing</v>
      </c>
      <c r="F451" s="3" t="n">
        <f aca="false">'1. Raw Data'!F450</f>
        <v>1.5</v>
      </c>
      <c r="G451" s="3" t="n">
        <f aca="false">IF('1. Raw Data'!G450="",ROUND(IFERROR(AVERAGEIFS('1. Raw Data'!G2:G1201,'1. Raw Data'!C2:C1201,'1. Raw Data'!C450,'1. Raw Data'!D2:D1201,'1. Raw Data'!D450),0),2),'1. Raw Data'!G450)</f>
        <v>6312.81</v>
      </c>
      <c r="H451" s="3" t="str">
        <f aca="false">PROPER('1. Raw Data'!H450)</f>
        <v>Yes</v>
      </c>
      <c r="I451" s="3" t="n">
        <f aca="false">'1. Raw Data'!I450</f>
        <v>2</v>
      </c>
      <c r="J451" s="3" t="n">
        <f aca="false">'1. Raw Data'!J450</f>
        <v>4</v>
      </c>
      <c r="K451" s="3" t="n">
        <f aca="false">'1. Raw Data'!K450</f>
        <v>7</v>
      </c>
      <c r="L451" s="3" t="n">
        <f aca="false">'1. Raw Data'!L450</f>
        <v>0</v>
      </c>
      <c r="M451" s="3" t="n">
        <f aca="false">'1. Raw Data'!M450</f>
        <v>3</v>
      </c>
      <c r="N451" s="3" t="str">
        <f aca="false">'1. Raw Data'!N450</f>
        <v>No</v>
      </c>
    </row>
    <row r="452" customFormat="false" ht="15" hidden="false" customHeight="false" outlineLevel="0" collapsed="false">
      <c r="A452" s="3" t="str">
        <f aca="false">'1. Raw Data'!A451</f>
        <v>EMP-0450</v>
      </c>
      <c r="B452" s="3" t="n">
        <f aca="false">'1. Raw Data'!B451</f>
        <v>23</v>
      </c>
      <c r="C452" s="3" t="str">
        <f aca="false">'1. Raw Data'!C451</f>
        <v>Sales</v>
      </c>
      <c r="D452" s="3" t="str">
        <f aca="false">'1. Raw Data'!D451</f>
        <v>Mid</v>
      </c>
      <c r="E452" s="3" t="str">
        <f aca="false">'1. Raw Data'!E451</f>
        <v>Business</v>
      </c>
      <c r="F452" s="3" t="n">
        <f aca="false">'1. Raw Data'!F451</f>
        <v>0.1</v>
      </c>
      <c r="G452" s="3" t="n">
        <f aca="false">IF('1. Raw Data'!G451="",ROUND(IFERROR(AVERAGEIFS('1. Raw Data'!G2:G1201,'1. Raw Data'!C2:C1201,'1. Raw Data'!C451,'1. Raw Data'!D2:D1201,'1. Raw Data'!D451),0),2),'1. Raw Data'!G451)</f>
        <v>4483.23</v>
      </c>
      <c r="H452" s="3" t="str">
        <f aca="false">PROPER('1. Raw Data'!H451)</f>
        <v>Yes</v>
      </c>
      <c r="I452" s="3" t="n">
        <f aca="false">'1. Raw Data'!I451</f>
        <v>4</v>
      </c>
      <c r="J452" s="3" t="n">
        <f aca="false">'1. Raw Data'!J451</f>
        <v>2</v>
      </c>
      <c r="K452" s="3" t="n">
        <f aca="false">'1. Raw Data'!K451</f>
        <v>15</v>
      </c>
      <c r="L452" s="3" t="n">
        <f aca="false">'1. Raw Data'!L451</f>
        <v>0</v>
      </c>
      <c r="M452" s="3" t="n">
        <f aca="false">'1. Raw Data'!M451</f>
        <v>3</v>
      </c>
      <c r="N452" s="3" t="str">
        <f aca="false">'1. Raw Data'!N451</f>
        <v>No</v>
      </c>
    </row>
    <row r="453" customFormat="false" ht="15" hidden="false" customHeight="false" outlineLevel="0" collapsed="false">
      <c r="A453" s="3" t="str">
        <f aca="false">'1. Raw Data'!A452</f>
        <v>EMP-0451</v>
      </c>
      <c r="B453" s="3" t="n">
        <f aca="false">'1. Raw Data'!B452</f>
        <v>21</v>
      </c>
      <c r="C453" s="3" t="str">
        <f aca="false">'1. Raw Data'!C452</f>
        <v>Sales</v>
      </c>
      <c r="D453" s="3" t="str">
        <f aca="false">'1. Raw Data'!D452</f>
        <v>Senior</v>
      </c>
      <c r="E453" s="3" t="str">
        <f aca="false">'1. Raw Data'!E452</f>
        <v>Other</v>
      </c>
      <c r="F453" s="3" t="n">
        <f aca="false">'1. Raw Data'!F452</f>
        <v>0</v>
      </c>
      <c r="G453" s="3" t="n">
        <f aca="false">IF('1. Raw Data'!G452="",ROUND(IFERROR(AVERAGEIFS('1. Raw Data'!G2:G1201,'1. Raw Data'!C2:C1201,'1. Raw Data'!C452,'1. Raw Data'!D2:D1201,'1. Raw Data'!D452),0),2),'1. Raw Data'!G452)</f>
        <v>6275.76</v>
      </c>
      <c r="H453" s="3" t="str">
        <f aca="false">PROPER('1. Raw Data'!H452)</f>
        <v>No</v>
      </c>
      <c r="I453" s="3" t="n">
        <f aca="false">'1. Raw Data'!I452</f>
        <v>4</v>
      </c>
      <c r="J453" s="3" t="n">
        <f aca="false">'1. Raw Data'!J452</f>
        <v>4</v>
      </c>
      <c r="K453" s="3" t="n">
        <f aca="false">'1. Raw Data'!K452</f>
        <v>7</v>
      </c>
      <c r="L453" s="3" t="n">
        <f aca="false">'1. Raw Data'!L452</f>
        <v>0</v>
      </c>
      <c r="M453" s="3" t="n">
        <f aca="false">'1. Raw Data'!M452</f>
        <v>4</v>
      </c>
      <c r="N453" s="3" t="str">
        <f aca="false">'1. Raw Data'!N452</f>
        <v>No</v>
      </c>
    </row>
    <row r="454" customFormat="false" ht="15" hidden="false" customHeight="false" outlineLevel="0" collapsed="false">
      <c r="A454" s="3" t="str">
        <f aca="false">'1. Raw Data'!A453</f>
        <v>EMP-0452</v>
      </c>
      <c r="B454" s="3" t="n">
        <f aca="false">'1. Raw Data'!B453</f>
        <v>32</v>
      </c>
      <c r="C454" s="3" t="str">
        <f aca="false">'1. Raw Data'!C453</f>
        <v>HR</v>
      </c>
      <c r="D454" s="3" t="str">
        <f aca="false">'1. Raw Data'!D453</f>
        <v>Mid</v>
      </c>
      <c r="E454" s="3" t="str">
        <f aca="false">'1. Raw Data'!E453</f>
        <v>Marketing</v>
      </c>
      <c r="F454" s="3" t="n">
        <f aca="false">'1. Raw Data'!F453</f>
        <v>1.1</v>
      </c>
      <c r="G454" s="3" t="n">
        <f aca="false">IF('1. Raw Data'!G453="",ROUND(IFERROR(AVERAGEIFS('1. Raw Data'!G2:G1201,'1. Raw Data'!C2:C1201,'1. Raw Data'!C453,'1. Raw Data'!D2:D1201,'1. Raw Data'!D453),0),2),'1. Raw Data'!G453)</f>
        <v>5386.56</v>
      </c>
      <c r="H454" s="3" t="str">
        <f aca="false">PROPER('1. Raw Data'!H453)</f>
        <v>No</v>
      </c>
      <c r="I454" s="3" t="n">
        <f aca="false">'1. Raw Data'!I453</f>
        <v>4</v>
      </c>
      <c r="J454" s="3" t="n">
        <f aca="false">'1. Raw Data'!J453</f>
        <v>3</v>
      </c>
      <c r="K454" s="3" t="n">
        <f aca="false">'1. Raw Data'!K453</f>
        <v>8</v>
      </c>
      <c r="L454" s="3" t="n">
        <f aca="false">'1. Raw Data'!L453</f>
        <v>0</v>
      </c>
      <c r="M454" s="3" t="n">
        <f aca="false">'1. Raw Data'!M453</f>
        <v>3</v>
      </c>
      <c r="N454" s="3" t="str">
        <f aca="false">'1. Raw Data'!N453</f>
        <v>No</v>
      </c>
    </row>
    <row r="455" customFormat="false" ht="15" hidden="false" customHeight="false" outlineLevel="0" collapsed="false">
      <c r="A455" s="3" t="str">
        <f aca="false">'1. Raw Data'!A454</f>
        <v>EMP-0453</v>
      </c>
      <c r="B455" s="3" t="n">
        <f aca="false">'1. Raw Data'!B454</f>
        <v>30</v>
      </c>
      <c r="C455" s="3" t="str">
        <f aca="false">'1. Raw Data'!C454</f>
        <v>Engineering</v>
      </c>
      <c r="D455" s="3" t="str">
        <f aca="false">'1. Raw Data'!D454</f>
        <v>Junior</v>
      </c>
      <c r="E455" s="3" t="str">
        <f aca="false">'1. Raw Data'!E454</f>
        <v>Other</v>
      </c>
      <c r="F455" s="3" t="n">
        <f aca="false">'1. Raw Data'!F454</f>
        <v>0.5</v>
      </c>
      <c r="G455" s="3" t="n">
        <f aca="false">IF('1. Raw Data'!G454="",ROUND(IFERROR(AVERAGEIFS('1. Raw Data'!G2:G1201,'1. Raw Data'!C2:C1201,'1. Raw Data'!C454,'1. Raw Data'!D2:D1201,'1. Raw Data'!D454),0),2),'1. Raw Data'!G454)</f>
        <v>3760.86</v>
      </c>
      <c r="H455" s="3" t="str">
        <f aca="false">PROPER('1. Raw Data'!H454)</f>
        <v>Yes</v>
      </c>
      <c r="I455" s="3" t="n">
        <f aca="false">'1. Raw Data'!I454</f>
        <v>2</v>
      </c>
      <c r="J455" s="3" t="n">
        <f aca="false">'1. Raw Data'!J454</f>
        <v>2</v>
      </c>
      <c r="K455" s="3" t="n">
        <f aca="false">'1. Raw Data'!K454</f>
        <v>12</v>
      </c>
      <c r="L455" s="3" t="n">
        <f aca="false">'1. Raw Data'!L454</f>
        <v>0</v>
      </c>
      <c r="M455" s="3" t="n">
        <f aca="false">'1. Raw Data'!M454</f>
        <v>2</v>
      </c>
      <c r="N455" s="3" t="str">
        <f aca="false">'1. Raw Data'!N454</f>
        <v>Yes</v>
      </c>
    </row>
    <row r="456" customFormat="false" ht="15" hidden="false" customHeight="false" outlineLevel="0" collapsed="false">
      <c r="A456" s="3" t="str">
        <f aca="false">'1. Raw Data'!A455</f>
        <v>EMP-0454</v>
      </c>
      <c r="B456" s="3" t="n">
        <f aca="false">'1. Raw Data'!B455</f>
        <v>30</v>
      </c>
      <c r="C456" s="3" t="str">
        <f aca="false">'1. Raw Data'!C455</f>
        <v>Sales</v>
      </c>
      <c r="D456" s="3" t="str">
        <f aca="false">'1. Raw Data'!D455</f>
        <v>Junior</v>
      </c>
      <c r="E456" s="3" t="str">
        <f aca="false">'1. Raw Data'!E455</f>
        <v>Other</v>
      </c>
      <c r="F456" s="3" t="n">
        <f aca="false">'1. Raw Data'!F455</f>
        <v>5.1</v>
      </c>
      <c r="G456" s="3" t="n">
        <f aca="false">IF('1. Raw Data'!G455="",ROUND(IFERROR(AVERAGEIFS('1. Raw Data'!G2:G1201,'1. Raw Data'!C2:C1201,'1. Raw Data'!C455,'1. Raw Data'!D2:D1201,'1. Raw Data'!D455),0),2),'1. Raw Data'!G455)</f>
        <v>3431.98</v>
      </c>
      <c r="H456" s="3" t="str">
        <f aca="false">PROPER('1. Raw Data'!H455)</f>
        <v>No</v>
      </c>
      <c r="I456" s="3" t="n">
        <f aca="false">'1. Raw Data'!I455</f>
        <v>1</v>
      </c>
      <c r="J456" s="3" t="n">
        <f aca="false">'1. Raw Data'!J455</f>
        <v>1</v>
      </c>
      <c r="K456" s="3" t="n">
        <f aca="false">'1. Raw Data'!K455</f>
        <v>1</v>
      </c>
      <c r="L456" s="3" t="n">
        <f aca="false">'1. Raw Data'!L455</f>
        <v>4</v>
      </c>
      <c r="M456" s="3" t="n">
        <f aca="false">'1. Raw Data'!M455</f>
        <v>2</v>
      </c>
      <c r="N456" s="3" t="str">
        <f aca="false">'1. Raw Data'!N455</f>
        <v>Yes</v>
      </c>
    </row>
    <row r="457" customFormat="false" ht="15" hidden="false" customHeight="false" outlineLevel="0" collapsed="false">
      <c r="A457" s="3" t="str">
        <f aca="false">'1. Raw Data'!A456</f>
        <v>EMP-0455</v>
      </c>
      <c r="B457" s="3" t="n">
        <f aca="false">'1. Raw Data'!B456</f>
        <v>39</v>
      </c>
      <c r="C457" s="3" t="str">
        <f aca="false">'1. Raw Data'!C456</f>
        <v>HR</v>
      </c>
      <c r="D457" s="3" t="str">
        <f aca="false">'1. Raw Data'!D456</f>
        <v>Mid</v>
      </c>
      <c r="E457" s="3" t="str">
        <f aca="false">'1. Raw Data'!E456</f>
        <v>Other</v>
      </c>
      <c r="F457" s="3" t="n">
        <f aca="false">'1. Raw Data'!F456</f>
        <v>1.6</v>
      </c>
      <c r="G457" s="3" t="n">
        <f aca="false">IF('1. Raw Data'!G456="",ROUND(IFERROR(AVERAGEIFS('1. Raw Data'!G2:G1201,'1. Raw Data'!C2:C1201,'1. Raw Data'!C456,'1. Raw Data'!D2:D1201,'1. Raw Data'!D456),0),2),'1. Raw Data'!G456)</f>
        <v>5303.65</v>
      </c>
      <c r="H457" s="3" t="str">
        <f aca="false">PROPER('1. Raw Data'!H456)</f>
        <v>No</v>
      </c>
      <c r="I457" s="3" t="n">
        <f aca="false">'1. Raw Data'!I456</f>
        <v>4</v>
      </c>
      <c r="J457" s="3" t="n">
        <f aca="false">'1. Raw Data'!J456</f>
        <v>4</v>
      </c>
      <c r="K457" s="3" t="n">
        <f aca="false">'1. Raw Data'!K456</f>
        <v>15</v>
      </c>
      <c r="L457" s="3" t="n">
        <f aca="false">'1. Raw Data'!L456</f>
        <v>1</v>
      </c>
      <c r="M457" s="3" t="n">
        <f aca="false">'1. Raw Data'!M456</f>
        <v>3</v>
      </c>
      <c r="N457" s="3" t="str">
        <f aca="false">'1. Raw Data'!N456</f>
        <v>No</v>
      </c>
    </row>
    <row r="458" customFormat="false" ht="15" hidden="false" customHeight="false" outlineLevel="0" collapsed="false">
      <c r="A458" s="3" t="str">
        <f aca="false">'1. Raw Data'!A457</f>
        <v>EMP-0456</v>
      </c>
      <c r="B458" s="3" t="n">
        <f aca="false">'1. Raw Data'!B457</f>
        <v>24</v>
      </c>
      <c r="C458" s="3" t="str">
        <f aca="false">'1. Raw Data'!C457</f>
        <v>Finance</v>
      </c>
      <c r="D458" s="3" t="str">
        <f aca="false">'1. Raw Data'!D457</f>
        <v>Mid</v>
      </c>
      <c r="E458" s="3" t="str">
        <f aca="false">'1. Raw Data'!E457</f>
        <v>Technical</v>
      </c>
      <c r="F458" s="3" t="n">
        <f aca="false">'1. Raw Data'!F457</f>
        <v>3</v>
      </c>
      <c r="G458" s="3" t="n">
        <f aca="false">IF('1. Raw Data'!G457="",ROUND(IFERROR(AVERAGEIFS('1. Raw Data'!G2:G1201,'1. Raw Data'!C2:C1201,'1. Raw Data'!C457,'1. Raw Data'!D2:D1201,'1. Raw Data'!D457),0),2),'1. Raw Data'!G457)</f>
        <v>5402.61</v>
      </c>
      <c r="H458" s="3" t="str">
        <f aca="false">PROPER('1. Raw Data'!H457)</f>
        <v>Yes</v>
      </c>
      <c r="I458" s="3" t="n">
        <f aca="false">'1. Raw Data'!I457</f>
        <v>2</v>
      </c>
      <c r="J458" s="3" t="n">
        <f aca="false">'1. Raw Data'!J457</f>
        <v>1</v>
      </c>
      <c r="K458" s="3" t="n">
        <f aca="false">'1. Raw Data'!K457</f>
        <v>10</v>
      </c>
      <c r="L458" s="3" t="n">
        <f aca="false">'1. Raw Data'!L457</f>
        <v>3</v>
      </c>
      <c r="M458" s="3" t="n">
        <f aca="false">'1. Raw Data'!M457</f>
        <v>5</v>
      </c>
      <c r="N458" s="3" t="str">
        <f aca="false">'1. Raw Data'!N457</f>
        <v>Yes</v>
      </c>
    </row>
    <row r="459" customFormat="false" ht="15" hidden="false" customHeight="false" outlineLevel="0" collapsed="false">
      <c r="A459" s="3" t="str">
        <f aca="false">'1. Raw Data'!A458</f>
        <v>EMP-0457</v>
      </c>
      <c r="B459" s="3" t="n">
        <f aca="false">'1. Raw Data'!B458</f>
        <v>21</v>
      </c>
      <c r="C459" s="3" t="str">
        <f aca="false">'1. Raw Data'!C458</f>
        <v>HR</v>
      </c>
      <c r="D459" s="3" t="str">
        <f aca="false">'1. Raw Data'!D458</f>
        <v>Mid</v>
      </c>
      <c r="E459" s="3" t="str">
        <f aca="false">'1. Raw Data'!E458</f>
        <v>Other</v>
      </c>
      <c r="F459" s="3" t="n">
        <f aca="false">'1. Raw Data'!F458</f>
        <v>0</v>
      </c>
      <c r="G459" s="3" t="n">
        <f aca="false">IF('1. Raw Data'!G458="",ROUND(IFERROR(AVERAGEIFS('1. Raw Data'!G2:G1201,'1. Raw Data'!C2:C1201,'1. Raw Data'!C458,'1. Raw Data'!D2:D1201,'1. Raw Data'!D458),0),2),'1. Raw Data'!G458)</f>
        <v>4305.04</v>
      </c>
      <c r="H459" s="3" t="str">
        <f aca="false">PROPER('1. Raw Data'!H458)</f>
        <v>No</v>
      </c>
      <c r="I459" s="3" t="n">
        <f aca="false">'1. Raw Data'!I458</f>
        <v>3</v>
      </c>
      <c r="J459" s="3" t="n">
        <f aca="false">'1. Raw Data'!J458</f>
        <v>3</v>
      </c>
      <c r="K459" s="3" t="n">
        <f aca="false">'1. Raw Data'!K458</f>
        <v>2</v>
      </c>
      <c r="L459" s="3" t="n">
        <f aca="false">'1. Raw Data'!L458</f>
        <v>0</v>
      </c>
      <c r="M459" s="3" t="n">
        <f aca="false">'1. Raw Data'!M458</f>
        <v>3</v>
      </c>
      <c r="N459" s="3" t="str">
        <f aca="false">'1. Raw Data'!N458</f>
        <v>No</v>
      </c>
    </row>
    <row r="460" customFormat="false" ht="15" hidden="false" customHeight="false" outlineLevel="0" collapsed="false">
      <c r="A460" s="3" t="str">
        <f aca="false">'1. Raw Data'!A459</f>
        <v>EMP-0458</v>
      </c>
      <c r="B460" s="3" t="n">
        <f aca="false">'1. Raw Data'!B459</f>
        <v>28</v>
      </c>
      <c r="C460" s="3" t="str">
        <f aca="false">'1. Raw Data'!C459</f>
        <v>Engineering</v>
      </c>
      <c r="D460" s="3" t="str">
        <f aca="false">'1. Raw Data'!D459</f>
        <v>Junior</v>
      </c>
      <c r="E460" s="3" t="str">
        <f aca="false">'1. Raw Data'!E459</f>
        <v>Business</v>
      </c>
      <c r="F460" s="3" t="n">
        <f aca="false">'1. Raw Data'!F459</f>
        <v>0.2</v>
      </c>
      <c r="G460" s="3" t="n">
        <f aca="false">IF('1. Raw Data'!G459="",ROUND(IFERROR(AVERAGEIFS('1. Raw Data'!G2:G1201,'1. Raw Data'!C2:C1201,'1. Raw Data'!C459,'1. Raw Data'!D2:D1201,'1. Raw Data'!D459),0),2),'1. Raw Data'!G459)</f>
        <v>2724.42</v>
      </c>
      <c r="H460" s="3" t="str">
        <f aca="false">PROPER('1. Raw Data'!H459)</f>
        <v>No</v>
      </c>
      <c r="I460" s="3" t="n">
        <f aca="false">'1. Raw Data'!I459</f>
        <v>4</v>
      </c>
      <c r="J460" s="3" t="n">
        <f aca="false">'1. Raw Data'!J459</f>
        <v>3</v>
      </c>
      <c r="K460" s="3" t="n">
        <f aca="false">'1. Raw Data'!K459</f>
        <v>7</v>
      </c>
      <c r="L460" s="3" t="n">
        <f aca="false">'1. Raw Data'!L459</f>
        <v>0</v>
      </c>
      <c r="M460" s="3" t="n">
        <f aca="false">'1. Raw Data'!M459</f>
        <v>4</v>
      </c>
      <c r="N460" s="3" t="str">
        <f aca="false">'1. Raw Data'!N459</f>
        <v>No</v>
      </c>
    </row>
    <row r="461" customFormat="false" ht="15" hidden="false" customHeight="false" outlineLevel="0" collapsed="false">
      <c r="A461" s="3" t="str">
        <f aca="false">'1. Raw Data'!A460</f>
        <v>EMP-0459</v>
      </c>
      <c r="B461" s="3" t="n">
        <f aca="false">'1. Raw Data'!B460</f>
        <v>21</v>
      </c>
      <c r="C461" s="3" t="str">
        <f aca="false">'1. Raw Data'!C460</f>
        <v>Marketing</v>
      </c>
      <c r="D461" s="3" t="str">
        <f aca="false">'1. Raw Data'!D460</f>
        <v>Junior</v>
      </c>
      <c r="E461" s="3" t="str">
        <f aca="false">'1. Raw Data'!E460</f>
        <v>Other</v>
      </c>
      <c r="F461" s="3" t="n">
        <f aca="false">'1. Raw Data'!F460</f>
        <v>0</v>
      </c>
      <c r="G461" s="3" t="n">
        <f aca="false">IF('1. Raw Data'!G460="",ROUND(IFERROR(AVERAGEIFS('1. Raw Data'!G2:G1201,'1. Raw Data'!C2:C1201,'1. Raw Data'!C460,'1. Raw Data'!D2:D1201,'1. Raw Data'!D460),0),2),'1. Raw Data'!G460)</f>
        <v>2990.8</v>
      </c>
      <c r="H461" s="3" t="str">
        <f aca="false">PROPER('1. Raw Data'!H460)</f>
        <v>No</v>
      </c>
      <c r="I461" s="3" t="n">
        <f aca="false">'1. Raw Data'!I460</f>
        <v>4</v>
      </c>
      <c r="J461" s="3" t="n">
        <f aca="false">'1. Raw Data'!J460</f>
        <v>4</v>
      </c>
      <c r="K461" s="3" t="n">
        <f aca="false">'1. Raw Data'!K460</f>
        <v>5</v>
      </c>
      <c r="L461" s="3" t="n">
        <f aca="false">'1. Raw Data'!L460</f>
        <v>0</v>
      </c>
      <c r="M461" s="3" t="n">
        <f aca="false">'1. Raw Data'!M460</f>
        <v>3</v>
      </c>
      <c r="N461" s="3" t="str">
        <f aca="false">'1. Raw Data'!N460</f>
        <v>No</v>
      </c>
    </row>
    <row r="462" customFormat="false" ht="15" hidden="false" customHeight="false" outlineLevel="0" collapsed="false">
      <c r="A462" s="3" t="str">
        <f aca="false">'1. Raw Data'!A461</f>
        <v>EMP-0460</v>
      </c>
      <c r="B462" s="3" t="n">
        <f aca="false">'1. Raw Data'!B461</f>
        <v>25</v>
      </c>
      <c r="C462" s="3" t="str">
        <f aca="false">'1. Raw Data'!C461</f>
        <v>HR</v>
      </c>
      <c r="D462" s="3" t="str">
        <f aca="false">'1. Raw Data'!D461</f>
        <v>Mid</v>
      </c>
      <c r="E462" s="3" t="str">
        <f aca="false">'1. Raw Data'!E461</f>
        <v>Marketing</v>
      </c>
      <c r="F462" s="3" t="n">
        <f aca="false">'1. Raw Data'!F461</f>
        <v>4</v>
      </c>
      <c r="G462" s="3" t="n">
        <f aca="false">IF('1. Raw Data'!G461="",ROUND(IFERROR(AVERAGEIFS('1. Raw Data'!G2:G1201,'1. Raw Data'!C2:C1201,'1. Raw Data'!C461,'1. Raw Data'!D2:D1201,'1. Raw Data'!D461),0),2),'1. Raw Data'!G461)</f>
        <v>4395.11</v>
      </c>
      <c r="H462" s="3" t="str">
        <f aca="false">PROPER('1. Raw Data'!H461)</f>
        <v>Yes</v>
      </c>
      <c r="I462" s="3" t="n">
        <f aca="false">'1. Raw Data'!I461</f>
        <v>1</v>
      </c>
      <c r="J462" s="3" t="n">
        <f aca="false">'1. Raw Data'!J461</f>
        <v>4</v>
      </c>
      <c r="K462" s="3" t="n">
        <f aca="false">'1. Raw Data'!K461</f>
        <v>1</v>
      </c>
      <c r="L462" s="3" t="n">
        <f aca="false">'1. Raw Data'!L461</f>
        <v>0</v>
      </c>
      <c r="M462" s="3" t="n">
        <f aca="false">'1. Raw Data'!M461</f>
        <v>2</v>
      </c>
      <c r="N462" s="3" t="str">
        <f aca="false">'1. Raw Data'!N461</f>
        <v>No</v>
      </c>
    </row>
    <row r="463" customFormat="false" ht="15" hidden="false" customHeight="false" outlineLevel="0" collapsed="false">
      <c r="A463" s="3" t="str">
        <f aca="false">'1. Raw Data'!A462</f>
        <v>EMP-0461</v>
      </c>
      <c r="B463" s="3" t="n">
        <f aca="false">'1. Raw Data'!B462</f>
        <v>42</v>
      </c>
      <c r="C463" s="3" t="str">
        <f aca="false">'1. Raw Data'!C462</f>
        <v>Finance</v>
      </c>
      <c r="D463" s="3" t="str">
        <f aca="false">'1. Raw Data'!D462</f>
        <v>Mid</v>
      </c>
      <c r="E463" s="3" t="str">
        <f aca="false">'1. Raw Data'!E462</f>
        <v>Business</v>
      </c>
      <c r="F463" s="3" t="n">
        <f aca="false">'1. Raw Data'!F462</f>
        <v>1.4</v>
      </c>
      <c r="G463" s="3" t="n">
        <f aca="false">IF('1. Raw Data'!G462="",ROUND(IFERROR(AVERAGEIFS('1. Raw Data'!G2:G1201,'1. Raw Data'!C2:C1201,'1. Raw Data'!C462,'1. Raw Data'!D2:D1201,'1. Raw Data'!D462),0),2),'1. Raw Data'!G462)</f>
        <v>4956.81</v>
      </c>
      <c r="H463" s="3" t="str">
        <f aca="false">PROPER('1. Raw Data'!H462)</f>
        <v>No</v>
      </c>
      <c r="I463" s="3" t="n">
        <f aca="false">'1. Raw Data'!I462</f>
        <v>4</v>
      </c>
      <c r="J463" s="3" t="n">
        <f aca="false">'1. Raw Data'!J462</f>
        <v>3</v>
      </c>
      <c r="K463" s="3" t="n">
        <f aca="false">'1. Raw Data'!K462</f>
        <v>10</v>
      </c>
      <c r="L463" s="3" t="n">
        <f aca="false">'1. Raw Data'!L462</f>
        <v>1</v>
      </c>
      <c r="M463" s="3" t="n">
        <f aca="false">'1. Raw Data'!M462</f>
        <v>4</v>
      </c>
      <c r="N463" s="3" t="str">
        <f aca="false">'1. Raw Data'!N462</f>
        <v>No</v>
      </c>
    </row>
    <row r="464" customFormat="false" ht="15" hidden="false" customHeight="false" outlineLevel="0" collapsed="false">
      <c r="A464" s="3" t="str">
        <f aca="false">'1. Raw Data'!A463</f>
        <v>EMP-0462</v>
      </c>
      <c r="B464" s="3" t="n">
        <f aca="false">'1. Raw Data'!B463</f>
        <v>41</v>
      </c>
      <c r="C464" s="3" t="str">
        <f aca="false">'1. Raw Data'!C463</f>
        <v>Customer Support</v>
      </c>
      <c r="D464" s="3" t="str">
        <f aca="false">'1. Raw Data'!D463</f>
        <v>Mid</v>
      </c>
      <c r="E464" s="3" t="str">
        <f aca="false">'1. Raw Data'!E463</f>
        <v>Technical</v>
      </c>
      <c r="F464" s="3" t="n">
        <f aca="false">'1. Raw Data'!F463</f>
        <v>0.2</v>
      </c>
      <c r="G464" s="3" t="n">
        <f aca="false">IF('1. Raw Data'!G463="",ROUND(IFERROR(AVERAGEIFS('1. Raw Data'!G2:G1201,'1. Raw Data'!C2:C1201,'1. Raw Data'!C463,'1. Raw Data'!D2:D1201,'1. Raw Data'!D463),0),2),'1. Raw Data'!G463)</f>
        <v>4777.69</v>
      </c>
      <c r="H464" s="3" t="str">
        <f aca="false">PROPER('1. Raw Data'!H463)</f>
        <v>Yes</v>
      </c>
      <c r="I464" s="3" t="n">
        <f aca="false">'1. Raw Data'!I463</f>
        <v>1</v>
      </c>
      <c r="J464" s="3" t="n">
        <f aca="false">'1. Raw Data'!J463</f>
        <v>3</v>
      </c>
      <c r="K464" s="3" t="n">
        <f aca="false">'1. Raw Data'!K463</f>
        <v>12</v>
      </c>
      <c r="L464" s="3" t="n">
        <f aca="false">'1. Raw Data'!L463</f>
        <v>0</v>
      </c>
      <c r="M464" s="3" t="n">
        <f aca="false">'1. Raw Data'!M463</f>
        <v>3</v>
      </c>
      <c r="N464" s="3" t="str">
        <f aca="false">'1. Raw Data'!N463</f>
        <v>Yes</v>
      </c>
    </row>
    <row r="465" customFormat="false" ht="15" hidden="false" customHeight="false" outlineLevel="0" collapsed="false">
      <c r="A465" s="3" t="str">
        <f aca="false">'1. Raw Data'!A464</f>
        <v>EMP-0463</v>
      </c>
      <c r="B465" s="3" t="n">
        <f aca="false">'1. Raw Data'!B464</f>
        <v>37</v>
      </c>
      <c r="C465" s="3" t="str">
        <f aca="false">'1. Raw Data'!C464</f>
        <v>Marketing</v>
      </c>
      <c r="D465" s="3" t="str">
        <f aca="false">'1. Raw Data'!D464</f>
        <v>Junior</v>
      </c>
      <c r="E465" s="3" t="str">
        <f aca="false">'1. Raw Data'!E464</f>
        <v>Business</v>
      </c>
      <c r="F465" s="3" t="n">
        <f aca="false">'1. Raw Data'!F464</f>
        <v>2</v>
      </c>
      <c r="G465" s="3" t="n">
        <f aca="false">IF('1. Raw Data'!G464="",ROUND(IFERROR(AVERAGEIFS('1. Raw Data'!G2:G1201,'1. Raw Data'!C2:C1201,'1. Raw Data'!C464,'1. Raw Data'!D2:D1201,'1. Raw Data'!D464),0),2),'1. Raw Data'!G464)</f>
        <v>3071.46</v>
      </c>
      <c r="H465" s="3" t="str">
        <f aca="false">PROPER('1. Raw Data'!H464)</f>
        <v>No</v>
      </c>
      <c r="I465" s="3" t="n">
        <f aca="false">'1. Raw Data'!I464</f>
        <v>2</v>
      </c>
      <c r="J465" s="3" t="n">
        <f aca="false">'1. Raw Data'!J464</f>
        <v>3</v>
      </c>
      <c r="K465" s="3" t="n">
        <f aca="false">'1. Raw Data'!K464</f>
        <v>1</v>
      </c>
      <c r="L465" s="3" t="n">
        <f aca="false">'1. Raw Data'!L464</f>
        <v>0</v>
      </c>
      <c r="M465" s="3" t="n">
        <f aca="false">'1. Raw Data'!M464</f>
        <v>2</v>
      </c>
      <c r="N465" s="3" t="str">
        <f aca="false">'1. Raw Data'!N464</f>
        <v>No</v>
      </c>
    </row>
    <row r="466" customFormat="false" ht="15" hidden="false" customHeight="false" outlineLevel="0" collapsed="false">
      <c r="A466" s="3" t="str">
        <f aca="false">'1. Raw Data'!A465</f>
        <v>EMP-0464</v>
      </c>
      <c r="B466" s="3" t="n">
        <f aca="false">'1. Raw Data'!B465</f>
        <v>48</v>
      </c>
      <c r="C466" s="3" t="str">
        <f aca="false">'1. Raw Data'!C465</f>
        <v>Engineering</v>
      </c>
      <c r="D466" s="3" t="str">
        <f aca="false">'1. Raw Data'!D465</f>
        <v>Mid</v>
      </c>
      <c r="E466" s="3" t="str">
        <f aca="false">'1. Raw Data'!E465</f>
        <v>Business</v>
      </c>
      <c r="F466" s="3" t="n">
        <f aca="false">'1. Raw Data'!F465</f>
        <v>2</v>
      </c>
      <c r="G466" s="3" t="n">
        <f aca="false">IF('1. Raw Data'!G465="",ROUND(IFERROR(AVERAGEIFS('1. Raw Data'!G2:G1201,'1. Raw Data'!C2:C1201,'1. Raw Data'!C465,'1. Raw Data'!D2:D1201,'1. Raw Data'!D465),0),2),'1. Raw Data'!G465)</f>
        <v>4901.54</v>
      </c>
      <c r="H466" s="3" t="str">
        <f aca="false">PROPER('1. Raw Data'!H465)</f>
        <v>No</v>
      </c>
      <c r="I466" s="3" t="n">
        <f aca="false">'1. Raw Data'!I465</f>
        <v>3</v>
      </c>
      <c r="J466" s="3" t="n">
        <f aca="false">'1. Raw Data'!J465</f>
        <v>2</v>
      </c>
      <c r="K466" s="3" t="n">
        <f aca="false">'1. Raw Data'!K465</f>
        <v>9</v>
      </c>
      <c r="L466" s="3" t="n">
        <f aca="false">'1. Raw Data'!L465</f>
        <v>0</v>
      </c>
      <c r="M466" s="3" t="n">
        <f aca="false">'1. Raw Data'!M465</f>
        <v>1</v>
      </c>
      <c r="N466" s="3" t="str">
        <f aca="false">'1. Raw Data'!N465</f>
        <v>Yes</v>
      </c>
    </row>
    <row r="467" customFormat="false" ht="15" hidden="false" customHeight="false" outlineLevel="0" collapsed="false">
      <c r="A467" s="3" t="str">
        <f aca="false">'1. Raw Data'!A466</f>
        <v>EMP-0465</v>
      </c>
      <c r="B467" s="3" t="n">
        <f aca="false">'1. Raw Data'!B466</f>
        <v>46</v>
      </c>
      <c r="C467" s="3" t="str">
        <f aca="false">'1. Raw Data'!C466</f>
        <v>Sales</v>
      </c>
      <c r="D467" s="3" t="str">
        <f aca="false">'1. Raw Data'!D466</f>
        <v>Mid</v>
      </c>
      <c r="E467" s="3" t="str">
        <f aca="false">'1. Raw Data'!E466</f>
        <v>Technical</v>
      </c>
      <c r="F467" s="3" t="n">
        <f aca="false">'1. Raw Data'!F466</f>
        <v>0.4</v>
      </c>
      <c r="G467" s="3" t="n">
        <f aca="false">IF('1. Raw Data'!G466="",ROUND(IFERROR(AVERAGEIFS('1. Raw Data'!G2:G1201,'1. Raw Data'!C2:C1201,'1. Raw Data'!C466,'1. Raw Data'!D2:D1201,'1. Raw Data'!D466),0),2),'1. Raw Data'!G466)</f>
        <v>5052.64</v>
      </c>
      <c r="H467" s="3" t="str">
        <f aca="false">PROPER('1. Raw Data'!H466)</f>
        <v>No</v>
      </c>
      <c r="I467" s="3" t="n">
        <f aca="false">'1. Raw Data'!I466</f>
        <v>4</v>
      </c>
      <c r="J467" s="3" t="n">
        <f aca="false">'1. Raw Data'!J466</f>
        <v>4</v>
      </c>
      <c r="K467" s="3" t="n">
        <f aca="false">'1. Raw Data'!K466</f>
        <v>4</v>
      </c>
      <c r="L467" s="3" t="n">
        <f aca="false">'1. Raw Data'!L466</f>
        <v>0</v>
      </c>
      <c r="M467" s="3" t="n">
        <f aca="false">'1. Raw Data'!M466</f>
        <v>0</v>
      </c>
      <c r="N467" s="3" t="str">
        <f aca="false">'1. Raw Data'!N466</f>
        <v>No</v>
      </c>
    </row>
    <row r="468" customFormat="false" ht="15" hidden="false" customHeight="false" outlineLevel="0" collapsed="false">
      <c r="A468" s="3" t="str">
        <f aca="false">'1. Raw Data'!A467</f>
        <v>EMP-0466</v>
      </c>
      <c r="B468" s="3" t="n">
        <f aca="false">'1. Raw Data'!B467</f>
        <v>34</v>
      </c>
      <c r="C468" s="3" t="str">
        <f aca="false">'1. Raw Data'!C467</f>
        <v>HR</v>
      </c>
      <c r="D468" s="3" t="str">
        <f aca="false">'1. Raw Data'!D467</f>
        <v>Lead</v>
      </c>
      <c r="E468" s="3" t="str">
        <f aca="false">'1. Raw Data'!E467</f>
        <v>Technical</v>
      </c>
      <c r="F468" s="3" t="n">
        <f aca="false">'1. Raw Data'!F467</f>
        <v>6.2</v>
      </c>
      <c r="G468" s="3" t="n">
        <f aca="false">IF('1. Raw Data'!G467="",ROUND(IFERROR(AVERAGEIFS('1. Raw Data'!G2:G1201,'1. Raw Data'!C2:C1201,'1. Raw Data'!C467,'1. Raw Data'!D2:D1201,'1. Raw Data'!D467),0),2),'1. Raw Data'!G467)</f>
        <v>10211.69</v>
      </c>
      <c r="H468" s="3" t="str">
        <f aca="false">PROPER('1. Raw Data'!H467)</f>
        <v>No</v>
      </c>
      <c r="I468" s="3" t="n">
        <f aca="false">'1. Raw Data'!I467</f>
        <v>2</v>
      </c>
      <c r="J468" s="3" t="n">
        <f aca="false">'1. Raw Data'!J467</f>
        <v>2</v>
      </c>
      <c r="K468" s="3" t="n">
        <f aca="false">'1. Raw Data'!K467</f>
        <v>1</v>
      </c>
      <c r="L468" s="3" t="n">
        <f aca="false">'1. Raw Data'!L467</f>
        <v>1</v>
      </c>
      <c r="M468" s="3" t="n">
        <f aca="false">'1. Raw Data'!M467</f>
        <v>1</v>
      </c>
      <c r="N468" s="3" t="str">
        <f aca="false">'1. Raw Data'!N467</f>
        <v>No</v>
      </c>
    </row>
    <row r="469" customFormat="false" ht="15" hidden="false" customHeight="false" outlineLevel="0" collapsed="false">
      <c r="A469" s="3" t="str">
        <f aca="false">'1. Raw Data'!A468</f>
        <v>EMP-0467</v>
      </c>
      <c r="B469" s="3" t="n">
        <f aca="false">'1. Raw Data'!B468</f>
        <v>32</v>
      </c>
      <c r="C469" s="3" t="str">
        <f aca="false">'1. Raw Data'!C468</f>
        <v>Customer Support</v>
      </c>
      <c r="D469" s="3" t="str">
        <f aca="false">'1. Raw Data'!D468</f>
        <v>Junior</v>
      </c>
      <c r="E469" s="3" t="str">
        <f aca="false">'1. Raw Data'!E468</f>
        <v>Other</v>
      </c>
      <c r="F469" s="3" t="n">
        <f aca="false">'1. Raw Data'!F468</f>
        <v>4.4</v>
      </c>
      <c r="G469" s="3" t="n">
        <f aca="false">IF('1. Raw Data'!G468="",ROUND(IFERROR(AVERAGEIFS('1. Raw Data'!G2:G1201,'1. Raw Data'!C2:C1201,'1. Raw Data'!C468,'1. Raw Data'!D2:D1201,'1. Raw Data'!D468),0),2),'1. Raw Data'!G468)</f>
        <v>3282.87</v>
      </c>
      <c r="H469" s="3" t="str">
        <f aca="false">PROPER('1. Raw Data'!H468)</f>
        <v>Yes</v>
      </c>
      <c r="I469" s="3" t="n">
        <f aca="false">'1. Raw Data'!I468</f>
        <v>4</v>
      </c>
      <c r="J469" s="3" t="n">
        <f aca="false">'1. Raw Data'!J468</f>
        <v>3</v>
      </c>
      <c r="K469" s="3" t="n">
        <f aca="false">'1. Raw Data'!K468</f>
        <v>13</v>
      </c>
      <c r="L469" s="3" t="n">
        <f aca="false">'1. Raw Data'!L468</f>
        <v>3</v>
      </c>
      <c r="M469" s="3" t="n">
        <f aca="false">'1. Raw Data'!M468</f>
        <v>3</v>
      </c>
      <c r="N469" s="3" t="str">
        <f aca="false">'1. Raw Data'!N468</f>
        <v>No</v>
      </c>
    </row>
    <row r="470" customFormat="false" ht="15" hidden="false" customHeight="false" outlineLevel="0" collapsed="false">
      <c r="A470" s="3" t="str">
        <f aca="false">'1. Raw Data'!A469</f>
        <v>EMP-0468</v>
      </c>
      <c r="B470" s="3" t="n">
        <f aca="false">'1. Raw Data'!B469</f>
        <v>34</v>
      </c>
      <c r="C470" s="3" t="str">
        <f aca="false">'1. Raw Data'!C469</f>
        <v>Customer Support</v>
      </c>
      <c r="D470" s="3" t="str">
        <f aca="false">'1. Raw Data'!D469</f>
        <v>Senior</v>
      </c>
      <c r="E470" s="3" t="str">
        <f aca="false">'1. Raw Data'!E469</f>
        <v>Business</v>
      </c>
      <c r="F470" s="3" t="n">
        <f aca="false">'1. Raw Data'!F469</f>
        <v>3.8</v>
      </c>
      <c r="G470" s="3" t="n">
        <f aca="false">IF('1. Raw Data'!G469="",ROUND(IFERROR(AVERAGEIFS('1. Raw Data'!G2:G1201,'1. Raw Data'!C2:C1201,'1. Raw Data'!C469,'1. Raw Data'!D2:D1201,'1. Raw Data'!D469),0),2),'1. Raw Data'!G469)</f>
        <v>7842.96</v>
      </c>
      <c r="H470" s="3" t="str">
        <f aca="false">PROPER('1. Raw Data'!H469)</f>
        <v>No</v>
      </c>
      <c r="I470" s="3" t="n">
        <f aca="false">'1. Raw Data'!I469</f>
        <v>3</v>
      </c>
      <c r="J470" s="3" t="n">
        <f aca="false">'1. Raw Data'!J469</f>
        <v>2</v>
      </c>
      <c r="K470" s="3" t="n">
        <f aca="false">'1. Raw Data'!K469</f>
        <v>4</v>
      </c>
      <c r="L470" s="3" t="n">
        <f aca="false">'1. Raw Data'!L469</f>
        <v>3</v>
      </c>
      <c r="M470" s="3" t="n">
        <f aca="false">'1. Raw Data'!M469</f>
        <v>2</v>
      </c>
      <c r="N470" s="3" t="str">
        <f aca="false">'1. Raw Data'!N469</f>
        <v>No</v>
      </c>
    </row>
    <row r="471" customFormat="false" ht="15" hidden="false" customHeight="false" outlineLevel="0" collapsed="false">
      <c r="A471" s="3" t="str">
        <f aca="false">'1. Raw Data'!A470</f>
        <v>EMP-0469</v>
      </c>
      <c r="B471" s="3" t="n">
        <f aca="false">'1. Raw Data'!B470</f>
        <v>24</v>
      </c>
      <c r="C471" s="3" t="str">
        <f aca="false">'1. Raw Data'!C470</f>
        <v>Customer Support</v>
      </c>
      <c r="D471" s="3" t="str">
        <f aca="false">'1. Raw Data'!D470</f>
        <v>Senior</v>
      </c>
      <c r="E471" s="3" t="str">
        <f aca="false">'1. Raw Data'!E470</f>
        <v>Marketing</v>
      </c>
      <c r="F471" s="3" t="n">
        <f aca="false">'1. Raw Data'!F470</f>
        <v>2.8</v>
      </c>
      <c r="G471" s="3" t="n">
        <f aca="false">IF('1. Raw Data'!G470="",ROUND(IFERROR(AVERAGEIFS('1. Raw Data'!G2:G1201,'1. Raw Data'!C2:C1201,'1. Raw Data'!C470,'1. Raw Data'!D2:D1201,'1. Raw Data'!D470),0),2),'1. Raw Data'!G470)</f>
        <v>7573.87</v>
      </c>
      <c r="H471" s="3" t="str">
        <f aca="false">PROPER('1. Raw Data'!H470)</f>
        <v>Yes</v>
      </c>
      <c r="I471" s="3" t="n">
        <f aca="false">'1. Raw Data'!I470</f>
        <v>1</v>
      </c>
      <c r="J471" s="3" t="n">
        <f aca="false">'1. Raw Data'!J470</f>
        <v>4</v>
      </c>
      <c r="K471" s="3" t="n">
        <f aca="false">'1. Raw Data'!K470</f>
        <v>13</v>
      </c>
      <c r="L471" s="3" t="n">
        <f aca="false">'1. Raw Data'!L470</f>
        <v>1</v>
      </c>
      <c r="M471" s="3" t="n">
        <f aca="false">'1. Raw Data'!M470</f>
        <v>0</v>
      </c>
      <c r="N471" s="3" t="str">
        <f aca="false">'1. Raw Data'!N470</f>
        <v>No</v>
      </c>
    </row>
    <row r="472" customFormat="false" ht="15" hidden="false" customHeight="false" outlineLevel="0" collapsed="false">
      <c r="A472" s="3" t="str">
        <f aca="false">'1. Raw Data'!A471</f>
        <v>EMP-0470</v>
      </c>
      <c r="B472" s="3" t="n">
        <f aca="false">'1. Raw Data'!B471</f>
        <v>29</v>
      </c>
      <c r="C472" s="3" t="str">
        <f aca="false">'1. Raw Data'!C471</f>
        <v>Engineering</v>
      </c>
      <c r="D472" s="3" t="str">
        <f aca="false">'1. Raw Data'!D471</f>
        <v>Lead</v>
      </c>
      <c r="E472" s="3" t="str">
        <f aca="false">'1. Raw Data'!E471</f>
        <v>Technical</v>
      </c>
      <c r="F472" s="3" t="n">
        <f aca="false">'1. Raw Data'!F471</f>
        <v>1.7</v>
      </c>
      <c r="G472" s="3" t="n">
        <f aca="false">IF('1. Raw Data'!G471="",ROUND(IFERROR(AVERAGEIFS('1. Raw Data'!G2:G1201,'1. Raw Data'!C2:C1201,'1. Raw Data'!C471,'1. Raw Data'!D2:D1201,'1. Raw Data'!D471),0),2),'1. Raw Data'!G471)</f>
        <v>10270.14</v>
      </c>
      <c r="H472" s="3" t="str">
        <f aca="false">PROPER('1. Raw Data'!H471)</f>
        <v>No</v>
      </c>
      <c r="I472" s="3" t="n">
        <f aca="false">'1. Raw Data'!I471</f>
        <v>3</v>
      </c>
      <c r="J472" s="3" t="n">
        <f aca="false">'1. Raw Data'!J471</f>
        <v>3</v>
      </c>
      <c r="K472" s="3" t="n">
        <f aca="false">'1. Raw Data'!K471</f>
        <v>10</v>
      </c>
      <c r="L472" s="3" t="n">
        <f aca="false">'1. Raw Data'!L471</f>
        <v>0</v>
      </c>
      <c r="M472" s="3" t="n">
        <f aca="false">'1. Raw Data'!M471</f>
        <v>3</v>
      </c>
      <c r="N472" s="3" t="str">
        <f aca="false">'1. Raw Data'!N471</f>
        <v>No</v>
      </c>
    </row>
    <row r="473" customFormat="false" ht="15" hidden="false" customHeight="false" outlineLevel="0" collapsed="false">
      <c r="A473" s="3" t="str">
        <f aca="false">'1. Raw Data'!A472</f>
        <v>EMP-0471</v>
      </c>
      <c r="B473" s="3" t="n">
        <f aca="false">'1. Raw Data'!B472</f>
        <v>32</v>
      </c>
      <c r="C473" s="3" t="str">
        <f aca="false">'1. Raw Data'!C472</f>
        <v>Marketing</v>
      </c>
      <c r="D473" s="3" t="str">
        <f aca="false">'1. Raw Data'!D472</f>
        <v>Junior</v>
      </c>
      <c r="E473" s="3" t="str">
        <f aca="false">'1. Raw Data'!E472</f>
        <v>Business</v>
      </c>
      <c r="F473" s="3" t="n">
        <f aca="false">'1. Raw Data'!F472</f>
        <v>8</v>
      </c>
      <c r="G473" s="3" t="n">
        <f aca="false">IF('1. Raw Data'!G472="",ROUND(IFERROR(AVERAGEIFS('1. Raw Data'!G2:G1201,'1. Raw Data'!C2:C1201,'1. Raw Data'!C472,'1. Raw Data'!D2:D1201,'1. Raw Data'!D472),0),2),'1. Raw Data'!G472)</f>
        <v>3562.61</v>
      </c>
      <c r="H473" s="3" t="str">
        <f aca="false">PROPER('1. Raw Data'!H472)</f>
        <v>No</v>
      </c>
      <c r="I473" s="3" t="n">
        <f aca="false">'1. Raw Data'!I472</f>
        <v>1</v>
      </c>
      <c r="J473" s="3" t="n">
        <f aca="false">'1. Raw Data'!J472</f>
        <v>4</v>
      </c>
      <c r="K473" s="3" t="n">
        <f aca="false">'1. Raw Data'!K472</f>
        <v>1</v>
      </c>
      <c r="L473" s="3" t="n">
        <f aca="false">'1. Raw Data'!L472</f>
        <v>1</v>
      </c>
      <c r="M473" s="3" t="n">
        <f aca="false">'1. Raw Data'!M472</f>
        <v>1</v>
      </c>
      <c r="N473" s="3" t="str">
        <f aca="false">'1. Raw Data'!N472</f>
        <v>No</v>
      </c>
    </row>
    <row r="474" customFormat="false" ht="15" hidden="false" customHeight="false" outlineLevel="0" collapsed="false">
      <c r="A474" s="3" t="str">
        <f aca="false">'1. Raw Data'!A473</f>
        <v>EMP-0472</v>
      </c>
      <c r="B474" s="3" t="n">
        <f aca="false">'1. Raw Data'!B473</f>
        <v>34</v>
      </c>
      <c r="C474" s="3" t="str">
        <f aca="false">'1. Raw Data'!C473</f>
        <v>HR</v>
      </c>
      <c r="D474" s="3" t="str">
        <f aca="false">'1. Raw Data'!D473</f>
        <v>Mid</v>
      </c>
      <c r="E474" s="3" t="str">
        <f aca="false">'1. Raw Data'!E473</f>
        <v>Business</v>
      </c>
      <c r="F474" s="3" t="n">
        <f aca="false">'1. Raw Data'!F473</f>
        <v>0</v>
      </c>
      <c r="G474" s="3" t="n">
        <f aca="false">IF('1. Raw Data'!G473="",ROUND(IFERROR(AVERAGEIFS('1. Raw Data'!G2:G1201,'1. Raw Data'!C2:C1201,'1. Raw Data'!C473,'1. Raw Data'!D2:D1201,'1. Raw Data'!D473),0),2),'1. Raw Data'!G473)</f>
        <v>5712.7</v>
      </c>
      <c r="H474" s="3" t="str">
        <f aca="false">PROPER('1. Raw Data'!H473)</f>
        <v>No</v>
      </c>
      <c r="I474" s="3" t="n">
        <f aca="false">'1. Raw Data'!I473</f>
        <v>3</v>
      </c>
      <c r="J474" s="3" t="n">
        <f aca="false">'1. Raw Data'!J473</f>
        <v>4</v>
      </c>
      <c r="K474" s="3" t="n">
        <f aca="false">'1. Raw Data'!K473</f>
        <v>34</v>
      </c>
      <c r="L474" s="3" t="n">
        <f aca="false">'1. Raw Data'!L473</f>
        <v>0</v>
      </c>
      <c r="M474" s="3" t="n">
        <f aca="false">'1. Raw Data'!M473</f>
        <v>0</v>
      </c>
      <c r="N474" s="3" t="str">
        <f aca="false">'1. Raw Data'!N473</f>
        <v>No</v>
      </c>
    </row>
    <row r="475" customFormat="false" ht="15" hidden="false" customHeight="false" outlineLevel="0" collapsed="false">
      <c r="A475" s="3" t="str">
        <f aca="false">'1. Raw Data'!A474</f>
        <v>EMP-0473</v>
      </c>
      <c r="B475" s="3" t="n">
        <f aca="false">'1. Raw Data'!B474</f>
        <v>33</v>
      </c>
      <c r="C475" s="3" t="str">
        <f aca="false">'1. Raw Data'!C474</f>
        <v>Engineering</v>
      </c>
      <c r="D475" s="3" t="str">
        <f aca="false">'1. Raw Data'!D474</f>
        <v>Mid</v>
      </c>
      <c r="E475" s="3" t="str">
        <f aca="false">'1. Raw Data'!E474</f>
        <v>Business</v>
      </c>
      <c r="F475" s="3" t="n">
        <f aca="false">'1. Raw Data'!F474</f>
        <v>4.8</v>
      </c>
      <c r="G475" s="3" t="n">
        <f aca="false">IF('1. Raw Data'!G474="",ROUND(IFERROR(AVERAGEIFS('1. Raw Data'!G2:G1201,'1. Raw Data'!C2:C1201,'1. Raw Data'!C474,'1. Raw Data'!D2:D1201,'1. Raw Data'!D474),0),2),'1. Raw Data'!G474)</f>
        <v>5450.32</v>
      </c>
      <c r="H475" s="3" t="str">
        <f aca="false">PROPER('1. Raw Data'!H474)</f>
        <v>No</v>
      </c>
      <c r="I475" s="3" t="n">
        <f aca="false">'1. Raw Data'!I474</f>
        <v>4</v>
      </c>
      <c r="J475" s="3" t="n">
        <f aca="false">'1. Raw Data'!J474</f>
        <v>4</v>
      </c>
      <c r="K475" s="3" t="n">
        <f aca="false">'1. Raw Data'!K474</f>
        <v>2</v>
      </c>
      <c r="L475" s="3" t="n">
        <f aca="false">'1. Raw Data'!L474</f>
        <v>4</v>
      </c>
      <c r="M475" s="3" t="n">
        <f aca="false">'1. Raw Data'!M474</f>
        <v>1</v>
      </c>
      <c r="N475" s="3" t="str">
        <f aca="false">'1. Raw Data'!N474</f>
        <v>No</v>
      </c>
    </row>
    <row r="476" customFormat="false" ht="15" hidden="false" customHeight="false" outlineLevel="0" collapsed="false">
      <c r="A476" s="3" t="str">
        <f aca="false">'1. Raw Data'!A475</f>
        <v>EMP-0474</v>
      </c>
      <c r="B476" s="3" t="n">
        <f aca="false">'1. Raw Data'!B475</f>
        <v>21</v>
      </c>
      <c r="C476" s="3" t="str">
        <f aca="false">'1. Raw Data'!C475</f>
        <v>Sales</v>
      </c>
      <c r="D476" s="3" t="str">
        <f aca="false">'1. Raw Data'!D475</f>
        <v>Mid</v>
      </c>
      <c r="E476" s="3" t="str">
        <f aca="false">'1. Raw Data'!E475</f>
        <v>Other</v>
      </c>
      <c r="F476" s="3" t="n">
        <f aca="false">'1. Raw Data'!F475</f>
        <v>0</v>
      </c>
      <c r="G476" s="3" t="n">
        <f aca="false">IF('1. Raw Data'!G475="",ROUND(IFERROR(AVERAGEIFS('1. Raw Data'!G2:G1201,'1. Raw Data'!C2:C1201,'1. Raw Data'!C475,'1. Raw Data'!D2:D1201,'1. Raw Data'!D475),0),2),'1. Raw Data'!G475)</f>
        <v>5528.9</v>
      </c>
      <c r="H476" s="3" t="str">
        <f aca="false">PROPER('1. Raw Data'!H475)</f>
        <v>No</v>
      </c>
      <c r="I476" s="3" t="n">
        <f aca="false">'1. Raw Data'!I475</f>
        <v>2</v>
      </c>
      <c r="J476" s="3" t="n">
        <f aca="false">'1. Raw Data'!J475</f>
        <v>3</v>
      </c>
      <c r="K476" s="3" t="n">
        <f aca="false">'1. Raw Data'!K475</f>
        <v>1</v>
      </c>
      <c r="L476" s="3" t="n">
        <f aca="false">'1. Raw Data'!L475</f>
        <v>0</v>
      </c>
      <c r="M476" s="3" t="n">
        <f aca="false">'1. Raw Data'!M475</f>
        <v>1</v>
      </c>
      <c r="N476" s="3" t="str">
        <f aca="false">'1. Raw Data'!N475</f>
        <v>No</v>
      </c>
    </row>
    <row r="477" customFormat="false" ht="15" hidden="false" customHeight="false" outlineLevel="0" collapsed="false">
      <c r="A477" s="3" t="str">
        <f aca="false">'1. Raw Data'!A476</f>
        <v>EMP-0475</v>
      </c>
      <c r="B477" s="3" t="n">
        <f aca="false">'1. Raw Data'!B476</f>
        <v>25</v>
      </c>
      <c r="C477" s="3" t="str">
        <f aca="false">'1. Raw Data'!C476</f>
        <v>Customer Support</v>
      </c>
      <c r="D477" s="3" t="str">
        <f aca="false">'1. Raw Data'!D476</f>
        <v>Mid</v>
      </c>
      <c r="E477" s="3" t="str">
        <f aca="false">'1. Raw Data'!E476</f>
        <v>Marketing</v>
      </c>
      <c r="F477" s="3" t="n">
        <f aca="false">'1. Raw Data'!F476</f>
        <v>3.1</v>
      </c>
      <c r="G477" s="3" t="n">
        <f aca="false">IF('1. Raw Data'!G476="",ROUND(IFERROR(AVERAGEIFS('1. Raw Data'!G2:G1201,'1. Raw Data'!C2:C1201,'1. Raw Data'!C476,'1. Raw Data'!D2:D1201,'1. Raw Data'!D476),0),2),'1. Raw Data'!G476)</f>
        <v>4672.35</v>
      </c>
      <c r="H477" s="3" t="str">
        <f aca="false">PROPER('1. Raw Data'!H476)</f>
        <v>Yes</v>
      </c>
      <c r="I477" s="3" t="n">
        <f aca="false">'1. Raw Data'!I476</f>
        <v>2</v>
      </c>
      <c r="J477" s="3" t="n">
        <f aca="false">'1. Raw Data'!J476</f>
        <v>4</v>
      </c>
      <c r="K477" s="3" t="n">
        <f aca="false">'1. Raw Data'!K476</f>
        <v>3</v>
      </c>
      <c r="L477" s="3" t="n">
        <f aca="false">'1. Raw Data'!L476</f>
        <v>0</v>
      </c>
      <c r="M477" s="3" t="n">
        <f aca="false">'1. Raw Data'!M476</f>
        <v>2</v>
      </c>
      <c r="N477" s="3" t="str">
        <f aca="false">'1. Raw Data'!N476</f>
        <v>No</v>
      </c>
    </row>
    <row r="478" customFormat="false" ht="15" hidden="false" customHeight="false" outlineLevel="0" collapsed="false">
      <c r="A478" s="3" t="str">
        <f aca="false">'1. Raw Data'!A477</f>
        <v>EMP-0476</v>
      </c>
      <c r="B478" s="3" t="n">
        <f aca="false">'1. Raw Data'!B477</f>
        <v>44</v>
      </c>
      <c r="C478" s="3" t="str">
        <f aca="false">'1. Raw Data'!C477</f>
        <v>Sales</v>
      </c>
      <c r="D478" s="3" t="str">
        <f aca="false">'1. Raw Data'!D477</f>
        <v>Junior</v>
      </c>
      <c r="E478" s="3" t="str">
        <f aca="false">'1. Raw Data'!E477</f>
        <v>Other</v>
      </c>
      <c r="F478" s="3" t="n">
        <f aca="false">'1. Raw Data'!F477</f>
        <v>0.1</v>
      </c>
      <c r="G478" s="3" t="n">
        <f aca="false">IF('1. Raw Data'!G477="",ROUND(IFERROR(AVERAGEIFS('1. Raw Data'!G2:G1201,'1. Raw Data'!C2:C1201,'1. Raw Data'!C477,'1. Raw Data'!D2:D1201,'1. Raw Data'!D477),0),2),'1. Raw Data'!G477)</f>
        <v>3815.71</v>
      </c>
      <c r="H478" s="3" t="str">
        <f aca="false">PROPER('1. Raw Data'!H477)</f>
        <v>No</v>
      </c>
      <c r="I478" s="3" t="n">
        <f aca="false">'1. Raw Data'!I477</f>
        <v>1</v>
      </c>
      <c r="J478" s="3" t="n">
        <f aca="false">'1. Raw Data'!J477</f>
        <v>2</v>
      </c>
      <c r="K478" s="3" t="n">
        <f aca="false">'1. Raw Data'!K477</f>
        <v>9</v>
      </c>
      <c r="L478" s="3" t="n">
        <f aca="false">'1. Raw Data'!L477</f>
        <v>0</v>
      </c>
      <c r="M478" s="3" t="n">
        <f aca="false">'1. Raw Data'!M477</f>
        <v>3</v>
      </c>
      <c r="N478" s="3" t="str">
        <f aca="false">'1. Raw Data'!N477</f>
        <v>Yes</v>
      </c>
    </row>
    <row r="479" customFormat="false" ht="15" hidden="false" customHeight="false" outlineLevel="0" collapsed="false">
      <c r="A479" s="3" t="str">
        <f aca="false">'1. Raw Data'!A478</f>
        <v>EMP-0477</v>
      </c>
      <c r="B479" s="3" t="n">
        <f aca="false">'1. Raw Data'!B478</f>
        <v>31</v>
      </c>
      <c r="C479" s="3" t="str">
        <f aca="false">'1. Raw Data'!C478</f>
        <v>Marketing</v>
      </c>
      <c r="D479" s="3" t="str">
        <f aca="false">'1. Raw Data'!D478</f>
        <v>Mid</v>
      </c>
      <c r="E479" s="3" t="str">
        <f aca="false">'1. Raw Data'!E478</f>
        <v>Technical</v>
      </c>
      <c r="F479" s="3" t="n">
        <f aca="false">'1. Raw Data'!F478</f>
        <v>1.9</v>
      </c>
      <c r="G479" s="3" t="n">
        <f aca="false">IF('1. Raw Data'!G478="",ROUND(IFERROR(AVERAGEIFS('1. Raw Data'!G2:G1201,'1. Raw Data'!C2:C1201,'1. Raw Data'!C478,'1. Raw Data'!D2:D1201,'1. Raw Data'!D478),0),2),'1. Raw Data'!G478)</f>
        <v>4188.49</v>
      </c>
      <c r="H479" s="3" t="str">
        <f aca="false">PROPER('1. Raw Data'!H478)</f>
        <v>No</v>
      </c>
      <c r="I479" s="3" t="n">
        <f aca="false">'1. Raw Data'!I478</f>
        <v>4</v>
      </c>
      <c r="J479" s="3" t="n">
        <f aca="false">'1. Raw Data'!J478</f>
        <v>3</v>
      </c>
      <c r="K479" s="3" t="n">
        <f aca="false">'1. Raw Data'!K478</f>
        <v>1</v>
      </c>
      <c r="L479" s="3" t="n">
        <f aca="false">'1. Raw Data'!L478</f>
        <v>1</v>
      </c>
      <c r="M479" s="3" t="n">
        <f aca="false">'1. Raw Data'!M478</f>
        <v>3</v>
      </c>
      <c r="N479" s="3" t="str">
        <f aca="false">'1. Raw Data'!N478</f>
        <v>No</v>
      </c>
    </row>
    <row r="480" customFormat="false" ht="15" hidden="false" customHeight="false" outlineLevel="0" collapsed="false">
      <c r="A480" s="3" t="str">
        <f aca="false">'1. Raw Data'!A479</f>
        <v>EMP-0478</v>
      </c>
      <c r="B480" s="3" t="n">
        <f aca="false">'1. Raw Data'!B479</f>
        <v>54</v>
      </c>
      <c r="C480" s="3" t="str">
        <f aca="false">'1. Raw Data'!C479</f>
        <v>Marketing</v>
      </c>
      <c r="D480" s="3" t="str">
        <f aca="false">'1. Raw Data'!D479</f>
        <v>Lead</v>
      </c>
      <c r="E480" s="3" t="str">
        <f aca="false">'1. Raw Data'!E479</f>
        <v>Other</v>
      </c>
      <c r="F480" s="3" t="n">
        <f aca="false">'1. Raw Data'!F479</f>
        <v>0.9</v>
      </c>
      <c r="G480" s="3" t="n">
        <f aca="false">IF('1. Raw Data'!G479="",ROUND(IFERROR(AVERAGEIFS('1. Raw Data'!G2:G1201,'1. Raw Data'!C2:C1201,'1. Raw Data'!C479,'1. Raw Data'!D2:D1201,'1. Raw Data'!D479),0),2),'1. Raw Data'!G479)</f>
        <v>8256.24</v>
      </c>
      <c r="H480" s="3" t="str">
        <f aca="false">PROPER('1. Raw Data'!H479)</f>
        <v>No</v>
      </c>
      <c r="I480" s="3" t="n">
        <f aca="false">'1. Raw Data'!I479</f>
        <v>2</v>
      </c>
      <c r="J480" s="3" t="n">
        <f aca="false">'1. Raw Data'!J479</f>
        <v>3</v>
      </c>
      <c r="K480" s="3" t="n">
        <f aca="false">'1. Raw Data'!K479</f>
        <v>7</v>
      </c>
      <c r="L480" s="3" t="n">
        <f aca="false">'1. Raw Data'!L479</f>
        <v>0</v>
      </c>
      <c r="M480" s="3" t="n">
        <f aca="false">'1. Raw Data'!M479</f>
        <v>3</v>
      </c>
      <c r="N480" s="3" t="str">
        <f aca="false">'1. Raw Data'!N479</f>
        <v>Yes</v>
      </c>
    </row>
    <row r="481" customFormat="false" ht="15" hidden="false" customHeight="false" outlineLevel="0" collapsed="false">
      <c r="A481" s="3" t="str">
        <f aca="false">'1. Raw Data'!A480</f>
        <v>EMP-0479</v>
      </c>
      <c r="B481" s="3" t="n">
        <f aca="false">'1. Raw Data'!B480</f>
        <v>27</v>
      </c>
      <c r="C481" s="3" t="str">
        <f aca="false">'1. Raw Data'!C480</f>
        <v>Sales</v>
      </c>
      <c r="D481" s="3" t="str">
        <f aca="false">'1. Raw Data'!D480</f>
        <v>Junior</v>
      </c>
      <c r="E481" s="3" t="str">
        <f aca="false">'1. Raw Data'!E480</f>
        <v>Business</v>
      </c>
      <c r="F481" s="3" t="n">
        <f aca="false">'1. Raw Data'!F480</f>
        <v>1</v>
      </c>
      <c r="G481" s="3" t="n">
        <f aca="false">IF('1. Raw Data'!G480="",ROUND(IFERROR(AVERAGEIFS('1. Raw Data'!G2:G1201,'1. Raw Data'!C2:C1201,'1. Raw Data'!C480,'1. Raw Data'!D2:D1201,'1. Raw Data'!D480),0),2),'1. Raw Data'!G480)</f>
        <v>3132.74</v>
      </c>
      <c r="H481" s="3" t="str">
        <f aca="false">PROPER('1. Raw Data'!H480)</f>
        <v>No</v>
      </c>
      <c r="I481" s="3" t="n">
        <f aca="false">'1. Raw Data'!I480</f>
        <v>4</v>
      </c>
      <c r="J481" s="3" t="n">
        <f aca="false">'1. Raw Data'!J480</f>
        <v>4</v>
      </c>
      <c r="K481" s="3" t="n">
        <f aca="false">'1. Raw Data'!K480</f>
        <v>2</v>
      </c>
      <c r="L481" s="3" t="n">
        <f aca="false">'1. Raw Data'!L480</f>
        <v>1</v>
      </c>
      <c r="M481" s="3" t="n">
        <f aca="false">'1. Raw Data'!M480</f>
        <v>1</v>
      </c>
      <c r="N481" s="3" t="str">
        <f aca="false">'1. Raw Data'!N480</f>
        <v>No</v>
      </c>
    </row>
    <row r="482" customFormat="false" ht="15" hidden="false" customHeight="false" outlineLevel="0" collapsed="false">
      <c r="A482" s="3" t="str">
        <f aca="false">'1. Raw Data'!A481</f>
        <v>EMP-0480</v>
      </c>
      <c r="B482" s="3" t="n">
        <f aca="false">'1. Raw Data'!B481</f>
        <v>48</v>
      </c>
      <c r="C482" s="3" t="str">
        <f aca="false">'1. Raw Data'!C481</f>
        <v>Finance</v>
      </c>
      <c r="D482" s="3" t="str">
        <f aca="false">'1. Raw Data'!D481</f>
        <v>Mid</v>
      </c>
      <c r="E482" s="3" t="str">
        <f aca="false">'1. Raw Data'!E481</f>
        <v>Other</v>
      </c>
      <c r="F482" s="3" t="n">
        <f aca="false">'1. Raw Data'!F481</f>
        <v>0.3</v>
      </c>
      <c r="G482" s="3" t="n">
        <f aca="false">IF('1. Raw Data'!G481="",ROUND(IFERROR(AVERAGEIFS('1. Raw Data'!G2:G1201,'1. Raw Data'!C2:C1201,'1. Raw Data'!C481,'1. Raw Data'!D2:D1201,'1. Raw Data'!D481),0),2),'1. Raw Data'!G481)</f>
        <v>4971.59</v>
      </c>
      <c r="H482" s="3" t="str">
        <f aca="false">PROPER('1. Raw Data'!H481)</f>
        <v>Yes</v>
      </c>
      <c r="I482" s="3" t="n">
        <f aca="false">'1. Raw Data'!I481</f>
        <v>2</v>
      </c>
      <c r="J482" s="3" t="n">
        <f aca="false">'1. Raw Data'!J481</f>
        <v>3</v>
      </c>
      <c r="K482" s="3" t="n">
        <f aca="false">'1. Raw Data'!K481</f>
        <v>1</v>
      </c>
      <c r="L482" s="3" t="n">
        <f aca="false">'1. Raw Data'!L481</f>
        <v>0</v>
      </c>
      <c r="M482" s="3" t="n">
        <f aca="false">'1. Raw Data'!M481</f>
        <v>4</v>
      </c>
      <c r="N482" s="3" t="str">
        <f aca="false">'1. Raw Data'!N481</f>
        <v>No</v>
      </c>
    </row>
    <row r="483" customFormat="false" ht="15" hidden="false" customHeight="false" outlineLevel="0" collapsed="false">
      <c r="A483" s="3" t="str">
        <f aca="false">'1. Raw Data'!A482</f>
        <v>EMP-0481</v>
      </c>
      <c r="B483" s="3" t="n">
        <f aca="false">'1. Raw Data'!B482</f>
        <v>31</v>
      </c>
      <c r="C483" s="3" t="str">
        <f aca="false">'1. Raw Data'!C482</f>
        <v>Customer Support</v>
      </c>
      <c r="D483" s="3" t="str">
        <f aca="false">'1. Raw Data'!D482</f>
        <v>Senior</v>
      </c>
      <c r="E483" s="3" t="str">
        <f aca="false">'1. Raw Data'!E482</f>
        <v>Technical</v>
      </c>
      <c r="F483" s="3" t="n">
        <f aca="false">'1. Raw Data'!F482</f>
        <v>1.1</v>
      </c>
      <c r="G483" s="3" t="n">
        <f aca="false">IF('1. Raw Data'!G482="",ROUND(IFERROR(AVERAGEIFS('1. Raw Data'!G2:G1201,'1. Raw Data'!C2:C1201,'1. Raw Data'!C482,'1. Raw Data'!D2:D1201,'1. Raw Data'!D482),0),2),'1. Raw Data'!G482)</f>
        <v>6789.16</v>
      </c>
      <c r="H483" s="3" t="str">
        <f aca="false">PROPER('1. Raw Data'!H482)</f>
        <v>No</v>
      </c>
      <c r="I483" s="3" t="n">
        <f aca="false">'1. Raw Data'!I482</f>
        <v>4</v>
      </c>
      <c r="J483" s="3" t="n">
        <f aca="false">'1. Raw Data'!J482</f>
        <v>3</v>
      </c>
      <c r="K483" s="3" t="n">
        <f aca="false">'1. Raw Data'!K482</f>
        <v>1</v>
      </c>
      <c r="L483" s="3" t="n">
        <f aca="false">'1. Raw Data'!L482</f>
        <v>0</v>
      </c>
      <c r="M483" s="3" t="n">
        <f aca="false">'1. Raw Data'!M482</f>
        <v>4</v>
      </c>
      <c r="N483" s="3" t="str">
        <f aca="false">'1. Raw Data'!N482</f>
        <v>No</v>
      </c>
    </row>
    <row r="484" customFormat="false" ht="15" hidden="false" customHeight="false" outlineLevel="0" collapsed="false">
      <c r="A484" s="3" t="str">
        <f aca="false">'1. Raw Data'!A483</f>
        <v>EMP-0482</v>
      </c>
      <c r="B484" s="3" t="n">
        <f aca="false">'1. Raw Data'!B483</f>
        <v>30</v>
      </c>
      <c r="C484" s="3" t="str">
        <f aca="false">'1. Raw Data'!C483</f>
        <v>Engineering</v>
      </c>
      <c r="D484" s="3" t="str">
        <f aca="false">'1. Raw Data'!D483</f>
        <v>Mid</v>
      </c>
      <c r="E484" s="3" t="str">
        <f aca="false">'1. Raw Data'!E483</f>
        <v>Other</v>
      </c>
      <c r="F484" s="3" t="n">
        <f aca="false">'1. Raw Data'!F483</f>
        <v>6.3</v>
      </c>
      <c r="G484" s="3" t="n">
        <f aca="false">IF('1. Raw Data'!G483="",ROUND(IFERROR(AVERAGEIFS('1. Raw Data'!G2:G1201,'1. Raw Data'!C2:C1201,'1. Raw Data'!C483,'1. Raw Data'!D2:D1201,'1. Raw Data'!D483),0),2),'1. Raw Data'!G483)</f>
        <v>5704.61</v>
      </c>
      <c r="H484" s="3" t="str">
        <f aca="false">PROPER('1. Raw Data'!H483)</f>
        <v>No</v>
      </c>
      <c r="I484" s="3" t="n">
        <f aca="false">'1. Raw Data'!I483</f>
        <v>3</v>
      </c>
      <c r="J484" s="3" t="n">
        <f aca="false">'1. Raw Data'!J483</f>
        <v>4</v>
      </c>
      <c r="K484" s="3" t="n">
        <f aca="false">'1. Raw Data'!K483</f>
        <v>2</v>
      </c>
      <c r="L484" s="3" t="n">
        <f aca="false">'1. Raw Data'!L483</f>
        <v>4</v>
      </c>
      <c r="M484" s="3" t="n">
        <f aca="false">'1. Raw Data'!M483</f>
        <v>0</v>
      </c>
      <c r="N484" s="3" t="str">
        <f aca="false">'1. Raw Data'!N483</f>
        <v>No</v>
      </c>
    </row>
    <row r="485" customFormat="false" ht="15" hidden="false" customHeight="false" outlineLevel="0" collapsed="false">
      <c r="A485" s="3" t="str">
        <f aca="false">'1. Raw Data'!A484</f>
        <v>EMP-0483</v>
      </c>
      <c r="B485" s="3" t="n">
        <f aca="false">'1. Raw Data'!B484</f>
        <v>42</v>
      </c>
      <c r="C485" s="3" t="str">
        <f aca="false">'1. Raw Data'!C484</f>
        <v>Engineering</v>
      </c>
      <c r="D485" s="3" t="str">
        <f aca="false">'1. Raw Data'!D484</f>
        <v>Junior</v>
      </c>
      <c r="E485" s="3" t="str">
        <f aca="false">'1. Raw Data'!E484</f>
        <v>Technical</v>
      </c>
      <c r="F485" s="3" t="n">
        <f aca="false">'1. Raw Data'!F484</f>
        <v>1.4</v>
      </c>
      <c r="G485" s="3" t="n">
        <f aca="false">IF('1. Raw Data'!G484="",ROUND(IFERROR(AVERAGEIFS('1. Raw Data'!G2:G1201,'1. Raw Data'!C2:C1201,'1. Raw Data'!C484,'1. Raw Data'!D2:D1201,'1. Raw Data'!D484),0),2),'1. Raw Data'!G484)</f>
        <v>3611.23</v>
      </c>
      <c r="H485" s="3" t="str">
        <f aca="false">PROPER('1. Raw Data'!H484)</f>
        <v>No</v>
      </c>
      <c r="I485" s="3" t="n">
        <f aca="false">'1. Raw Data'!I484</f>
        <v>3</v>
      </c>
      <c r="J485" s="3" t="n">
        <f aca="false">'1. Raw Data'!J484</f>
        <v>2</v>
      </c>
      <c r="K485" s="3" t="n">
        <f aca="false">'1. Raw Data'!K484</f>
        <v>7</v>
      </c>
      <c r="L485" s="3" t="n">
        <f aca="false">'1. Raw Data'!L484</f>
        <v>1</v>
      </c>
      <c r="M485" s="3" t="n">
        <f aca="false">'1. Raw Data'!M484</f>
        <v>1</v>
      </c>
      <c r="N485" s="3" t="str">
        <f aca="false">'1. Raw Data'!N484</f>
        <v>Yes</v>
      </c>
    </row>
    <row r="486" customFormat="false" ht="15" hidden="false" customHeight="false" outlineLevel="0" collapsed="false">
      <c r="A486" s="3" t="str">
        <f aca="false">'1. Raw Data'!A485</f>
        <v>EMP-0484</v>
      </c>
      <c r="B486" s="3" t="n">
        <f aca="false">'1. Raw Data'!B485</f>
        <v>39</v>
      </c>
      <c r="C486" s="3" t="str">
        <f aca="false">'1. Raw Data'!C485</f>
        <v>Finance</v>
      </c>
      <c r="D486" s="3" t="str">
        <f aca="false">'1. Raw Data'!D485</f>
        <v>Mid</v>
      </c>
      <c r="E486" s="3" t="str">
        <f aca="false">'1. Raw Data'!E485</f>
        <v>Technical</v>
      </c>
      <c r="F486" s="3" t="n">
        <f aca="false">'1. Raw Data'!F485</f>
        <v>9.6</v>
      </c>
      <c r="G486" s="3" t="n">
        <f aca="false">IF('1. Raw Data'!G485="",ROUND(IFERROR(AVERAGEIFS('1. Raw Data'!G2:G1201,'1. Raw Data'!C2:C1201,'1. Raw Data'!C485,'1. Raw Data'!D2:D1201,'1. Raw Data'!D485),0),2),'1. Raw Data'!G485)</f>
        <v>4551.84</v>
      </c>
      <c r="H486" s="3" t="str">
        <f aca="false">PROPER('1. Raw Data'!H485)</f>
        <v>No</v>
      </c>
      <c r="I486" s="3" t="n">
        <f aca="false">'1. Raw Data'!I485</f>
        <v>2</v>
      </c>
      <c r="J486" s="3" t="n">
        <f aca="false">'1. Raw Data'!J485</f>
        <v>2</v>
      </c>
      <c r="K486" s="3" t="n">
        <f aca="false">'1. Raw Data'!K485</f>
        <v>28</v>
      </c>
      <c r="L486" s="3" t="n">
        <f aca="false">'1. Raw Data'!L485</f>
        <v>2</v>
      </c>
      <c r="M486" s="3" t="n">
        <f aca="false">'1. Raw Data'!M485</f>
        <v>2</v>
      </c>
      <c r="N486" s="3" t="str">
        <f aca="false">'1. Raw Data'!N485</f>
        <v>Yes</v>
      </c>
    </row>
    <row r="487" customFormat="false" ht="15" hidden="false" customHeight="false" outlineLevel="0" collapsed="false">
      <c r="A487" s="3" t="str">
        <f aca="false">'1. Raw Data'!A486</f>
        <v>EMP-0485</v>
      </c>
      <c r="B487" s="3" t="n">
        <f aca="false">'1. Raw Data'!B486</f>
        <v>30</v>
      </c>
      <c r="C487" s="3" t="str">
        <f aca="false">'1. Raw Data'!C486</f>
        <v>Engineering</v>
      </c>
      <c r="D487" s="3" t="str">
        <f aca="false">'1. Raw Data'!D486</f>
        <v>Mid</v>
      </c>
      <c r="E487" s="3" t="str">
        <f aca="false">'1. Raw Data'!E486</f>
        <v>Marketing</v>
      </c>
      <c r="F487" s="3" t="n">
        <f aca="false">'1. Raw Data'!F486</f>
        <v>0.6</v>
      </c>
      <c r="G487" s="3" t="n">
        <f aca="false">IF('1. Raw Data'!G486="",ROUND(IFERROR(AVERAGEIFS('1. Raw Data'!G2:G1201,'1. Raw Data'!C2:C1201,'1. Raw Data'!C486,'1. Raw Data'!D2:D1201,'1. Raw Data'!D486),0),2),'1. Raw Data'!G486)</f>
        <v>4511.29</v>
      </c>
      <c r="H487" s="3" t="str">
        <f aca="false">PROPER('1. Raw Data'!H486)</f>
        <v>No</v>
      </c>
      <c r="I487" s="3" t="n">
        <f aca="false">'1. Raw Data'!I486</f>
        <v>2</v>
      </c>
      <c r="J487" s="3" t="n">
        <f aca="false">'1. Raw Data'!J486</f>
        <v>2</v>
      </c>
      <c r="K487" s="3" t="n">
        <f aca="false">'1. Raw Data'!K486</f>
        <v>12</v>
      </c>
      <c r="L487" s="3" t="n">
        <f aca="false">'1. Raw Data'!L486</f>
        <v>0</v>
      </c>
      <c r="M487" s="3" t="n">
        <f aca="false">'1. Raw Data'!M486</f>
        <v>0</v>
      </c>
      <c r="N487" s="3" t="str">
        <f aca="false">'1. Raw Data'!N486</f>
        <v>Yes</v>
      </c>
    </row>
    <row r="488" customFormat="false" ht="15" hidden="false" customHeight="false" outlineLevel="0" collapsed="false">
      <c r="A488" s="3" t="str">
        <f aca="false">'1. Raw Data'!A487</f>
        <v>EMP-0486</v>
      </c>
      <c r="B488" s="3" t="n">
        <f aca="false">'1. Raw Data'!B487</f>
        <v>27</v>
      </c>
      <c r="C488" s="3" t="str">
        <f aca="false">'1. Raw Data'!C487</f>
        <v>Marketing</v>
      </c>
      <c r="D488" s="3" t="str">
        <f aca="false">'1. Raw Data'!D487</f>
        <v>Mid</v>
      </c>
      <c r="E488" s="3" t="str">
        <f aca="false">'1. Raw Data'!E487</f>
        <v>Other</v>
      </c>
      <c r="F488" s="3" t="n">
        <f aca="false">'1. Raw Data'!F487</f>
        <v>1.4</v>
      </c>
      <c r="G488" s="3" t="n">
        <f aca="false">IF('1. Raw Data'!G487="",ROUND(IFERROR(AVERAGEIFS('1. Raw Data'!G2:G1201,'1. Raw Data'!C2:C1201,'1. Raw Data'!C487,'1. Raw Data'!D2:D1201,'1. Raw Data'!D487),0),2),'1. Raw Data'!G487)</f>
        <v>5656.11</v>
      </c>
      <c r="H488" s="3" t="str">
        <f aca="false">PROPER('1. Raw Data'!H487)</f>
        <v>No</v>
      </c>
      <c r="I488" s="3" t="n">
        <f aca="false">'1. Raw Data'!I487</f>
        <v>3</v>
      </c>
      <c r="J488" s="3" t="n">
        <f aca="false">'1. Raw Data'!J487</f>
        <v>2</v>
      </c>
      <c r="K488" s="3" t="n">
        <f aca="false">'1. Raw Data'!K487</f>
        <v>1</v>
      </c>
      <c r="L488" s="3" t="n">
        <f aca="false">'1. Raw Data'!L487</f>
        <v>1</v>
      </c>
      <c r="M488" s="3" t="n">
        <f aca="false">'1. Raw Data'!M487</f>
        <v>3</v>
      </c>
      <c r="N488" s="3" t="str">
        <f aca="false">'1. Raw Data'!N487</f>
        <v>Yes</v>
      </c>
    </row>
    <row r="489" customFormat="false" ht="15" hidden="false" customHeight="false" outlineLevel="0" collapsed="false">
      <c r="A489" s="3" t="str">
        <f aca="false">'1. Raw Data'!A488</f>
        <v>EMP-0487</v>
      </c>
      <c r="B489" s="3" t="n">
        <f aca="false">'1. Raw Data'!B488</f>
        <v>31</v>
      </c>
      <c r="C489" s="3" t="str">
        <f aca="false">'1. Raw Data'!C488</f>
        <v>Sales</v>
      </c>
      <c r="D489" s="3" t="str">
        <f aca="false">'1. Raw Data'!D488</f>
        <v>Senior</v>
      </c>
      <c r="E489" s="3" t="str">
        <f aca="false">'1. Raw Data'!E488</f>
        <v>Marketing</v>
      </c>
      <c r="F489" s="3" t="n">
        <f aca="false">'1. Raw Data'!F488</f>
        <v>1.9</v>
      </c>
      <c r="G489" s="3" t="n">
        <f aca="false">IF('1. Raw Data'!G488="",ROUND(IFERROR(AVERAGEIFS('1. Raw Data'!G2:G1201,'1. Raw Data'!C2:C1201,'1. Raw Data'!C488,'1. Raw Data'!D2:D1201,'1. Raw Data'!D488),0),2),'1. Raw Data'!G488)</f>
        <v>7461.37</v>
      </c>
      <c r="H489" s="3" t="str">
        <f aca="false">PROPER('1. Raw Data'!H488)</f>
        <v>No</v>
      </c>
      <c r="I489" s="3" t="n">
        <f aca="false">'1. Raw Data'!I488</f>
        <v>3</v>
      </c>
      <c r="J489" s="3" t="n">
        <f aca="false">'1. Raw Data'!J488</f>
        <v>4</v>
      </c>
      <c r="K489" s="3" t="n">
        <f aca="false">'1. Raw Data'!K488</f>
        <v>2</v>
      </c>
      <c r="L489" s="3" t="n">
        <f aca="false">'1. Raw Data'!L488</f>
        <v>1</v>
      </c>
      <c r="M489" s="3" t="n">
        <f aca="false">'1. Raw Data'!M488</f>
        <v>4</v>
      </c>
      <c r="N489" s="3" t="str">
        <f aca="false">'1. Raw Data'!N488</f>
        <v>No</v>
      </c>
    </row>
    <row r="490" customFormat="false" ht="15" hidden="false" customHeight="false" outlineLevel="0" collapsed="false">
      <c r="A490" s="3" t="str">
        <f aca="false">'1. Raw Data'!A489</f>
        <v>EMP-0488</v>
      </c>
      <c r="B490" s="3" t="n">
        <f aca="false">'1. Raw Data'!B489</f>
        <v>37</v>
      </c>
      <c r="C490" s="3" t="str">
        <f aca="false">'1. Raw Data'!C489</f>
        <v>Engineering</v>
      </c>
      <c r="D490" s="3" t="str">
        <f aca="false">'1. Raw Data'!D489</f>
        <v>Mid</v>
      </c>
      <c r="E490" s="3" t="str">
        <f aca="false">'1. Raw Data'!E489</f>
        <v>Marketing</v>
      </c>
      <c r="F490" s="3" t="n">
        <f aca="false">'1. Raw Data'!F489</f>
        <v>0.3</v>
      </c>
      <c r="G490" s="3" t="n">
        <f aca="false">IF('1. Raw Data'!G489="",ROUND(IFERROR(AVERAGEIFS('1. Raw Data'!G2:G1201,'1. Raw Data'!C2:C1201,'1. Raw Data'!C489,'1. Raw Data'!D2:D1201,'1. Raw Data'!D489),0),2),'1. Raw Data'!G489)</f>
        <v>4607.77</v>
      </c>
      <c r="H490" s="3" t="str">
        <f aca="false">PROPER('1. Raw Data'!H489)</f>
        <v>Yes</v>
      </c>
      <c r="I490" s="3" t="n">
        <f aca="false">'1. Raw Data'!I489</f>
        <v>2</v>
      </c>
      <c r="J490" s="3" t="n">
        <f aca="false">'1. Raw Data'!J489</f>
        <v>4</v>
      </c>
      <c r="K490" s="3" t="n">
        <f aca="false">'1. Raw Data'!K489</f>
        <v>15</v>
      </c>
      <c r="L490" s="3" t="n">
        <f aca="false">'1. Raw Data'!L489</f>
        <v>0</v>
      </c>
      <c r="M490" s="3" t="n">
        <f aca="false">'1. Raw Data'!M489</f>
        <v>1</v>
      </c>
      <c r="N490" s="3" t="str">
        <f aca="false">'1. Raw Data'!N489</f>
        <v>No</v>
      </c>
    </row>
    <row r="491" customFormat="false" ht="15" hidden="false" customHeight="false" outlineLevel="0" collapsed="false">
      <c r="A491" s="3" t="str">
        <f aca="false">'1. Raw Data'!A490</f>
        <v>EMP-0489</v>
      </c>
      <c r="B491" s="3" t="n">
        <f aca="false">'1. Raw Data'!B490</f>
        <v>33</v>
      </c>
      <c r="C491" s="3" t="str">
        <f aca="false">'1. Raw Data'!C490</f>
        <v>Customer Support</v>
      </c>
      <c r="D491" s="3" t="str">
        <f aca="false">'1. Raw Data'!D490</f>
        <v>Mid</v>
      </c>
      <c r="E491" s="3" t="str">
        <f aca="false">'1. Raw Data'!E490</f>
        <v>Business</v>
      </c>
      <c r="F491" s="3" t="n">
        <f aca="false">'1. Raw Data'!F490</f>
        <v>2.8</v>
      </c>
      <c r="G491" s="3" t="n">
        <f aca="false">IF('1. Raw Data'!G490="",ROUND(IFERROR(AVERAGEIFS('1. Raw Data'!G2:G1201,'1. Raw Data'!C2:C1201,'1. Raw Data'!C490,'1. Raw Data'!D2:D1201,'1. Raw Data'!D490),0),2),'1. Raw Data'!G490)</f>
        <v>4680.33</v>
      </c>
      <c r="H491" s="3" t="str">
        <f aca="false">PROPER('1. Raw Data'!H490)</f>
        <v>No</v>
      </c>
      <c r="I491" s="3" t="n">
        <f aca="false">'1. Raw Data'!I490</f>
        <v>4</v>
      </c>
      <c r="J491" s="3" t="n">
        <f aca="false">'1. Raw Data'!J490</f>
        <v>4</v>
      </c>
      <c r="K491" s="3" t="n">
        <f aca="false">'1. Raw Data'!K490</f>
        <v>21</v>
      </c>
      <c r="L491" s="3" t="n">
        <f aca="false">'1. Raw Data'!L490</f>
        <v>0</v>
      </c>
      <c r="M491" s="3" t="n">
        <f aca="false">'1. Raw Data'!M490</f>
        <v>3</v>
      </c>
      <c r="N491" s="3" t="str">
        <f aca="false">'1. Raw Data'!N490</f>
        <v>Yes</v>
      </c>
    </row>
    <row r="492" customFormat="false" ht="15" hidden="false" customHeight="false" outlineLevel="0" collapsed="false">
      <c r="A492" s="3" t="str">
        <f aca="false">'1. Raw Data'!A491</f>
        <v>EMP-0490</v>
      </c>
      <c r="B492" s="3" t="n">
        <f aca="false">'1. Raw Data'!B491</f>
        <v>39</v>
      </c>
      <c r="C492" s="3" t="str">
        <f aca="false">'1. Raw Data'!C491</f>
        <v>Customer Support</v>
      </c>
      <c r="D492" s="3" t="str">
        <f aca="false">'1. Raw Data'!D491</f>
        <v>Mid</v>
      </c>
      <c r="E492" s="3" t="str">
        <f aca="false">'1. Raw Data'!E491</f>
        <v>Marketing</v>
      </c>
      <c r="F492" s="3" t="n">
        <f aca="false">'1. Raw Data'!F491</f>
        <v>2.4</v>
      </c>
      <c r="G492" s="3" t="n">
        <f aca="false">IF('1. Raw Data'!G491="",ROUND(IFERROR(AVERAGEIFS('1. Raw Data'!G2:G1201,'1. Raw Data'!C2:C1201,'1. Raw Data'!C491,'1. Raw Data'!D2:D1201,'1. Raw Data'!D491),0),2),'1. Raw Data'!G491)</f>
        <v>4218.9</v>
      </c>
      <c r="H492" s="3" t="str">
        <f aca="false">PROPER('1. Raw Data'!H491)</f>
        <v>Yes</v>
      </c>
      <c r="I492" s="3" t="n">
        <f aca="false">'1. Raw Data'!I491</f>
        <v>4</v>
      </c>
      <c r="J492" s="3" t="n">
        <f aca="false">'1. Raw Data'!J491</f>
        <v>4</v>
      </c>
      <c r="K492" s="3" t="n">
        <f aca="false">'1. Raw Data'!K491</f>
        <v>9</v>
      </c>
      <c r="L492" s="3" t="n">
        <f aca="false">'1. Raw Data'!L491</f>
        <v>1</v>
      </c>
      <c r="M492" s="3" t="n">
        <f aca="false">'1. Raw Data'!M491</f>
        <v>0</v>
      </c>
      <c r="N492" s="3" t="str">
        <f aca="false">'1. Raw Data'!N491</f>
        <v>No</v>
      </c>
    </row>
    <row r="493" customFormat="false" ht="15" hidden="false" customHeight="false" outlineLevel="0" collapsed="false">
      <c r="A493" s="3" t="str">
        <f aca="false">'1. Raw Data'!A492</f>
        <v>EMP-0491</v>
      </c>
      <c r="B493" s="3" t="n">
        <f aca="false">'1. Raw Data'!B492</f>
        <v>37</v>
      </c>
      <c r="C493" s="3" t="str">
        <f aca="false">'1. Raw Data'!C492</f>
        <v>Finance</v>
      </c>
      <c r="D493" s="3" t="str">
        <f aca="false">'1. Raw Data'!D492</f>
        <v>Junior</v>
      </c>
      <c r="E493" s="3" t="str">
        <f aca="false">'1. Raw Data'!E492</f>
        <v>Marketing</v>
      </c>
      <c r="F493" s="3" t="n">
        <f aca="false">'1. Raw Data'!F492</f>
        <v>2.3</v>
      </c>
      <c r="G493" s="3" t="n">
        <f aca="false">IF('1. Raw Data'!G492="",ROUND(IFERROR(AVERAGEIFS('1. Raw Data'!G2:G1201,'1. Raw Data'!C2:C1201,'1. Raw Data'!C492,'1. Raw Data'!D2:D1201,'1. Raw Data'!D492),0),2),'1. Raw Data'!G492)</f>
        <v>3500.92</v>
      </c>
      <c r="H493" s="3" t="str">
        <f aca="false">PROPER('1. Raw Data'!H492)</f>
        <v>No</v>
      </c>
      <c r="I493" s="3" t="n">
        <f aca="false">'1. Raw Data'!I492</f>
        <v>3</v>
      </c>
      <c r="J493" s="3" t="n">
        <f aca="false">'1. Raw Data'!J492</f>
        <v>3</v>
      </c>
      <c r="K493" s="3" t="n">
        <f aca="false">'1. Raw Data'!K492</f>
        <v>1</v>
      </c>
      <c r="L493" s="3" t="n">
        <f aca="false">'1. Raw Data'!L492</f>
        <v>0</v>
      </c>
      <c r="M493" s="3" t="n">
        <f aca="false">'1. Raw Data'!M492</f>
        <v>2</v>
      </c>
      <c r="N493" s="3" t="str">
        <f aca="false">'1. Raw Data'!N492</f>
        <v>No</v>
      </c>
    </row>
    <row r="494" customFormat="false" ht="15" hidden="false" customHeight="false" outlineLevel="0" collapsed="false">
      <c r="A494" s="3" t="str">
        <f aca="false">'1. Raw Data'!A493</f>
        <v>EMP-0492</v>
      </c>
      <c r="B494" s="3" t="n">
        <f aca="false">'1. Raw Data'!B493</f>
        <v>21</v>
      </c>
      <c r="C494" s="3" t="str">
        <f aca="false">'1. Raw Data'!C493</f>
        <v>Finance</v>
      </c>
      <c r="D494" s="3" t="str">
        <f aca="false">'1. Raw Data'!D493</f>
        <v>Junior</v>
      </c>
      <c r="E494" s="3" t="str">
        <f aca="false">'1. Raw Data'!E493</f>
        <v>Marketing</v>
      </c>
      <c r="F494" s="3" t="n">
        <f aca="false">'1. Raw Data'!F493</f>
        <v>0</v>
      </c>
      <c r="G494" s="3" t="n">
        <f aca="false">IF('1. Raw Data'!G493="",ROUND(IFERROR(AVERAGEIFS('1. Raw Data'!G2:G1201,'1. Raw Data'!C2:C1201,'1. Raw Data'!C493,'1. Raw Data'!D2:D1201,'1. Raw Data'!D493),0),2),'1. Raw Data'!G493)</f>
        <v>3651.12</v>
      </c>
      <c r="H494" s="3" t="str">
        <f aca="false">PROPER('1. Raw Data'!H493)</f>
        <v>No</v>
      </c>
      <c r="I494" s="3" t="n">
        <f aca="false">'1. Raw Data'!I493</f>
        <v>3</v>
      </c>
      <c r="J494" s="3" t="n">
        <f aca="false">'1. Raw Data'!J493</f>
        <v>3</v>
      </c>
      <c r="K494" s="3" t="n">
        <f aca="false">'1. Raw Data'!K493</f>
        <v>13</v>
      </c>
      <c r="L494" s="3" t="n">
        <f aca="false">'1. Raw Data'!L493</f>
        <v>0</v>
      </c>
      <c r="M494" s="3" t="n">
        <f aca="false">'1. Raw Data'!M493</f>
        <v>4</v>
      </c>
      <c r="N494" s="3" t="str">
        <f aca="false">'1. Raw Data'!N493</f>
        <v>No</v>
      </c>
    </row>
    <row r="495" customFormat="false" ht="15" hidden="false" customHeight="false" outlineLevel="0" collapsed="false">
      <c r="A495" s="3" t="str">
        <f aca="false">'1. Raw Data'!A494</f>
        <v>EMP-0493</v>
      </c>
      <c r="B495" s="3" t="n">
        <f aca="false">'1. Raw Data'!B494</f>
        <v>39</v>
      </c>
      <c r="C495" s="3" t="str">
        <f aca="false">'1. Raw Data'!C494</f>
        <v>Customer Support</v>
      </c>
      <c r="D495" s="3" t="str">
        <f aca="false">'1. Raw Data'!D494</f>
        <v>Junior</v>
      </c>
      <c r="E495" s="3" t="str">
        <f aca="false">'1. Raw Data'!E494</f>
        <v>Business</v>
      </c>
      <c r="F495" s="3" t="n">
        <f aca="false">'1. Raw Data'!F494</f>
        <v>7.5</v>
      </c>
      <c r="G495" s="3" t="n">
        <f aca="false">IF('1. Raw Data'!G494="",ROUND(IFERROR(AVERAGEIFS('1. Raw Data'!G2:G1201,'1. Raw Data'!C2:C1201,'1. Raw Data'!C494,'1. Raw Data'!D2:D1201,'1. Raw Data'!D494),0),2),'1. Raw Data'!G494)</f>
        <v>3068.4</v>
      </c>
      <c r="H495" s="3" t="str">
        <f aca="false">PROPER('1. Raw Data'!H494)</f>
        <v>Yes</v>
      </c>
      <c r="I495" s="3" t="n">
        <f aca="false">'1. Raw Data'!I494</f>
        <v>4</v>
      </c>
      <c r="J495" s="3" t="n">
        <f aca="false">'1. Raw Data'!J494</f>
        <v>3</v>
      </c>
      <c r="K495" s="3" t="n">
        <f aca="false">'1. Raw Data'!K494</f>
        <v>16</v>
      </c>
      <c r="L495" s="3" t="n">
        <f aca="false">'1. Raw Data'!L494</f>
        <v>0</v>
      </c>
      <c r="M495" s="3" t="n">
        <f aca="false">'1. Raw Data'!M494</f>
        <v>1</v>
      </c>
      <c r="N495" s="3" t="str">
        <f aca="false">'1. Raw Data'!N494</f>
        <v>Yes</v>
      </c>
    </row>
    <row r="496" customFormat="false" ht="15" hidden="false" customHeight="false" outlineLevel="0" collapsed="false">
      <c r="A496" s="3" t="str">
        <f aca="false">'1. Raw Data'!A495</f>
        <v>EMP-0494</v>
      </c>
      <c r="B496" s="3" t="n">
        <f aca="false">'1. Raw Data'!B495</f>
        <v>34</v>
      </c>
      <c r="C496" s="3" t="str">
        <f aca="false">'1. Raw Data'!C495</f>
        <v>Sales</v>
      </c>
      <c r="D496" s="3" t="str">
        <f aca="false">'1. Raw Data'!D495</f>
        <v>Junior</v>
      </c>
      <c r="E496" s="3" t="str">
        <f aca="false">'1. Raw Data'!E495</f>
        <v>Marketing</v>
      </c>
      <c r="F496" s="3" t="n">
        <f aca="false">'1. Raw Data'!F495</f>
        <v>0.1</v>
      </c>
      <c r="G496" s="3" t="n">
        <f aca="false">IF('1. Raw Data'!G495="",ROUND(IFERROR(AVERAGEIFS('1. Raw Data'!G2:G1201,'1. Raw Data'!C2:C1201,'1. Raw Data'!C495,'1. Raw Data'!D2:D1201,'1. Raw Data'!D495),0),2),'1. Raw Data'!G495)</f>
        <v>2722.84</v>
      </c>
      <c r="H496" s="3" t="str">
        <f aca="false">PROPER('1. Raw Data'!H495)</f>
        <v>Yes</v>
      </c>
      <c r="I496" s="3" t="n">
        <f aca="false">'1. Raw Data'!I495</f>
        <v>1</v>
      </c>
      <c r="J496" s="3" t="n">
        <f aca="false">'1. Raw Data'!J495</f>
        <v>3</v>
      </c>
      <c r="K496" s="3" t="n">
        <f aca="false">'1. Raw Data'!K495</f>
        <v>5</v>
      </c>
      <c r="L496" s="3" t="n">
        <f aca="false">'1. Raw Data'!L495</f>
        <v>0</v>
      </c>
      <c r="M496" s="3" t="n">
        <f aca="false">'1. Raw Data'!M495</f>
        <v>1</v>
      </c>
      <c r="N496" s="3" t="str">
        <f aca="false">'1. Raw Data'!N495</f>
        <v>No</v>
      </c>
    </row>
    <row r="497" customFormat="false" ht="15" hidden="false" customHeight="false" outlineLevel="0" collapsed="false">
      <c r="A497" s="3" t="str">
        <f aca="false">'1. Raw Data'!A496</f>
        <v>EMP-0495</v>
      </c>
      <c r="B497" s="3" t="n">
        <f aca="false">'1. Raw Data'!B496</f>
        <v>41</v>
      </c>
      <c r="C497" s="3" t="str">
        <f aca="false">'1. Raw Data'!C496</f>
        <v>Engineering</v>
      </c>
      <c r="D497" s="3" t="str">
        <f aca="false">'1. Raw Data'!D496</f>
        <v>Junior</v>
      </c>
      <c r="E497" s="3" t="str">
        <f aca="false">'1. Raw Data'!E496</f>
        <v>Technical</v>
      </c>
      <c r="F497" s="3" t="n">
        <f aca="false">'1. Raw Data'!F496</f>
        <v>1.1</v>
      </c>
      <c r="G497" s="3" t="n">
        <f aca="false">IF('1. Raw Data'!G496="",ROUND(IFERROR(AVERAGEIFS('1. Raw Data'!G2:G1201,'1. Raw Data'!C2:C1201,'1. Raw Data'!C496,'1. Raw Data'!D2:D1201,'1. Raw Data'!D496),0),2),'1. Raw Data'!G496)</f>
        <v>3818.99</v>
      </c>
      <c r="H497" s="3" t="str">
        <f aca="false">PROPER('1. Raw Data'!H496)</f>
        <v>No</v>
      </c>
      <c r="I497" s="3" t="n">
        <f aca="false">'1. Raw Data'!I496</f>
        <v>1</v>
      </c>
      <c r="J497" s="3" t="n">
        <f aca="false">'1. Raw Data'!J496</f>
        <v>2</v>
      </c>
      <c r="K497" s="3" t="n">
        <f aca="false">'1. Raw Data'!K496</f>
        <v>1</v>
      </c>
      <c r="L497" s="3" t="n">
        <f aca="false">'1. Raw Data'!L496</f>
        <v>1</v>
      </c>
      <c r="M497" s="3" t="n">
        <f aca="false">'1. Raw Data'!M496</f>
        <v>2</v>
      </c>
      <c r="N497" s="3" t="str">
        <f aca="false">'1. Raw Data'!N496</f>
        <v>No</v>
      </c>
    </row>
    <row r="498" customFormat="false" ht="15" hidden="false" customHeight="false" outlineLevel="0" collapsed="false">
      <c r="A498" s="3" t="str">
        <f aca="false">'1. Raw Data'!A497</f>
        <v>EMP-0496</v>
      </c>
      <c r="B498" s="3" t="n">
        <f aca="false">'1. Raw Data'!B497</f>
        <v>27</v>
      </c>
      <c r="C498" s="3" t="str">
        <f aca="false">'1. Raw Data'!C497</f>
        <v>Finance</v>
      </c>
      <c r="D498" s="3" t="str">
        <f aca="false">'1. Raw Data'!D497</f>
        <v>Junior</v>
      </c>
      <c r="E498" s="3" t="str">
        <f aca="false">'1. Raw Data'!E497</f>
        <v>Other</v>
      </c>
      <c r="F498" s="3" t="n">
        <f aca="false">'1. Raw Data'!F497</f>
        <v>6</v>
      </c>
      <c r="G498" s="3" t="n">
        <f aca="false">IF('1. Raw Data'!G497="",ROUND(IFERROR(AVERAGEIFS('1. Raw Data'!G2:G1201,'1. Raw Data'!C2:C1201,'1. Raw Data'!C497,'1. Raw Data'!D2:D1201,'1. Raw Data'!D497),0),2),'1. Raw Data'!G497)</f>
        <v>3781.28</v>
      </c>
      <c r="H498" s="3" t="str">
        <f aca="false">PROPER('1. Raw Data'!H497)</f>
        <v>No</v>
      </c>
      <c r="I498" s="3" t="n">
        <f aca="false">'1. Raw Data'!I497</f>
        <v>3</v>
      </c>
      <c r="J498" s="3" t="n">
        <f aca="false">'1. Raw Data'!J497</f>
        <v>2</v>
      </c>
      <c r="K498" s="3" t="n">
        <f aca="false">'1. Raw Data'!K497</f>
        <v>4</v>
      </c>
      <c r="L498" s="3" t="n">
        <f aca="false">'1. Raw Data'!L497</f>
        <v>0</v>
      </c>
      <c r="M498" s="3" t="n">
        <f aca="false">'1. Raw Data'!M497</f>
        <v>4</v>
      </c>
      <c r="N498" s="3" t="str">
        <f aca="false">'1. Raw Data'!N497</f>
        <v>No</v>
      </c>
    </row>
    <row r="499" customFormat="false" ht="15" hidden="false" customHeight="false" outlineLevel="0" collapsed="false">
      <c r="A499" s="3" t="str">
        <f aca="false">'1. Raw Data'!A498</f>
        <v>EMP-0497</v>
      </c>
      <c r="B499" s="3" t="n">
        <f aca="false">'1. Raw Data'!B498</f>
        <v>46</v>
      </c>
      <c r="C499" s="3" t="str">
        <f aca="false">'1. Raw Data'!C498</f>
        <v>Engineering</v>
      </c>
      <c r="D499" s="3" t="str">
        <f aca="false">'1. Raw Data'!D498</f>
        <v>Junior</v>
      </c>
      <c r="E499" s="3" t="str">
        <f aca="false">'1. Raw Data'!E498</f>
        <v>Other</v>
      </c>
      <c r="F499" s="3" t="n">
        <f aca="false">'1. Raw Data'!F498</f>
        <v>1.9</v>
      </c>
      <c r="G499" s="3" t="n">
        <f aca="false">IF('1. Raw Data'!G498="",ROUND(IFERROR(AVERAGEIFS('1. Raw Data'!G2:G1201,'1. Raw Data'!C2:C1201,'1. Raw Data'!C498,'1. Raw Data'!D2:D1201,'1. Raw Data'!D498),0),2),'1. Raw Data'!G498)</f>
        <v>3627.82</v>
      </c>
      <c r="H499" s="3" t="str">
        <f aca="false">PROPER('1. Raw Data'!H498)</f>
        <v>No</v>
      </c>
      <c r="I499" s="3" t="n">
        <f aca="false">'1. Raw Data'!I498</f>
        <v>4</v>
      </c>
      <c r="J499" s="3" t="n">
        <f aca="false">'1. Raw Data'!J498</f>
        <v>3</v>
      </c>
      <c r="K499" s="3" t="n">
        <f aca="false">'1. Raw Data'!K498</f>
        <v>4</v>
      </c>
      <c r="L499" s="3" t="n">
        <f aca="false">'1. Raw Data'!L498</f>
        <v>1</v>
      </c>
      <c r="M499" s="3" t="n">
        <f aca="false">'1. Raw Data'!M498</f>
        <v>7</v>
      </c>
      <c r="N499" s="3" t="str">
        <f aca="false">'1. Raw Data'!N498</f>
        <v>No</v>
      </c>
    </row>
    <row r="500" customFormat="false" ht="15" hidden="false" customHeight="false" outlineLevel="0" collapsed="false">
      <c r="A500" s="3" t="str">
        <f aca="false">'1. Raw Data'!A499</f>
        <v>EMP-0498</v>
      </c>
      <c r="B500" s="3" t="n">
        <f aca="false">'1. Raw Data'!B499</f>
        <v>27</v>
      </c>
      <c r="C500" s="3" t="str">
        <f aca="false">'1. Raw Data'!C499</f>
        <v>Finance</v>
      </c>
      <c r="D500" s="3" t="str">
        <f aca="false">'1. Raw Data'!D499</f>
        <v>Junior</v>
      </c>
      <c r="E500" s="3" t="str">
        <f aca="false">'1. Raw Data'!E499</f>
        <v>Business</v>
      </c>
      <c r="F500" s="3" t="n">
        <f aca="false">'1. Raw Data'!F499</f>
        <v>1.4</v>
      </c>
      <c r="G500" s="3" t="n">
        <f aca="false">IF('1. Raw Data'!G499="",ROUND(IFERROR(AVERAGEIFS('1. Raw Data'!G2:G1201,'1. Raw Data'!C2:C1201,'1. Raw Data'!C499,'1. Raw Data'!D2:D1201,'1. Raw Data'!D499),0),2),'1. Raw Data'!G499)</f>
        <v>2894.51</v>
      </c>
      <c r="H500" s="3" t="str">
        <f aca="false">PROPER('1. Raw Data'!H499)</f>
        <v>No</v>
      </c>
      <c r="I500" s="3" t="n">
        <f aca="false">'1. Raw Data'!I499</f>
        <v>4</v>
      </c>
      <c r="J500" s="3" t="n">
        <f aca="false">'1. Raw Data'!J499</f>
        <v>2</v>
      </c>
      <c r="K500" s="3" t="n">
        <f aca="false">'1. Raw Data'!K499</f>
        <v>2</v>
      </c>
      <c r="L500" s="3" t="n">
        <f aca="false">'1. Raw Data'!L499</f>
        <v>1</v>
      </c>
      <c r="M500" s="3" t="n">
        <f aca="false">'1. Raw Data'!M499</f>
        <v>2</v>
      </c>
      <c r="N500" s="3" t="str">
        <f aca="false">'1. Raw Data'!N499</f>
        <v>No</v>
      </c>
    </row>
    <row r="501" customFormat="false" ht="15" hidden="false" customHeight="false" outlineLevel="0" collapsed="false">
      <c r="A501" s="3" t="str">
        <f aca="false">'1. Raw Data'!A500</f>
        <v>EMP-0499</v>
      </c>
      <c r="B501" s="3" t="n">
        <f aca="false">'1. Raw Data'!B500</f>
        <v>34</v>
      </c>
      <c r="C501" s="3" t="str">
        <f aca="false">'1. Raw Data'!C500</f>
        <v>Customer Support</v>
      </c>
      <c r="D501" s="3" t="str">
        <f aca="false">'1. Raw Data'!D500</f>
        <v>Senior</v>
      </c>
      <c r="E501" s="3" t="str">
        <f aca="false">'1. Raw Data'!E500</f>
        <v>Marketing</v>
      </c>
      <c r="F501" s="3" t="n">
        <f aca="false">'1. Raw Data'!F500</f>
        <v>2</v>
      </c>
      <c r="G501" s="3" t="n">
        <f aca="false">IF('1. Raw Data'!G500="",ROUND(IFERROR(AVERAGEIFS('1. Raw Data'!G2:G1201,'1. Raw Data'!C2:C1201,'1. Raw Data'!C500,'1. Raw Data'!D2:D1201,'1. Raw Data'!D500),0),2),'1. Raw Data'!G500)</f>
        <v>7870.6</v>
      </c>
      <c r="H501" s="3" t="str">
        <f aca="false">PROPER('1. Raw Data'!H500)</f>
        <v>No</v>
      </c>
      <c r="I501" s="3" t="n">
        <f aca="false">'1. Raw Data'!I500</f>
        <v>3</v>
      </c>
      <c r="J501" s="3" t="n">
        <f aca="false">'1. Raw Data'!J500</f>
        <v>2</v>
      </c>
      <c r="K501" s="3" t="n">
        <f aca="false">'1. Raw Data'!K500</f>
        <v>24</v>
      </c>
      <c r="L501" s="3" t="n">
        <f aca="false">'1. Raw Data'!L500</f>
        <v>0</v>
      </c>
      <c r="M501" s="3" t="n">
        <f aca="false">'1. Raw Data'!M500</f>
        <v>1</v>
      </c>
      <c r="N501" s="3" t="str">
        <f aca="false">'1. Raw Data'!N500</f>
        <v>No</v>
      </c>
    </row>
    <row r="502" customFormat="false" ht="15" hidden="false" customHeight="false" outlineLevel="0" collapsed="false">
      <c r="A502" s="3" t="str">
        <f aca="false">'1. Raw Data'!A501</f>
        <v>EMP-0500</v>
      </c>
      <c r="B502" s="3" t="n">
        <f aca="false">'1. Raw Data'!B501</f>
        <v>21</v>
      </c>
      <c r="C502" s="3" t="str">
        <f aca="false">'1. Raw Data'!C501</f>
        <v>Sales</v>
      </c>
      <c r="D502" s="3" t="str">
        <f aca="false">'1. Raw Data'!D501</f>
        <v>Mid</v>
      </c>
      <c r="E502" s="3" t="str">
        <f aca="false">'1. Raw Data'!E501</f>
        <v>Business</v>
      </c>
      <c r="F502" s="3" t="n">
        <f aca="false">'1. Raw Data'!F501</f>
        <v>0</v>
      </c>
      <c r="G502" s="3" t="n">
        <f aca="false">IF('1. Raw Data'!G501="",ROUND(IFERROR(AVERAGEIFS('1. Raw Data'!G2:G1201,'1. Raw Data'!C2:C1201,'1. Raw Data'!C501,'1. Raw Data'!D2:D1201,'1. Raw Data'!D501),0),2),'1. Raw Data'!G501)</f>
        <v>4299.91</v>
      </c>
      <c r="H502" s="3" t="str">
        <f aca="false">PROPER('1. Raw Data'!H501)</f>
        <v>No</v>
      </c>
      <c r="I502" s="3" t="n">
        <f aca="false">'1. Raw Data'!I501</f>
        <v>2</v>
      </c>
      <c r="J502" s="3" t="n">
        <f aca="false">'1. Raw Data'!J501</f>
        <v>4</v>
      </c>
      <c r="K502" s="3" t="n">
        <f aca="false">'1. Raw Data'!K501</f>
        <v>3</v>
      </c>
      <c r="L502" s="3" t="n">
        <f aca="false">'1. Raw Data'!L501</f>
        <v>0</v>
      </c>
      <c r="M502" s="3" t="n">
        <f aca="false">'1. Raw Data'!M501</f>
        <v>3</v>
      </c>
      <c r="N502" s="3" t="str">
        <f aca="false">'1. Raw Data'!N501</f>
        <v>No</v>
      </c>
    </row>
    <row r="503" customFormat="false" ht="15" hidden="false" customHeight="false" outlineLevel="0" collapsed="false">
      <c r="A503" s="3" t="str">
        <f aca="false">'1. Raw Data'!A502</f>
        <v>EMP-0501</v>
      </c>
      <c r="B503" s="3" t="n">
        <f aca="false">'1. Raw Data'!B502</f>
        <v>21</v>
      </c>
      <c r="C503" s="3" t="str">
        <f aca="false">'1. Raw Data'!C502</f>
        <v>HR</v>
      </c>
      <c r="D503" s="3" t="str">
        <f aca="false">'1. Raw Data'!D502</f>
        <v>Mid</v>
      </c>
      <c r="E503" s="3" t="str">
        <f aca="false">'1. Raw Data'!E502</f>
        <v>Business</v>
      </c>
      <c r="F503" s="3" t="n">
        <f aca="false">'1. Raw Data'!F502</f>
        <v>0</v>
      </c>
      <c r="G503" s="3" t="n">
        <f aca="false">IF('1. Raw Data'!G502="",ROUND(IFERROR(AVERAGEIFS('1. Raw Data'!G2:G1201,'1. Raw Data'!C2:C1201,'1. Raw Data'!C502,'1. Raw Data'!D2:D1201,'1. Raw Data'!D502),0),2),'1. Raw Data'!G502)</f>
        <v>5471.85</v>
      </c>
      <c r="H503" s="3" t="str">
        <f aca="false">PROPER('1. Raw Data'!H502)</f>
        <v>No</v>
      </c>
      <c r="I503" s="3" t="n">
        <f aca="false">'1. Raw Data'!I502</f>
        <v>3</v>
      </c>
      <c r="J503" s="3" t="n">
        <f aca="false">'1. Raw Data'!J502</f>
        <v>3</v>
      </c>
      <c r="K503" s="3" t="n">
        <f aca="false">'1. Raw Data'!K502</f>
        <v>21</v>
      </c>
      <c r="L503" s="3" t="n">
        <f aca="false">'1. Raw Data'!L502</f>
        <v>0</v>
      </c>
      <c r="M503" s="3" t="n">
        <f aca="false">'1. Raw Data'!M502</f>
        <v>3</v>
      </c>
      <c r="N503" s="3" t="str">
        <f aca="false">'1. Raw Data'!N502</f>
        <v>No</v>
      </c>
    </row>
    <row r="504" customFormat="false" ht="15" hidden="false" customHeight="false" outlineLevel="0" collapsed="false">
      <c r="A504" s="3" t="str">
        <f aca="false">'1. Raw Data'!A503</f>
        <v>EMP-0502</v>
      </c>
      <c r="B504" s="3" t="n">
        <f aca="false">'1. Raw Data'!B503</f>
        <v>31</v>
      </c>
      <c r="C504" s="3" t="str">
        <f aca="false">'1. Raw Data'!C503</f>
        <v>Customer Support</v>
      </c>
      <c r="D504" s="3" t="str">
        <f aca="false">'1. Raw Data'!D503</f>
        <v>Junior</v>
      </c>
      <c r="E504" s="3" t="str">
        <f aca="false">'1. Raw Data'!E503</f>
        <v>Technical</v>
      </c>
      <c r="F504" s="3" t="n">
        <f aca="false">'1. Raw Data'!F503</f>
        <v>1</v>
      </c>
      <c r="G504" s="3" t="n">
        <f aca="false">IF('1. Raw Data'!G503="",ROUND(IFERROR(AVERAGEIFS('1. Raw Data'!G2:G1201,'1. Raw Data'!C2:C1201,'1. Raw Data'!C503,'1. Raw Data'!D2:D1201,'1. Raw Data'!D503),0),2),'1. Raw Data'!G503)</f>
        <v>2789.79</v>
      </c>
      <c r="H504" s="3" t="str">
        <f aca="false">PROPER('1. Raw Data'!H503)</f>
        <v>Yes</v>
      </c>
      <c r="I504" s="3" t="n">
        <f aca="false">'1. Raw Data'!I503</f>
        <v>2</v>
      </c>
      <c r="J504" s="3" t="n">
        <f aca="false">'1. Raw Data'!J503</f>
        <v>1</v>
      </c>
      <c r="K504" s="3" t="n">
        <f aca="false">'1. Raw Data'!K503</f>
        <v>3</v>
      </c>
      <c r="L504" s="3" t="n">
        <f aca="false">'1. Raw Data'!L503</f>
        <v>1</v>
      </c>
      <c r="M504" s="3" t="n">
        <f aca="false">'1. Raw Data'!M503</f>
        <v>6</v>
      </c>
      <c r="N504" s="3" t="str">
        <f aca="false">'1. Raw Data'!N503</f>
        <v>Yes</v>
      </c>
    </row>
    <row r="505" customFormat="false" ht="15" hidden="false" customHeight="false" outlineLevel="0" collapsed="false">
      <c r="A505" s="3" t="str">
        <f aca="false">'1. Raw Data'!A504</f>
        <v>EMP-0503</v>
      </c>
      <c r="B505" s="3" t="n">
        <f aca="false">'1. Raw Data'!B504</f>
        <v>29</v>
      </c>
      <c r="C505" s="3" t="str">
        <f aca="false">'1. Raw Data'!C504</f>
        <v>Finance</v>
      </c>
      <c r="D505" s="3" t="str">
        <f aca="false">'1. Raw Data'!D504</f>
        <v>Mid</v>
      </c>
      <c r="E505" s="3" t="str">
        <f aca="false">'1. Raw Data'!E504</f>
        <v>Business</v>
      </c>
      <c r="F505" s="3" t="n">
        <f aca="false">'1. Raw Data'!F504</f>
        <v>0.7</v>
      </c>
      <c r="G505" s="3" t="n">
        <f aca="false">IF('1. Raw Data'!G504="",ROUND(IFERROR(AVERAGEIFS('1. Raw Data'!G2:G1201,'1. Raw Data'!C2:C1201,'1. Raw Data'!C504,'1. Raw Data'!D2:D1201,'1. Raw Data'!D504),0),2),'1. Raw Data'!G504)</f>
        <v>4445.08</v>
      </c>
      <c r="H505" s="3" t="str">
        <f aca="false">PROPER('1. Raw Data'!H504)</f>
        <v>No</v>
      </c>
      <c r="I505" s="3" t="n">
        <f aca="false">'1. Raw Data'!I504</f>
        <v>2</v>
      </c>
      <c r="J505" s="3" t="n">
        <f aca="false">'1. Raw Data'!J504</f>
        <v>2</v>
      </c>
      <c r="K505" s="3" t="n">
        <f aca="false">'1. Raw Data'!K504</f>
        <v>2</v>
      </c>
      <c r="L505" s="3" t="n">
        <f aca="false">'1. Raw Data'!L504</f>
        <v>0</v>
      </c>
      <c r="M505" s="3" t="n">
        <f aca="false">'1. Raw Data'!M504</f>
        <v>1</v>
      </c>
      <c r="N505" s="3" t="str">
        <f aca="false">'1. Raw Data'!N504</f>
        <v>No</v>
      </c>
    </row>
    <row r="506" customFormat="false" ht="15" hidden="false" customHeight="false" outlineLevel="0" collapsed="false">
      <c r="A506" s="3" t="str">
        <f aca="false">'1. Raw Data'!A505</f>
        <v>EMP-0504</v>
      </c>
      <c r="B506" s="3" t="n">
        <f aca="false">'1. Raw Data'!B505</f>
        <v>29</v>
      </c>
      <c r="C506" s="3" t="str">
        <f aca="false">'1. Raw Data'!C505</f>
        <v>Customer Support</v>
      </c>
      <c r="D506" s="3" t="str">
        <f aca="false">'1. Raw Data'!D505</f>
        <v>Senior</v>
      </c>
      <c r="E506" s="3" t="str">
        <f aca="false">'1. Raw Data'!E505</f>
        <v>Other</v>
      </c>
      <c r="F506" s="3" t="n">
        <f aca="false">'1. Raw Data'!F505</f>
        <v>1.5</v>
      </c>
      <c r="G506" s="3" t="n">
        <f aca="false">IF('1. Raw Data'!G505="",ROUND(IFERROR(AVERAGEIFS('1. Raw Data'!G2:G1201,'1. Raw Data'!C2:C1201,'1. Raw Data'!C505,'1. Raw Data'!D2:D1201,'1. Raw Data'!D505),0),2),'1. Raw Data'!G505)</f>
        <v>8584.7</v>
      </c>
      <c r="H506" s="3" t="str">
        <f aca="false">PROPER('1. Raw Data'!H505)</f>
        <v>No</v>
      </c>
      <c r="I506" s="3" t="n">
        <f aca="false">'1. Raw Data'!I505</f>
        <v>2</v>
      </c>
      <c r="J506" s="3" t="n">
        <f aca="false">'1. Raw Data'!J505</f>
        <v>2</v>
      </c>
      <c r="K506" s="3" t="n">
        <f aca="false">'1. Raw Data'!K505</f>
        <v>15</v>
      </c>
      <c r="L506" s="3" t="n">
        <f aca="false">'1. Raw Data'!L505</f>
        <v>0</v>
      </c>
      <c r="M506" s="3" t="n">
        <f aca="false">'1. Raw Data'!M505</f>
        <v>0</v>
      </c>
      <c r="N506" s="3" t="str">
        <f aca="false">'1. Raw Data'!N505</f>
        <v>No</v>
      </c>
    </row>
    <row r="507" customFormat="false" ht="15" hidden="false" customHeight="false" outlineLevel="0" collapsed="false">
      <c r="A507" s="3" t="str">
        <f aca="false">'1. Raw Data'!A506</f>
        <v>EMP-0505</v>
      </c>
      <c r="B507" s="3" t="n">
        <f aca="false">'1. Raw Data'!B506</f>
        <v>27</v>
      </c>
      <c r="C507" s="3" t="str">
        <f aca="false">'1. Raw Data'!C506</f>
        <v>Sales</v>
      </c>
      <c r="D507" s="3" t="str">
        <f aca="false">'1. Raw Data'!D506</f>
        <v>Junior</v>
      </c>
      <c r="E507" s="3" t="str">
        <f aca="false">'1. Raw Data'!E506</f>
        <v>Business</v>
      </c>
      <c r="F507" s="3" t="n">
        <f aca="false">'1. Raw Data'!F506</f>
        <v>4.3</v>
      </c>
      <c r="G507" s="3" t="n">
        <f aca="false">IF('1. Raw Data'!G506="",ROUND(IFERROR(AVERAGEIFS('1. Raw Data'!G2:G1201,'1. Raw Data'!C2:C1201,'1. Raw Data'!C506,'1. Raw Data'!D2:D1201,'1. Raw Data'!D506),0),2),'1. Raw Data'!G506)</f>
        <v>3378.05</v>
      </c>
      <c r="H507" s="3" t="str">
        <f aca="false">PROPER('1. Raw Data'!H506)</f>
        <v>Yes</v>
      </c>
      <c r="I507" s="3" t="n">
        <f aca="false">'1. Raw Data'!I506</f>
        <v>4</v>
      </c>
      <c r="J507" s="3" t="n">
        <f aca="false">'1. Raw Data'!J506</f>
        <v>2</v>
      </c>
      <c r="K507" s="3" t="n">
        <f aca="false">'1. Raw Data'!K506</f>
        <v>9</v>
      </c>
      <c r="L507" s="3" t="n">
        <f aca="false">'1. Raw Data'!L506</f>
        <v>2</v>
      </c>
      <c r="M507" s="3" t="n">
        <f aca="false">'1. Raw Data'!M506</f>
        <v>2</v>
      </c>
      <c r="N507" s="3" t="str">
        <f aca="false">'1. Raw Data'!N506</f>
        <v>No</v>
      </c>
    </row>
    <row r="508" customFormat="false" ht="15" hidden="false" customHeight="false" outlineLevel="0" collapsed="false">
      <c r="A508" s="3" t="str">
        <f aca="false">'1. Raw Data'!A507</f>
        <v>EMP-0506</v>
      </c>
      <c r="B508" s="3" t="n">
        <f aca="false">'1. Raw Data'!B507</f>
        <v>41</v>
      </c>
      <c r="C508" s="3" t="str">
        <f aca="false">'1. Raw Data'!C507</f>
        <v>Sales</v>
      </c>
      <c r="D508" s="3" t="str">
        <f aca="false">'1. Raw Data'!D507</f>
        <v>Junior</v>
      </c>
      <c r="E508" s="3" t="str">
        <f aca="false">'1. Raw Data'!E507</f>
        <v>Other</v>
      </c>
      <c r="F508" s="3" t="n">
        <f aca="false">'1. Raw Data'!F507</f>
        <v>7.6</v>
      </c>
      <c r="G508" s="3" t="n">
        <f aca="false">IF('1. Raw Data'!G507="",ROUND(IFERROR(AVERAGEIFS('1. Raw Data'!G2:G1201,'1. Raw Data'!C2:C1201,'1. Raw Data'!C507,'1. Raw Data'!D2:D1201,'1. Raw Data'!D507),0),2),'1. Raw Data'!G507)</f>
        <v>2943.14</v>
      </c>
      <c r="H508" s="3" t="str">
        <f aca="false">PROPER('1. Raw Data'!H507)</f>
        <v>No</v>
      </c>
      <c r="I508" s="3" t="n">
        <f aca="false">'1. Raw Data'!I507</f>
        <v>4</v>
      </c>
      <c r="J508" s="3" t="n">
        <f aca="false">'1. Raw Data'!J507</f>
        <v>2</v>
      </c>
      <c r="K508" s="3" t="n">
        <f aca="false">'1. Raw Data'!K507</f>
        <v>2</v>
      </c>
      <c r="L508" s="3" t="n">
        <f aca="false">'1. Raw Data'!L507</f>
        <v>0</v>
      </c>
      <c r="M508" s="3" t="n">
        <f aca="false">'1. Raw Data'!M507</f>
        <v>4</v>
      </c>
      <c r="N508" s="3" t="str">
        <f aca="false">'1. Raw Data'!N507</f>
        <v>Yes</v>
      </c>
    </row>
    <row r="509" customFormat="false" ht="15" hidden="false" customHeight="false" outlineLevel="0" collapsed="false">
      <c r="A509" s="3" t="str">
        <f aca="false">'1. Raw Data'!A508</f>
        <v>EMP-0507</v>
      </c>
      <c r="B509" s="3" t="n">
        <f aca="false">'1. Raw Data'!B508</f>
        <v>34</v>
      </c>
      <c r="C509" s="3" t="str">
        <f aca="false">'1. Raw Data'!C508</f>
        <v>Customer Support</v>
      </c>
      <c r="D509" s="3" t="str">
        <f aca="false">'1. Raw Data'!D508</f>
        <v>Senior</v>
      </c>
      <c r="E509" s="3" t="str">
        <f aca="false">'1. Raw Data'!E508</f>
        <v>Marketing</v>
      </c>
      <c r="F509" s="3" t="n">
        <f aca="false">'1. Raw Data'!F508</f>
        <v>5.3</v>
      </c>
      <c r="G509" s="3" t="n">
        <f aca="false">IF('1. Raw Data'!G508="",ROUND(IFERROR(AVERAGEIFS('1. Raw Data'!G2:G1201,'1. Raw Data'!C2:C1201,'1. Raw Data'!C508,'1. Raw Data'!D2:D1201,'1. Raw Data'!D508),0),2),'1. Raw Data'!G508)</f>
        <v>7543.73</v>
      </c>
      <c r="H509" s="3" t="str">
        <f aca="false">PROPER('1. Raw Data'!H508)</f>
        <v>No</v>
      </c>
      <c r="I509" s="3" t="n">
        <f aca="false">'1. Raw Data'!I508</f>
        <v>3</v>
      </c>
      <c r="J509" s="3" t="n">
        <f aca="false">'1. Raw Data'!J508</f>
        <v>3</v>
      </c>
      <c r="K509" s="3" t="n">
        <f aca="false">'1. Raw Data'!K508</f>
        <v>6</v>
      </c>
      <c r="L509" s="3" t="n">
        <f aca="false">'1. Raw Data'!L508</f>
        <v>0</v>
      </c>
      <c r="M509" s="3" t="n">
        <f aca="false">'1. Raw Data'!M508</f>
        <v>3</v>
      </c>
      <c r="N509" s="3" t="str">
        <f aca="false">'1. Raw Data'!N508</f>
        <v>No</v>
      </c>
    </row>
    <row r="510" customFormat="false" ht="15" hidden="false" customHeight="false" outlineLevel="0" collapsed="false">
      <c r="A510" s="3" t="str">
        <f aca="false">'1. Raw Data'!A509</f>
        <v>EMP-0508</v>
      </c>
      <c r="B510" s="3" t="n">
        <f aca="false">'1. Raw Data'!B509</f>
        <v>34</v>
      </c>
      <c r="C510" s="3" t="str">
        <f aca="false">'1. Raw Data'!C509</f>
        <v>Engineering</v>
      </c>
      <c r="D510" s="3" t="str">
        <f aca="false">'1. Raw Data'!D509</f>
        <v>Lead</v>
      </c>
      <c r="E510" s="3" t="str">
        <f aca="false">'1. Raw Data'!E509</f>
        <v>Business</v>
      </c>
      <c r="F510" s="3" t="n">
        <f aca="false">'1. Raw Data'!F509</f>
        <v>0.3</v>
      </c>
      <c r="G510" s="3" t="n">
        <f aca="false">IF('1. Raw Data'!G509="",ROUND(IFERROR(AVERAGEIFS('1. Raw Data'!G2:G1201,'1. Raw Data'!C2:C1201,'1. Raw Data'!C509,'1. Raw Data'!D2:D1201,'1. Raw Data'!D509),0),2),'1. Raw Data'!G509)</f>
        <v>8641.36</v>
      </c>
      <c r="H510" s="3" t="str">
        <f aca="false">PROPER('1. Raw Data'!H509)</f>
        <v>No</v>
      </c>
      <c r="I510" s="3" t="n">
        <f aca="false">'1. Raw Data'!I509</f>
        <v>3</v>
      </c>
      <c r="J510" s="3" t="n">
        <f aca="false">'1. Raw Data'!J509</f>
        <v>2</v>
      </c>
      <c r="K510" s="3" t="n">
        <f aca="false">'1. Raw Data'!K509</f>
        <v>7</v>
      </c>
      <c r="L510" s="3" t="n">
        <f aca="false">'1. Raw Data'!L509</f>
        <v>0</v>
      </c>
      <c r="M510" s="3" t="n">
        <f aca="false">'1. Raw Data'!M509</f>
        <v>3</v>
      </c>
      <c r="N510" s="3" t="str">
        <f aca="false">'1. Raw Data'!N509</f>
        <v>No</v>
      </c>
    </row>
    <row r="511" customFormat="false" ht="15" hidden="false" customHeight="false" outlineLevel="0" collapsed="false">
      <c r="A511" s="3" t="str">
        <f aca="false">'1. Raw Data'!A510</f>
        <v>EMP-0509</v>
      </c>
      <c r="B511" s="3" t="n">
        <f aca="false">'1. Raw Data'!B510</f>
        <v>43</v>
      </c>
      <c r="C511" s="3" t="str">
        <f aca="false">'1. Raw Data'!C510</f>
        <v>Sales</v>
      </c>
      <c r="D511" s="3" t="str">
        <f aca="false">'1. Raw Data'!D510</f>
        <v>Mid</v>
      </c>
      <c r="E511" s="3" t="str">
        <f aca="false">'1. Raw Data'!E510</f>
        <v>Business</v>
      </c>
      <c r="F511" s="3" t="n">
        <f aca="false">'1. Raw Data'!F510</f>
        <v>1.6</v>
      </c>
      <c r="G511" s="3" t="n">
        <f aca="false">IF('1. Raw Data'!G510="",ROUND(IFERROR(AVERAGEIFS('1. Raw Data'!G2:G1201,'1. Raw Data'!C2:C1201,'1. Raw Data'!C510,'1. Raw Data'!D2:D1201,'1. Raw Data'!D510),0),2),'1. Raw Data'!G510)</f>
        <v>4261.49</v>
      </c>
      <c r="H511" s="3" t="str">
        <f aca="false">PROPER('1. Raw Data'!H510)</f>
        <v>No</v>
      </c>
      <c r="I511" s="3" t="n">
        <f aca="false">'1. Raw Data'!I510</f>
        <v>3</v>
      </c>
      <c r="J511" s="3" t="n">
        <f aca="false">'1. Raw Data'!J510</f>
        <v>3</v>
      </c>
      <c r="K511" s="3" t="n">
        <f aca="false">'1. Raw Data'!K510</f>
        <v>1</v>
      </c>
      <c r="L511" s="3" t="n">
        <f aca="false">'1. Raw Data'!L510</f>
        <v>1</v>
      </c>
      <c r="M511" s="3" t="n">
        <f aca="false">'1. Raw Data'!M510</f>
        <v>6</v>
      </c>
      <c r="N511" s="3" t="str">
        <f aca="false">'1. Raw Data'!N510</f>
        <v>No</v>
      </c>
    </row>
    <row r="512" customFormat="false" ht="15" hidden="false" customHeight="false" outlineLevel="0" collapsed="false">
      <c r="A512" s="3" t="str">
        <f aca="false">'1. Raw Data'!A511</f>
        <v>EMP-0510</v>
      </c>
      <c r="B512" s="3" t="n">
        <f aca="false">'1. Raw Data'!B511</f>
        <v>45</v>
      </c>
      <c r="C512" s="3" t="str">
        <f aca="false">'1. Raw Data'!C511</f>
        <v>Sales</v>
      </c>
      <c r="D512" s="3" t="str">
        <f aca="false">'1. Raw Data'!D511</f>
        <v>Junior</v>
      </c>
      <c r="E512" s="3" t="str">
        <f aca="false">'1. Raw Data'!E511</f>
        <v>Marketing</v>
      </c>
      <c r="F512" s="3" t="n">
        <f aca="false">'1. Raw Data'!F511</f>
        <v>2.5</v>
      </c>
      <c r="G512" s="3" t="n">
        <f aca="false">IF('1. Raw Data'!G511="",ROUND(IFERROR(AVERAGEIFS('1. Raw Data'!G2:G1201,'1. Raw Data'!C2:C1201,'1. Raw Data'!C511,'1. Raw Data'!D2:D1201,'1. Raw Data'!D511),0),2),'1. Raw Data'!G511)</f>
        <v>3339.06</v>
      </c>
      <c r="H512" s="3" t="str">
        <f aca="false">PROPER('1. Raw Data'!H511)</f>
        <v>Yes</v>
      </c>
      <c r="I512" s="3" t="n">
        <f aca="false">'1. Raw Data'!I511</f>
        <v>4</v>
      </c>
      <c r="J512" s="3" t="n">
        <f aca="false">'1. Raw Data'!J511</f>
        <v>3</v>
      </c>
      <c r="K512" s="3" t="n">
        <f aca="false">'1. Raw Data'!K511</f>
        <v>6</v>
      </c>
      <c r="L512" s="3" t="n">
        <f aca="false">'1. Raw Data'!L511</f>
        <v>0</v>
      </c>
      <c r="M512" s="3" t="n">
        <f aca="false">'1. Raw Data'!M511</f>
        <v>3</v>
      </c>
      <c r="N512" s="3" t="str">
        <f aca="false">'1. Raw Data'!N511</f>
        <v>Yes</v>
      </c>
    </row>
    <row r="513" customFormat="false" ht="15" hidden="false" customHeight="false" outlineLevel="0" collapsed="false">
      <c r="A513" s="3" t="str">
        <f aca="false">'1. Raw Data'!A512</f>
        <v>EMP-0511</v>
      </c>
      <c r="B513" s="3" t="n">
        <f aca="false">'1. Raw Data'!B512</f>
        <v>35</v>
      </c>
      <c r="C513" s="3" t="str">
        <f aca="false">'1. Raw Data'!C512</f>
        <v>Finance</v>
      </c>
      <c r="D513" s="3" t="str">
        <f aca="false">'1. Raw Data'!D512</f>
        <v>Junior</v>
      </c>
      <c r="E513" s="3" t="str">
        <f aca="false">'1. Raw Data'!E512</f>
        <v>Other</v>
      </c>
      <c r="F513" s="3" t="n">
        <f aca="false">'1. Raw Data'!F512</f>
        <v>0.4</v>
      </c>
      <c r="G513" s="3" t="n">
        <f aca="false">IF('1. Raw Data'!G512="",ROUND(IFERROR(AVERAGEIFS('1. Raw Data'!G2:G1201,'1. Raw Data'!C2:C1201,'1. Raw Data'!C512,'1. Raw Data'!D2:D1201,'1. Raw Data'!D512),0),2),'1. Raw Data'!G512)</f>
        <v>3229.37</v>
      </c>
      <c r="H513" s="3" t="str">
        <f aca="false">PROPER('1. Raw Data'!H512)</f>
        <v>Yes</v>
      </c>
      <c r="I513" s="3" t="n">
        <f aca="false">'1. Raw Data'!I512</f>
        <v>4</v>
      </c>
      <c r="J513" s="3" t="n">
        <f aca="false">'1. Raw Data'!J512</f>
        <v>3</v>
      </c>
      <c r="K513" s="3" t="n">
        <f aca="false">'1. Raw Data'!K512</f>
        <v>1</v>
      </c>
      <c r="L513" s="3" t="n">
        <f aca="false">'1. Raw Data'!L512</f>
        <v>0</v>
      </c>
      <c r="M513" s="3" t="n">
        <f aca="false">'1. Raw Data'!M512</f>
        <v>2</v>
      </c>
      <c r="N513" s="3" t="str">
        <f aca="false">'1. Raw Data'!N512</f>
        <v>Yes</v>
      </c>
    </row>
    <row r="514" customFormat="false" ht="15" hidden="false" customHeight="false" outlineLevel="0" collapsed="false">
      <c r="A514" s="3" t="str">
        <f aca="false">'1. Raw Data'!A513</f>
        <v>EMP-0512</v>
      </c>
      <c r="B514" s="3" t="n">
        <f aca="false">'1. Raw Data'!B513</f>
        <v>42</v>
      </c>
      <c r="C514" s="3" t="str">
        <f aca="false">'1. Raw Data'!C513</f>
        <v>Customer Support</v>
      </c>
      <c r="D514" s="3" t="str">
        <f aca="false">'1. Raw Data'!D513</f>
        <v>Senior</v>
      </c>
      <c r="E514" s="3" t="str">
        <f aca="false">'1. Raw Data'!E513</f>
        <v>Business</v>
      </c>
      <c r="F514" s="3" t="n">
        <f aca="false">'1. Raw Data'!F513</f>
        <v>4.5</v>
      </c>
      <c r="G514" s="3" t="n">
        <f aca="false">IF('1. Raw Data'!G513="",ROUND(IFERROR(AVERAGEIFS('1. Raw Data'!G2:G1201,'1. Raw Data'!C2:C1201,'1. Raw Data'!C513,'1. Raw Data'!D2:D1201,'1. Raw Data'!D513),0),2),'1. Raw Data'!G513)</f>
        <v>7206.17</v>
      </c>
      <c r="H514" s="3" t="str">
        <f aca="false">PROPER('1. Raw Data'!H513)</f>
        <v>No</v>
      </c>
      <c r="I514" s="3" t="n">
        <f aca="false">'1. Raw Data'!I513</f>
        <v>1</v>
      </c>
      <c r="J514" s="3" t="n">
        <f aca="false">'1. Raw Data'!J513</f>
        <v>2</v>
      </c>
      <c r="K514" s="3" t="n">
        <f aca="false">'1. Raw Data'!K513</f>
        <v>4</v>
      </c>
      <c r="L514" s="3" t="n">
        <f aca="false">'1. Raw Data'!L513</f>
        <v>4</v>
      </c>
      <c r="M514" s="3" t="n">
        <f aca="false">'1. Raw Data'!M513</f>
        <v>0</v>
      </c>
      <c r="N514" s="3" t="str">
        <f aca="false">'1. Raw Data'!N513</f>
        <v>No</v>
      </c>
    </row>
    <row r="515" customFormat="false" ht="15" hidden="false" customHeight="false" outlineLevel="0" collapsed="false">
      <c r="A515" s="3" t="str">
        <f aca="false">'1. Raw Data'!A514</f>
        <v>EMP-0513</v>
      </c>
      <c r="B515" s="3" t="n">
        <f aca="false">'1. Raw Data'!B514</f>
        <v>56</v>
      </c>
      <c r="C515" s="3" t="str">
        <f aca="false">'1. Raw Data'!C514</f>
        <v>Sales</v>
      </c>
      <c r="D515" s="3" t="str">
        <f aca="false">'1. Raw Data'!D514</f>
        <v>Mid</v>
      </c>
      <c r="E515" s="3" t="str">
        <f aca="false">'1. Raw Data'!E514</f>
        <v>Technical</v>
      </c>
      <c r="F515" s="3" t="n">
        <f aca="false">'1. Raw Data'!F514</f>
        <v>2</v>
      </c>
      <c r="G515" s="3" t="n">
        <f aca="false">IF('1. Raw Data'!G514="",ROUND(IFERROR(AVERAGEIFS('1. Raw Data'!G2:G1201,'1. Raw Data'!C2:C1201,'1. Raw Data'!C514,'1. Raw Data'!D2:D1201,'1. Raw Data'!D514),0),2),'1. Raw Data'!G514)</f>
        <v>4318.5</v>
      </c>
      <c r="H515" s="3" t="str">
        <f aca="false">PROPER('1. Raw Data'!H514)</f>
        <v>No</v>
      </c>
      <c r="I515" s="3" t="n">
        <f aca="false">'1. Raw Data'!I514</f>
        <v>4</v>
      </c>
      <c r="J515" s="3" t="n">
        <f aca="false">'1. Raw Data'!J514</f>
        <v>3</v>
      </c>
      <c r="K515" s="3" t="n">
        <f aca="false">'1. Raw Data'!K514</f>
        <v>19</v>
      </c>
      <c r="L515" s="3" t="n">
        <f aca="false">'1. Raw Data'!L514</f>
        <v>0</v>
      </c>
      <c r="M515" s="3" t="n">
        <f aca="false">'1. Raw Data'!M514</f>
        <v>1</v>
      </c>
      <c r="N515" s="3" t="str">
        <f aca="false">'1. Raw Data'!N514</f>
        <v>No</v>
      </c>
    </row>
    <row r="516" customFormat="false" ht="15" hidden="false" customHeight="false" outlineLevel="0" collapsed="false">
      <c r="A516" s="3" t="str">
        <f aca="false">'1. Raw Data'!A515</f>
        <v>EMP-0514</v>
      </c>
      <c r="B516" s="3" t="n">
        <f aca="false">'1. Raw Data'!B515</f>
        <v>43</v>
      </c>
      <c r="C516" s="3" t="str">
        <f aca="false">'1. Raw Data'!C515</f>
        <v>Engineering</v>
      </c>
      <c r="D516" s="3" t="str">
        <f aca="false">'1. Raw Data'!D515</f>
        <v>Senior</v>
      </c>
      <c r="E516" s="3" t="str">
        <f aca="false">'1. Raw Data'!E515</f>
        <v>Marketing</v>
      </c>
      <c r="F516" s="3" t="n">
        <f aca="false">'1. Raw Data'!F515</f>
        <v>0.4</v>
      </c>
      <c r="G516" s="3" t="n">
        <f aca="false">IF('1. Raw Data'!G515="",ROUND(IFERROR(AVERAGEIFS('1. Raw Data'!G2:G1201,'1. Raw Data'!C2:C1201,'1. Raw Data'!C515,'1. Raw Data'!D2:D1201,'1. Raw Data'!D515),0),2),'1. Raw Data'!G515)</f>
        <v>8459.29</v>
      </c>
      <c r="H516" s="3" t="str">
        <f aca="false">PROPER('1. Raw Data'!H515)</f>
        <v>No</v>
      </c>
      <c r="I516" s="3" t="n">
        <f aca="false">'1. Raw Data'!I515</f>
        <v>3</v>
      </c>
      <c r="J516" s="3" t="n">
        <f aca="false">'1. Raw Data'!J515</f>
        <v>3</v>
      </c>
      <c r="K516" s="3" t="n">
        <f aca="false">'1. Raw Data'!K515</f>
        <v>4</v>
      </c>
      <c r="L516" s="3" t="n">
        <f aca="false">'1. Raw Data'!L515</f>
        <v>0</v>
      </c>
      <c r="M516" s="3" t="n">
        <f aca="false">'1. Raw Data'!M515</f>
        <v>3</v>
      </c>
      <c r="N516" s="3" t="str">
        <f aca="false">'1. Raw Data'!N515</f>
        <v>No</v>
      </c>
    </row>
    <row r="517" customFormat="false" ht="15" hidden="false" customHeight="false" outlineLevel="0" collapsed="false">
      <c r="A517" s="3" t="str">
        <f aca="false">'1. Raw Data'!A516</f>
        <v>EMP-0515</v>
      </c>
      <c r="B517" s="3" t="n">
        <f aca="false">'1. Raw Data'!B516</f>
        <v>31</v>
      </c>
      <c r="C517" s="3" t="str">
        <f aca="false">'1. Raw Data'!C516</f>
        <v>Engineering</v>
      </c>
      <c r="D517" s="3" t="str">
        <f aca="false">'1. Raw Data'!D516</f>
        <v>Senior</v>
      </c>
      <c r="E517" s="3" t="str">
        <f aca="false">'1. Raw Data'!E516</f>
        <v>Technical</v>
      </c>
      <c r="F517" s="3" t="n">
        <f aca="false">'1. Raw Data'!F516</f>
        <v>0.9</v>
      </c>
      <c r="G517" s="3" t="n">
        <f aca="false">IF('1. Raw Data'!G516="",ROUND(IFERROR(AVERAGEIFS('1. Raw Data'!G2:G1201,'1. Raw Data'!C2:C1201,'1. Raw Data'!C516,'1. Raw Data'!D2:D1201,'1. Raw Data'!D516),0),2),'1. Raw Data'!G516)</f>
        <v>7483.57</v>
      </c>
      <c r="H517" s="3" t="str">
        <f aca="false">PROPER('1. Raw Data'!H516)</f>
        <v>No</v>
      </c>
      <c r="I517" s="3" t="n">
        <f aca="false">'1. Raw Data'!I516</f>
        <v>4</v>
      </c>
      <c r="J517" s="3" t="n">
        <f aca="false">'1. Raw Data'!J516</f>
        <v>4</v>
      </c>
      <c r="K517" s="3" t="n">
        <f aca="false">'1. Raw Data'!K516</f>
        <v>3</v>
      </c>
      <c r="L517" s="3" t="n">
        <f aca="false">'1. Raw Data'!L516</f>
        <v>0</v>
      </c>
      <c r="M517" s="3" t="n">
        <f aca="false">'1. Raw Data'!M516</f>
        <v>1</v>
      </c>
      <c r="N517" s="3" t="str">
        <f aca="false">'1. Raw Data'!N516</f>
        <v>No</v>
      </c>
    </row>
    <row r="518" customFormat="false" ht="15" hidden="false" customHeight="false" outlineLevel="0" collapsed="false">
      <c r="A518" s="3" t="str">
        <f aca="false">'1. Raw Data'!A517</f>
        <v>EMP-0516</v>
      </c>
      <c r="B518" s="3" t="n">
        <f aca="false">'1. Raw Data'!B517</f>
        <v>33</v>
      </c>
      <c r="C518" s="3" t="str">
        <f aca="false">'1. Raw Data'!C517</f>
        <v>Engineering</v>
      </c>
      <c r="D518" s="3" t="str">
        <f aca="false">'1. Raw Data'!D517</f>
        <v>Junior</v>
      </c>
      <c r="E518" s="3" t="str">
        <f aca="false">'1. Raw Data'!E517</f>
        <v>Marketing</v>
      </c>
      <c r="F518" s="3" t="n">
        <f aca="false">'1. Raw Data'!F517</f>
        <v>3.1</v>
      </c>
      <c r="G518" s="3" t="n">
        <f aca="false">IF('1. Raw Data'!G517="",ROUND(IFERROR(AVERAGEIFS('1. Raw Data'!G2:G1201,'1. Raw Data'!C2:C1201,'1. Raw Data'!C517,'1. Raw Data'!D2:D1201,'1. Raw Data'!D517),0),2),'1. Raw Data'!G517)</f>
        <v>2829.48</v>
      </c>
      <c r="H518" s="3" t="str">
        <f aca="false">PROPER('1. Raw Data'!H517)</f>
        <v>No</v>
      </c>
      <c r="I518" s="3" t="n">
        <f aca="false">'1. Raw Data'!I517</f>
        <v>1</v>
      </c>
      <c r="J518" s="3" t="n">
        <f aca="false">'1. Raw Data'!J517</f>
        <v>4</v>
      </c>
      <c r="K518" s="3" t="n">
        <f aca="false">'1. Raw Data'!K517</f>
        <v>14</v>
      </c>
      <c r="L518" s="3" t="n">
        <f aca="false">'1. Raw Data'!L517</f>
        <v>1</v>
      </c>
      <c r="M518" s="3" t="n">
        <f aca="false">'1. Raw Data'!M517</f>
        <v>3</v>
      </c>
      <c r="N518" s="3" t="str">
        <f aca="false">'1. Raw Data'!N517</f>
        <v>No</v>
      </c>
    </row>
    <row r="519" customFormat="false" ht="15" hidden="false" customHeight="false" outlineLevel="0" collapsed="false">
      <c r="A519" s="3" t="str">
        <f aca="false">'1. Raw Data'!A518</f>
        <v>EMP-0517</v>
      </c>
      <c r="B519" s="3" t="n">
        <f aca="false">'1. Raw Data'!B518</f>
        <v>36</v>
      </c>
      <c r="C519" s="3" t="str">
        <f aca="false">'1. Raw Data'!C518</f>
        <v>Customer Support</v>
      </c>
      <c r="D519" s="3" t="str">
        <f aca="false">'1. Raw Data'!D518</f>
        <v>Senior</v>
      </c>
      <c r="E519" s="3" t="str">
        <f aca="false">'1. Raw Data'!E518</f>
        <v>Marketing</v>
      </c>
      <c r="F519" s="3" t="n">
        <f aca="false">'1. Raw Data'!F518</f>
        <v>2.6</v>
      </c>
      <c r="G519" s="3" t="n">
        <f aca="false">IF('1. Raw Data'!G518="",ROUND(IFERROR(AVERAGEIFS('1. Raw Data'!G2:G1201,'1. Raw Data'!C2:C1201,'1. Raw Data'!C518,'1. Raw Data'!D2:D1201,'1. Raw Data'!D518),0),2),'1. Raw Data'!G518)</f>
        <v>6138.86</v>
      </c>
      <c r="H519" s="3" t="str">
        <f aca="false">PROPER('1. Raw Data'!H518)</f>
        <v>Yes</v>
      </c>
      <c r="I519" s="3" t="n">
        <f aca="false">'1. Raw Data'!I518</f>
        <v>3</v>
      </c>
      <c r="J519" s="3" t="n">
        <f aca="false">'1. Raw Data'!J518</f>
        <v>4</v>
      </c>
      <c r="K519" s="3" t="n">
        <f aca="false">'1. Raw Data'!K518</f>
        <v>7</v>
      </c>
      <c r="L519" s="3" t="n">
        <f aca="false">'1. Raw Data'!L518</f>
        <v>2</v>
      </c>
      <c r="M519" s="3" t="n">
        <f aca="false">'1. Raw Data'!M518</f>
        <v>4</v>
      </c>
      <c r="N519" s="3" t="str">
        <f aca="false">'1. Raw Data'!N518</f>
        <v>No</v>
      </c>
    </row>
    <row r="520" customFormat="false" ht="15" hidden="false" customHeight="false" outlineLevel="0" collapsed="false">
      <c r="A520" s="3" t="str">
        <f aca="false">'1. Raw Data'!A519</f>
        <v>EMP-0518</v>
      </c>
      <c r="B520" s="3" t="n">
        <f aca="false">'1. Raw Data'!B519</f>
        <v>33</v>
      </c>
      <c r="C520" s="3" t="str">
        <f aca="false">'1. Raw Data'!C519</f>
        <v>Engineering</v>
      </c>
      <c r="D520" s="3" t="str">
        <f aca="false">'1. Raw Data'!D519</f>
        <v>Mid</v>
      </c>
      <c r="E520" s="3" t="str">
        <f aca="false">'1. Raw Data'!E519</f>
        <v>Marketing</v>
      </c>
      <c r="F520" s="3" t="n">
        <f aca="false">'1. Raw Data'!F519</f>
        <v>3.5</v>
      </c>
      <c r="G520" s="3" t="n">
        <f aca="false">IF('1. Raw Data'!G519="",ROUND(IFERROR(AVERAGEIFS('1. Raw Data'!G2:G1201,'1. Raw Data'!C2:C1201,'1. Raw Data'!C519,'1. Raw Data'!D2:D1201,'1. Raw Data'!D519),0),2),'1. Raw Data'!G519)</f>
        <v>5542.26</v>
      </c>
      <c r="H520" s="3" t="str">
        <f aca="false">PROPER('1. Raw Data'!H519)</f>
        <v>No</v>
      </c>
      <c r="I520" s="3" t="n">
        <f aca="false">'1. Raw Data'!I519</f>
        <v>3</v>
      </c>
      <c r="J520" s="3" t="n">
        <f aca="false">'1. Raw Data'!J519</f>
        <v>1</v>
      </c>
      <c r="K520" s="3" t="n">
        <f aca="false">'1. Raw Data'!K519</f>
        <v>4</v>
      </c>
      <c r="L520" s="3" t="n">
        <f aca="false">'1. Raw Data'!L519</f>
        <v>3</v>
      </c>
      <c r="M520" s="3" t="n">
        <f aca="false">'1. Raw Data'!M519</f>
        <v>3</v>
      </c>
      <c r="N520" s="3" t="str">
        <f aca="false">'1. Raw Data'!N519</f>
        <v>No</v>
      </c>
    </row>
    <row r="521" customFormat="false" ht="15" hidden="false" customHeight="false" outlineLevel="0" collapsed="false">
      <c r="A521" s="3" t="str">
        <f aca="false">'1. Raw Data'!A520</f>
        <v>EMP-0519</v>
      </c>
      <c r="B521" s="3" t="n">
        <f aca="false">'1. Raw Data'!B520</f>
        <v>42</v>
      </c>
      <c r="C521" s="3" t="str">
        <f aca="false">'1. Raw Data'!C520</f>
        <v>Customer Support</v>
      </c>
      <c r="D521" s="3" t="str">
        <f aca="false">'1. Raw Data'!D520</f>
        <v>Junior</v>
      </c>
      <c r="E521" s="3" t="str">
        <f aca="false">'1. Raw Data'!E520</f>
        <v>Marketing</v>
      </c>
      <c r="F521" s="3" t="n">
        <f aca="false">'1. Raw Data'!F520</f>
        <v>5.2</v>
      </c>
      <c r="G521" s="3" t="n">
        <f aca="false">IF('1. Raw Data'!G520="",ROUND(IFERROR(AVERAGEIFS('1. Raw Data'!G2:G1201,'1. Raw Data'!C2:C1201,'1. Raw Data'!C520,'1. Raw Data'!D2:D1201,'1. Raw Data'!D520),0),2),'1. Raw Data'!G520)</f>
        <v>2923.82</v>
      </c>
      <c r="H521" s="3" t="str">
        <f aca="false">PROPER('1. Raw Data'!H520)</f>
        <v>Yes</v>
      </c>
      <c r="I521" s="3" t="n">
        <f aca="false">'1. Raw Data'!I520</f>
        <v>4</v>
      </c>
      <c r="J521" s="3" t="n">
        <f aca="false">'1. Raw Data'!J520</f>
        <v>3</v>
      </c>
      <c r="K521" s="3" t="n">
        <f aca="false">'1. Raw Data'!K520</f>
        <v>5</v>
      </c>
      <c r="L521" s="3" t="n">
        <f aca="false">'1. Raw Data'!L520</f>
        <v>2</v>
      </c>
      <c r="M521" s="3" t="n">
        <f aca="false">'1. Raw Data'!M520</f>
        <v>3</v>
      </c>
      <c r="N521" s="3" t="str">
        <f aca="false">'1. Raw Data'!N520</f>
        <v>No</v>
      </c>
    </row>
    <row r="522" customFormat="false" ht="15" hidden="false" customHeight="false" outlineLevel="0" collapsed="false">
      <c r="A522" s="3" t="str">
        <f aca="false">'1. Raw Data'!A521</f>
        <v>EMP-0520</v>
      </c>
      <c r="B522" s="3" t="n">
        <f aca="false">'1. Raw Data'!B521</f>
        <v>29</v>
      </c>
      <c r="C522" s="3" t="str">
        <f aca="false">'1. Raw Data'!C521</f>
        <v>Marketing</v>
      </c>
      <c r="D522" s="3" t="str">
        <f aca="false">'1. Raw Data'!D521</f>
        <v>Mid</v>
      </c>
      <c r="E522" s="3" t="str">
        <f aca="false">'1. Raw Data'!E521</f>
        <v>Business</v>
      </c>
      <c r="F522" s="3" t="n">
        <f aca="false">'1. Raw Data'!F521</f>
        <v>2.5</v>
      </c>
      <c r="G522" s="3" t="n">
        <f aca="false">IF('1. Raw Data'!G521="",ROUND(IFERROR(AVERAGEIFS('1. Raw Data'!G2:G1201,'1. Raw Data'!C2:C1201,'1. Raw Data'!C521,'1. Raw Data'!D2:D1201,'1. Raw Data'!D521),0),2),'1. Raw Data'!G521)</f>
        <v>4653.52</v>
      </c>
      <c r="H522" s="3" t="str">
        <f aca="false">PROPER('1. Raw Data'!H521)</f>
        <v>No</v>
      </c>
      <c r="I522" s="3" t="n">
        <f aca="false">'1. Raw Data'!I521</f>
        <v>1</v>
      </c>
      <c r="J522" s="3" t="n">
        <f aca="false">'1. Raw Data'!J521</f>
        <v>3</v>
      </c>
      <c r="K522" s="3" t="n">
        <f aca="false">'1. Raw Data'!K521</f>
        <v>5</v>
      </c>
      <c r="L522" s="3" t="n">
        <f aca="false">'1. Raw Data'!L521</f>
        <v>2</v>
      </c>
      <c r="M522" s="3" t="n">
        <f aca="false">'1. Raw Data'!M521</f>
        <v>2</v>
      </c>
      <c r="N522" s="3" t="str">
        <f aca="false">'1. Raw Data'!N521</f>
        <v>No</v>
      </c>
    </row>
    <row r="523" customFormat="false" ht="15" hidden="false" customHeight="false" outlineLevel="0" collapsed="false">
      <c r="A523" s="3" t="str">
        <f aca="false">'1. Raw Data'!A522</f>
        <v>EMP-0521</v>
      </c>
      <c r="B523" s="3" t="n">
        <f aca="false">'1. Raw Data'!B522</f>
        <v>31</v>
      </c>
      <c r="C523" s="3" t="str">
        <f aca="false">'1. Raw Data'!C522</f>
        <v>Engineering</v>
      </c>
      <c r="D523" s="3" t="str">
        <f aca="false">'1. Raw Data'!D522</f>
        <v>Junior</v>
      </c>
      <c r="E523" s="3" t="str">
        <f aca="false">'1. Raw Data'!E522</f>
        <v>Marketing</v>
      </c>
      <c r="F523" s="3" t="n">
        <f aca="false">'1. Raw Data'!F522</f>
        <v>7.1</v>
      </c>
      <c r="G523" s="3" t="n">
        <f aca="false">IF('1. Raw Data'!G522="",ROUND(IFERROR(AVERAGEIFS('1. Raw Data'!G2:G1201,'1. Raw Data'!C2:C1201,'1. Raw Data'!C522,'1. Raw Data'!D2:D1201,'1. Raw Data'!D522),0),2),'1. Raw Data'!G522)</f>
        <v>2738.43</v>
      </c>
      <c r="H523" s="3" t="str">
        <f aca="false">PROPER('1. Raw Data'!H522)</f>
        <v>No</v>
      </c>
      <c r="I523" s="3" t="n">
        <f aca="false">'1. Raw Data'!I522</f>
        <v>2</v>
      </c>
      <c r="J523" s="3" t="n">
        <f aca="false">'1. Raw Data'!J522</f>
        <v>2</v>
      </c>
      <c r="K523" s="3" t="n">
        <f aca="false">'1. Raw Data'!K522</f>
        <v>7</v>
      </c>
      <c r="L523" s="3" t="n">
        <f aca="false">'1. Raw Data'!L522</f>
        <v>3</v>
      </c>
      <c r="M523" s="3" t="n">
        <f aca="false">'1. Raw Data'!M522</f>
        <v>4</v>
      </c>
      <c r="N523" s="3" t="str">
        <f aca="false">'1. Raw Data'!N522</f>
        <v>No</v>
      </c>
    </row>
    <row r="524" customFormat="false" ht="15" hidden="false" customHeight="false" outlineLevel="0" collapsed="false">
      <c r="A524" s="3" t="str">
        <f aca="false">'1. Raw Data'!A523</f>
        <v>EMP-0522</v>
      </c>
      <c r="B524" s="3" t="n">
        <f aca="false">'1. Raw Data'!B523</f>
        <v>29</v>
      </c>
      <c r="C524" s="3" t="str">
        <f aca="false">'1. Raw Data'!C523</f>
        <v>Sales</v>
      </c>
      <c r="D524" s="3" t="str">
        <f aca="false">'1. Raw Data'!D523</f>
        <v>Lead</v>
      </c>
      <c r="E524" s="3" t="str">
        <f aca="false">'1. Raw Data'!E523</f>
        <v>Business</v>
      </c>
      <c r="F524" s="3" t="n">
        <f aca="false">'1. Raw Data'!F523</f>
        <v>4.2</v>
      </c>
      <c r="G524" s="3" t="n">
        <f aca="false">IF('1. Raw Data'!G523="",ROUND(IFERROR(AVERAGEIFS('1. Raw Data'!G2:G1201,'1. Raw Data'!C2:C1201,'1. Raw Data'!C523,'1. Raw Data'!D2:D1201,'1. Raw Data'!D523),0),2),'1. Raw Data'!G523)</f>
        <v>11212.57</v>
      </c>
      <c r="H524" s="3" t="str">
        <f aca="false">PROPER('1. Raw Data'!H523)</f>
        <v>Yes</v>
      </c>
      <c r="I524" s="3" t="n">
        <f aca="false">'1. Raw Data'!I523</f>
        <v>1</v>
      </c>
      <c r="J524" s="3" t="n">
        <f aca="false">'1. Raw Data'!J523</f>
        <v>1</v>
      </c>
      <c r="K524" s="3" t="n">
        <f aca="false">'1. Raw Data'!K523</f>
        <v>1</v>
      </c>
      <c r="L524" s="3" t="n">
        <f aca="false">'1. Raw Data'!L523</f>
        <v>0</v>
      </c>
      <c r="M524" s="3" t="n">
        <f aca="false">'1. Raw Data'!M523</f>
        <v>2</v>
      </c>
      <c r="N524" s="3" t="str">
        <f aca="false">'1. Raw Data'!N523</f>
        <v>No</v>
      </c>
    </row>
    <row r="525" customFormat="false" ht="15" hidden="false" customHeight="false" outlineLevel="0" collapsed="false">
      <c r="A525" s="3" t="str">
        <f aca="false">'1. Raw Data'!A524</f>
        <v>EMP-0523</v>
      </c>
      <c r="B525" s="3" t="n">
        <f aca="false">'1. Raw Data'!B524</f>
        <v>31</v>
      </c>
      <c r="C525" s="3" t="str">
        <f aca="false">'1. Raw Data'!C524</f>
        <v>Finance</v>
      </c>
      <c r="D525" s="3" t="str">
        <f aca="false">'1. Raw Data'!D524</f>
        <v>Junior</v>
      </c>
      <c r="E525" s="3" t="str">
        <f aca="false">'1. Raw Data'!E524</f>
        <v>Other</v>
      </c>
      <c r="F525" s="3" t="n">
        <f aca="false">'1. Raw Data'!F524</f>
        <v>0.6</v>
      </c>
      <c r="G525" s="3" t="n">
        <f aca="false">IF('1. Raw Data'!G524="",ROUND(IFERROR(AVERAGEIFS('1. Raw Data'!G2:G1201,'1. Raw Data'!C2:C1201,'1. Raw Data'!C524,'1. Raw Data'!D2:D1201,'1. Raw Data'!D524),0),2),'1. Raw Data'!G524)</f>
        <v>2755.07</v>
      </c>
      <c r="H525" s="3" t="str">
        <f aca="false">PROPER('1. Raw Data'!H524)</f>
        <v>No</v>
      </c>
      <c r="I525" s="3" t="n">
        <f aca="false">'1. Raw Data'!I524</f>
        <v>3</v>
      </c>
      <c r="J525" s="3" t="n">
        <f aca="false">'1. Raw Data'!J524</f>
        <v>3</v>
      </c>
      <c r="K525" s="3" t="n">
        <f aca="false">'1. Raw Data'!K524</f>
        <v>1</v>
      </c>
      <c r="L525" s="3" t="n">
        <f aca="false">'1. Raw Data'!L524</f>
        <v>0</v>
      </c>
      <c r="M525" s="3" t="n">
        <f aca="false">'1. Raw Data'!M524</f>
        <v>1</v>
      </c>
      <c r="N525" s="3" t="str">
        <f aca="false">'1. Raw Data'!N524</f>
        <v>No</v>
      </c>
    </row>
    <row r="526" customFormat="false" ht="15" hidden="false" customHeight="false" outlineLevel="0" collapsed="false">
      <c r="A526" s="3" t="str">
        <f aca="false">'1. Raw Data'!A525</f>
        <v>EMP-0524</v>
      </c>
      <c r="B526" s="3" t="n">
        <f aca="false">'1. Raw Data'!B525</f>
        <v>33</v>
      </c>
      <c r="C526" s="3" t="str">
        <f aca="false">'1. Raw Data'!C525</f>
        <v>Customer Support</v>
      </c>
      <c r="D526" s="3" t="str">
        <f aca="false">'1. Raw Data'!D525</f>
        <v>Junior</v>
      </c>
      <c r="E526" s="3" t="str">
        <f aca="false">'1. Raw Data'!E525</f>
        <v>Marketing</v>
      </c>
      <c r="F526" s="3" t="n">
        <f aca="false">'1. Raw Data'!F525</f>
        <v>0.4</v>
      </c>
      <c r="G526" s="3" t="n">
        <f aca="false">IF('1. Raw Data'!G525="",ROUND(IFERROR(AVERAGEIFS('1. Raw Data'!G2:G1201,'1. Raw Data'!C2:C1201,'1. Raw Data'!C525,'1. Raw Data'!D2:D1201,'1. Raw Data'!D525),0),2),'1. Raw Data'!G525)</f>
        <v>3335.06</v>
      </c>
      <c r="H526" s="3" t="str">
        <f aca="false">PROPER('1. Raw Data'!H525)</f>
        <v>Yes</v>
      </c>
      <c r="I526" s="3" t="n">
        <f aca="false">'1. Raw Data'!I525</f>
        <v>3</v>
      </c>
      <c r="J526" s="3" t="n">
        <f aca="false">'1. Raw Data'!J525</f>
        <v>4</v>
      </c>
      <c r="K526" s="3" t="n">
        <f aca="false">'1. Raw Data'!K525</f>
        <v>3</v>
      </c>
      <c r="L526" s="3" t="n">
        <f aca="false">'1. Raw Data'!L525</f>
        <v>0</v>
      </c>
      <c r="M526" s="3" t="n">
        <f aca="false">'1. Raw Data'!M525</f>
        <v>4</v>
      </c>
      <c r="N526" s="3" t="str">
        <f aca="false">'1. Raw Data'!N525</f>
        <v>Yes</v>
      </c>
    </row>
    <row r="527" customFormat="false" ht="15" hidden="false" customHeight="false" outlineLevel="0" collapsed="false">
      <c r="A527" s="3" t="str">
        <f aca="false">'1. Raw Data'!A526</f>
        <v>EMP-0525</v>
      </c>
      <c r="B527" s="3" t="n">
        <f aca="false">'1. Raw Data'!B526</f>
        <v>43</v>
      </c>
      <c r="C527" s="3" t="str">
        <f aca="false">'1. Raw Data'!C526</f>
        <v>Sales</v>
      </c>
      <c r="D527" s="3" t="str">
        <f aca="false">'1. Raw Data'!D526</f>
        <v>Junior</v>
      </c>
      <c r="E527" s="3" t="str">
        <f aca="false">'1. Raw Data'!E526</f>
        <v>Other</v>
      </c>
      <c r="F527" s="3" t="n">
        <f aca="false">'1. Raw Data'!F526</f>
        <v>6.4</v>
      </c>
      <c r="G527" s="3" t="n">
        <f aca="false">IF('1. Raw Data'!G526="",ROUND(IFERROR(AVERAGEIFS('1. Raw Data'!G2:G1201,'1. Raw Data'!C2:C1201,'1. Raw Data'!C526,'1. Raw Data'!D2:D1201,'1. Raw Data'!D526),0),2),'1. Raw Data'!G526)</f>
        <v>3320.82</v>
      </c>
      <c r="H527" s="3" t="str">
        <f aca="false">PROPER('1. Raw Data'!H526)</f>
        <v>No</v>
      </c>
      <c r="I527" s="3" t="n">
        <f aca="false">'1. Raw Data'!I526</f>
        <v>4</v>
      </c>
      <c r="J527" s="3" t="n">
        <f aca="false">'1. Raw Data'!J526</f>
        <v>3</v>
      </c>
      <c r="K527" s="3" t="n">
        <f aca="false">'1. Raw Data'!K526</f>
        <v>20</v>
      </c>
      <c r="L527" s="3" t="n">
        <f aca="false">'1. Raw Data'!L526</f>
        <v>1</v>
      </c>
      <c r="M527" s="3" t="n">
        <f aca="false">'1. Raw Data'!M526</f>
        <v>5</v>
      </c>
      <c r="N527" s="3" t="str">
        <f aca="false">'1. Raw Data'!N526</f>
        <v>No</v>
      </c>
    </row>
    <row r="528" customFormat="false" ht="15" hidden="false" customHeight="false" outlineLevel="0" collapsed="false">
      <c r="A528" s="3" t="str">
        <f aca="false">'1. Raw Data'!A527</f>
        <v>EMP-0526</v>
      </c>
      <c r="B528" s="3" t="n">
        <f aca="false">'1. Raw Data'!B527</f>
        <v>30</v>
      </c>
      <c r="C528" s="3" t="str">
        <f aca="false">'1. Raw Data'!C527</f>
        <v>Customer Support</v>
      </c>
      <c r="D528" s="3" t="str">
        <f aca="false">'1. Raw Data'!D527</f>
        <v>Mid</v>
      </c>
      <c r="E528" s="3" t="str">
        <f aca="false">'1. Raw Data'!E527</f>
        <v>Other</v>
      </c>
      <c r="F528" s="3" t="n">
        <f aca="false">'1. Raw Data'!F527</f>
        <v>6.7</v>
      </c>
      <c r="G528" s="3" t="n">
        <f aca="false">IF('1. Raw Data'!G527="",ROUND(IFERROR(AVERAGEIFS('1. Raw Data'!G2:G1201,'1. Raw Data'!C2:C1201,'1. Raw Data'!C527,'1. Raw Data'!D2:D1201,'1. Raw Data'!D527),0),2),'1. Raw Data'!G527)</f>
        <v>4793.41</v>
      </c>
      <c r="H528" s="3" t="str">
        <f aca="false">PROPER('1. Raw Data'!H527)</f>
        <v>Yes</v>
      </c>
      <c r="I528" s="3" t="n">
        <f aca="false">'1. Raw Data'!I527</f>
        <v>4</v>
      </c>
      <c r="J528" s="3" t="n">
        <f aca="false">'1. Raw Data'!J527</f>
        <v>1</v>
      </c>
      <c r="K528" s="3" t="n">
        <f aca="false">'1. Raw Data'!K527</f>
        <v>5</v>
      </c>
      <c r="L528" s="3" t="n">
        <f aca="false">'1. Raw Data'!L527</f>
        <v>0</v>
      </c>
      <c r="M528" s="3" t="n">
        <f aca="false">'1. Raw Data'!M527</f>
        <v>5</v>
      </c>
      <c r="N528" s="3" t="str">
        <f aca="false">'1. Raw Data'!N527</f>
        <v>Yes</v>
      </c>
    </row>
    <row r="529" customFormat="false" ht="15" hidden="false" customHeight="false" outlineLevel="0" collapsed="false">
      <c r="A529" s="3" t="str">
        <f aca="false">'1. Raw Data'!A528</f>
        <v>EMP-0527</v>
      </c>
      <c r="B529" s="3" t="n">
        <f aca="false">'1. Raw Data'!B528</f>
        <v>35</v>
      </c>
      <c r="C529" s="3" t="str">
        <f aca="false">'1. Raw Data'!C528</f>
        <v>Customer Support</v>
      </c>
      <c r="D529" s="3" t="str">
        <f aca="false">'1. Raw Data'!D528</f>
        <v>Mid</v>
      </c>
      <c r="E529" s="3" t="str">
        <f aca="false">'1. Raw Data'!E528</f>
        <v>Business</v>
      </c>
      <c r="F529" s="3" t="n">
        <f aca="false">'1. Raw Data'!F528</f>
        <v>1.3</v>
      </c>
      <c r="G529" s="3" t="n">
        <f aca="false">IF('1. Raw Data'!G528="",ROUND(IFERROR(AVERAGEIFS('1. Raw Data'!G2:G1201,'1. Raw Data'!C2:C1201,'1. Raw Data'!C528,'1. Raw Data'!D2:D1201,'1. Raw Data'!D528),0),2),'1. Raw Data'!G528)</f>
        <v>5550.85</v>
      </c>
      <c r="H529" s="3" t="str">
        <f aca="false">PROPER('1. Raw Data'!H528)</f>
        <v>No</v>
      </c>
      <c r="I529" s="3" t="n">
        <f aca="false">'1. Raw Data'!I528</f>
        <v>3</v>
      </c>
      <c r="J529" s="3" t="n">
        <f aca="false">'1. Raw Data'!J528</f>
        <v>3</v>
      </c>
      <c r="K529" s="3" t="n">
        <f aca="false">'1. Raw Data'!K528</f>
        <v>1</v>
      </c>
      <c r="L529" s="3" t="n">
        <f aca="false">'1. Raw Data'!L528</f>
        <v>0</v>
      </c>
      <c r="M529" s="3" t="n">
        <f aca="false">'1. Raw Data'!M528</f>
        <v>2</v>
      </c>
      <c r="N529" s="3" t="str">
        <f aca="false">'1. Raw Data'!N528</f>
        <v>No</v>
      </c>
    </row>
    <row r="530" customFormat="false" ht="15" hidden="false" customHeight="false" outlineLevel="0" collapsed="false">
      <c r="A530" s="3" t="str">
        <f aca="false">'1. Raw Data'!A529</f>
        <v>EMP-0528</v>
      </c>
      <c r="B530" s="3" t="n">
        <f aca="false">'1. Raw Data'!B529</f>
        <v>29</v>
      </c>
      <c r="C530" s="3" t="str">
        <f aca="false">'1. Raw Data'!C529</f>
        <v>Sales</v>
      </c>
      <c r="D530" s="3" t="str">
        <f aca="false">'1. Raw Data'!D529</f>
        <v>Mid</v>
      </c>
      <c r="E530" s="3" t="str">
        <f aca="false">'1. Raw Data'!E529</f>
        <v>Other</v>
      </c>
      <c r="F530" s="3" t="n">
        <f aca="false">'1. Raw Data'!F529</f>
        <v>2.1</v>
      </c>
      <c r="G530" s="3" t="n">
        <f aca="false">IF('1. Raw Data'!G529="",ROUND(IFERROR(AVERAGEIFS('1. Raw Data'!G2:G1201,'1. Raw Data'!C2:C1201,'1. Raw Data'!C529,'1. Raw Data'!D2:D1201,'1. Raw Data'!D529),0),2),'1. Raw Data'!G529)</f>
        <v>4859.64</v>
      </c>
      <c r="H530" s="3" t="str">
        <f aca="false">PROPER('1. Raw Data'!H529)</f>
        <v>No</v>
      </c>
      <c r="I530" s="3" t="n">
        <f aca="false">'1. Raw Data'!I529</f>
        <v>3</v>
      </c>
      <c r="J530" s="3" t="n">
        <f aca="false">'1. Raw Data'!J529</f>
        <v>4</v>
      </c>
      <c r="K530" s="3" t="n">
        <f aca="false">'1. Raw Data'!K529</f>
        <v>16</v>
      </c>
      <c r="L530" s="3" t="n">
        <f aca="false">'1. Raw Data'!L529</f>
        <v>1</v>
      </c>
      <c r="M530" s="3" t="n">
        <f aca="false">'1. Raw Data'!M529</f>
        <v>0</v>
      </c>
      <c r="N530" s="3" t="str">
        <f aca="false">'1. Raw Data'!N529</f>
        <v>No</v>
      </c>
    </row>
    <row r="531" customFormat="false" ht="15" hidden="false" customHeight="false" outlineLevel="0" collapsed="false">
      <c r="A531" s="3" t="str">
        <f aca="false">'1. Raw Data'!A530</f>
        <v>EMP-0529</v>
      </c>
      <c r="B531" s="3" t="n">
        <f aca="false">'1. Raw Data'!B530</f>
        <v>26</v>
      </c>
      <c r="C531" s="3" t="str">
        <f aca="false">'1. Raw Data'!C530</f>
        <v>Customer Support</v>
      </c>
      <c r="D531" s="3" t="str">
        <f aca="false">'1. Raw Data'!D530</f>
        <v>Junior</v>
      </c>
      <c r="E531" s="3" t="str">
        <f aca="false">'1. Raw Data'!E530</f>
        <v>Technical</v>
      </c>
      <c r="F531" s="3" t="n">
        <f aca="false">'1. Raw Data'!F530</f>
        <v>5</v>
      </c>
      <c r="G531" s="3" t="n">
        <f aca="false">IF('1. Raw Data'!G530="",ROUND(IFERROR(AVERAGEIFS('1. Raw Data'!G2:G1201,'1. Raw Data'!C2:C1201,'1. Raw Data'!C530,'1. Raw Data'!D2:D1201,'1. Raw Data'!D530),0),2),'1. Raw Data'!G530)</f>
        <v>3304.21</v>
      </c>
      <c r="H531" s="3" t="str">
        <f aca="false">PROPER('1. Raw Data'!H530)</f>
        <v>Yes</v>
      </c>
      <c r="I531" s="3" t="n">
        <f aca="false">'1. Raw Data'!I530</f>
        <v>4</v>
      </c>
      <c r="J531" s="3" t="n">
        <f aca="false">'1. Raw Data'!J530</f>
        <v>2</v>
      </c>
      <c r="K531" s="3" t="n">
        <f aca="false">'1. Raw Data'!K530</f>
        <v>14</v>
      </c>
      <c r="L531" s="3" t="n">
        <f aca="false">'1. Raw Data'!L530</f>
        <v>1</v>
      </c>
      <c r="M531" s="3" t="n">
        <f aca="false">'1. Raw Data'!M530</f>
        <v>1</v>
      </c>
      <c r="N531" s="3" t="str">
        <f aca="false">'1. Raw Data'!N530</f>
        <v>Yes</v>
      </c>
    </row>
    <row r="532" customFormat="false" ht="15" hidden="false" customHeight="false" outlineLevel="0" collapsed="false">
      <c r="A532" s="3" t="str">
        <f aca="false">'1. Raw Data'!A531</f>
        <v>EMP-0530</v>
      </c>
      <c r="B532" s="3" t="n">
        <f aca="false">'1. Raw Data'!B531</f>
        <v>36</v>
      </c>
      <c r="C532" s="3" t="str">
        <f aca="false">'1. Raw Data'!C531</f>
        <v>Finance</v>
      </c>
      <c r="D532" s="3" t="str">
        <f aca="false">'1. Raw Data'!D531</f>
        <v>Mid</v>
      </c>
      <c r="E532" s="3" t="str">
        <f aca="false">'1. Raw Data'!E531</f>
        <v>Business</v>
      </c>
      <c r="F532" s="3" t="n">
        <f aca="false">'1. Raw Data'!F531</f>
        <v>0.5</v>
      </c>
      <c r="G532" s="3" t="n">
        <f aca="false">IF('1. Raw Data'!G531="",ROUND(IFERROR(AVERAGEIFS('1. Raw Data'!G2:G1201,'1. Raw Data'!C2:C1201,'1. Raw Data'!C531,'1. Raw Data'!D2:D1201,'1. Raw Data'!D531),0),2),'1. Raw Data'!G531)</f>
        <v>4486.83</v>
      </c>
      <c r="H532" s="3" t="str">
        <f aca="false">PROPER('1. Raw Data'!H531)</f>
        <v>No</v>
      </c>
      <c r="I532" s="3" t="n">
        <f aca="false">'1. Raw Data'!I531</f>
        <v>2</v>
      </c>
      <c r="J532" s="3" t="n">
        <f aca="false">'1. Raw Data'!J531</f>
        <v>3</v>
      </c>
      <c r="K532" s="3" t="n">
        <f aca="false">'1. Raw Data'!K531</f>
        <v>3</v>
      </c>
      <c r="L532" s="3" t="n">
        <f aca="false">'1. Raw Data'!L531</f>
        <v>0</v>
      </c>
      <c r="M532" s="3" t="n">
        <f aca="false">'1. Raw Data'!M531</f>
        <v>1</v>
      </c>
      <c r="N532" s="3" t="str">
        <f aca="false">'1. Raw Data'!N531</f>
        <v>No</v>
      </c>
    </row>
    <row r="533" customFormat="false" ht="15" hidden="false" customHeight="false" outlineLevel="0" collapsed="false">
      <c r="A533" s="3" t="str">
        <f aca="false">'1. Raw Data'!A532</f>
        <v>EMP-0531</v>
      </c>
      <c r="B533" s="3" t="n">
        <f aca="false">'1. Raw Data'!B532</f>
        <v>40</v>
      </c>
      <c r="C533" s="3" t="str">
        <f aca="false">'1. Raw Data'!C532</f>
        <v>Marketing</v>
      </c>
      <c r="D533" s="3" t="str">
        <f aca="false">'1. Raw Data'!D532</f>
        <v>Mid</v>
      </c>
      <c r="E533" s="3" t="str">
        <f aca="false">'1. Raw Data'!E532</f>
        <v>Marketing</v>
      </c>
      <c r="F533" s="3" t="n">
        <f aca="false">'1. Raw Data'!F532</f>
        <v>1.8</v>
      </c>
      <c r="G533" s="3" t="n">
        <f aca="false">IF('1. Raw Data'!G532="",ROUND(IFERROR(AVERAGEIFS('1. Raw Data'!G2:G1201,'1. Raw Data'!C2:C1201,'1. Raw Data'!C532,'1. Raw Data'!D2:D1201,'1. Raw Data'!D532),0),2),'1. Raw Data'!G532)</f>
        <v>5666.74</v>
      </c>
      <c r="H533" s="3" t="str">
        <f aca="false">PROPER('1. Raw Data'!H532)</f>
        <v>Yes</v>
      </c>
      <c r="I533" s="3" t="n">
        <f aca="false">'1. Raw Data'!I532</f>
        <v>2</v>
      </c>
      <c r="J533" s="3" t="n">
        <f aca="false">'1. Raw Data'!J532</f>
        <v>3</v>
      </c>
      <c r="K533" s="3" t="n">
        <f aca="false">'1. Raw Data'!K532</f>
        <v>2</v>
      </c>
      <c r="L533" s="3" t="n">
        <f aca="false">'1. Raw Data'!L532</f>
        <v>0</v>
      </c>
      <c r="M533" s="3" t="n">
        <f aca="false">'1. Raw Data'!M532</f>
        <v>3</v>
      </c>
      <c r="N533" s="3" t="str">
        <f aca="false">'1. Raw Data'!N532</f>
        <v>Yes</v>
      </c>
    </row>
    <row r="534" customFormat="false" ht="15" hidden="false" customHeight="false" outlineLevel="0" collapsed="false">
      <c r="A534" s="3" t="str">
        <f aca="false">'1. Raw Data'!A533</f>
        <v>EMP-0532</v>
      </c>
      <c r="B534" s="3" t="n">
        <f aca="false">'1. Raw Data'!B533</f>
        <v>26</v>
      </c>
      <c r="C534" s="3" t="str">
        <f aca="false">'1. Raw Data'!C533</f>
        <v>Marketing</v>
      </c>
      <c r="D534" s="3" t="str">
        <f aca="false">'1. Raw Data'!D533</f>
        <v>Junior</v>
      </c>
      <c r="E534" s="3" t="str">
        <f aca="false">'1. Raw Data'!E533</f>
        <v>Marketing</v>
      </c>
      <c r="F534" s="3" t="n">
        <f aca="false">'1. Raw Data'!F533</f>
        <v>4.7</v>
      </c>
      <c r="G534" s="3" t="n">
        <f aca="false">IF('1. Raw Data'!G533="",ROUND(IFERROR(AVERAGEIFS('1. Raw Data'!G2:G1201,'1. Raw Data'!C2:C1201,'1. Raw Data'!C533,'1. Raw Data'!D2:D1201,'1. Raw Data'!D533),0),2),'1. Raw Data'!G533)</f>
        <v>3834.2</v>
      </c>
      <c r="H534" s="3" t="str">
        <f aca="false">PROPER('1. Raw Data'!H533)</f>
        <v>Yes</v>
      </c>
      <c r="I534" s="3" t="n">
        <f aca="false">'1. Raw Data'!I533</f>
        <v>2</v>
      </c>
      <c r="J534" s="3" t="n">
        <f aca="false">'1. Raw Data'!J533</f>
        <v>2</v>
      </c>
      <c r="K534" s="3" t="n">
        <f aca="false">'1. Raw Data'!K533</f>
        <v>14</v>
      </c>
      <c r="L534" s="3" t="n">
        <f aca="false">'1. Raw Data'!L533</f>
        <v>4</v>
      </c>
      <c r="M534" s="3" t="n">
        <f aca="false">'1. Raw Data'!M533</f>
        <v>2</v>
      </c>
      <c r="N534" s="3" t="str">
        <f aca="false">'1. Raw Data'!N533</f>
        <v>No</v>
      </c>
    </row>
    <row r="535" customFormat="false" ht="15" hidden="false" customHeight="false" outlineLevel="0" collapsed="false">
      <c r="A535" s="3" t="str">
        <f aca="false">'1. Raw Data'!A534</f>
        <v>EMP-0533</v>
      </c>
      <c r="B535" s="3" t="n">
        <f aca="false">'1. Raw Data'!B534</f>
        <v>36</v>
      </c>
      <c r="C535" s="3" t="str">
        <f aca="false">'1. Raw Data'!C534</f>
        <v>Customer Support</v>
      </c>
      <c r="D535" s="3" t="str">
        <f aca="false">'1. Raw Data'!D534</f>
        <v>Junior</v>
      </c>
      <c r="E535" s="3" t="str">
        <f aca="false">'1. Raw Data'!E534</f>
        <v>Marketing</v>
      </c>
      <c r="F535" s="3" t="n">
        <f aca="false">'1. Raw Data'!F534</f>
        <v>1.5</v>
      </c>
      <c r="G535" s="3" t="n">
        <f aca="false">IF('1. Raw Data'!G534="",ROUND(IFERROR(AVERAGEIFS('1. Raw Data'!G2:G1201,'1. Raw Data'!C2:C1201,'1. Raw Data'!C534,'1. Raw Data'!D2:D1201,'1. Raw Data'!D534),0),2),'1. Raw Data'!G534)</f>
        <v>2991.87</v>
      </c>
      <c r="H535" s="3" t="str">
        <f aca="false">PROPER('1. Raw Data'!H534)</f>
        <v>Yes</v>
      </c>
      <c r="I535" s="3" t="n">
        <f aca="false">'1. Raw Data'!I534</f>
        <v>4</v>
      </c>
      <c r="J535" s="3" t="n">
        <f aca="false">'1. Raw Data'!J534</f>
        <v>2</v>
      </c>
      <c r="K535" s="3" t="n">
        <f aca="false">'1. Raw Data'!K534</f>
        <v>31</v>
      </c>
      <c r="L535" s="3" t="n">
        <f aca="false">'1. Raw Data'!L534</f>
        <v>0</v>
      </c>
      <c r="M535" s="3" t="n">
        <f aca="false">'1. Raw Data'!M534</f>
        <v>5</v>
      </c>
      <c r="N535" s="3" t="str">
        <f aca="false">'1. Raw Data'!N534</f>
        <v>Yes</v>
      </c>
    </row>
    <row r="536" customFormat="false" ht="15" hidden="false" customHeight="false" outlineLevel="0" collapsed="false">
      <c r="A536" s="3" t="str">
        <f aca="false">'1. Raw Data'!A535</f>
        <v>EMP-0534</v>
      </c>
      <c r="B536" s="3" t="n">
        <f aca="false">'1. Raw Data'!B535</f>
        <v>32</v>
      </c>
      <c r="C536" s="3" t="str">
        <f aca="false">'1. Raw Data'!C535</f>
        <v>Sales</v>
      </c>
      <c r="D536" s="3" t="str">
        <f aca="false">'1. Raw Data'!D535</f>
        <v>Junior</v>
      </c>
      <c r="E536" s="3" t="str">
        <f aca="false">'1. Raw Data'!E535</f>
        <v>Business</v>
      </c>
      <c r="F536" s="3" t="n">
        <f aca="false">'1. Raw Data'!F535</f>
        <v>11</v>
      </c>
      <c r="G536" s="3" t="n">
        <f aca="false">IF('1. Raw Data'!G535="",ROUND(IFERROR(AVERAGEIFS('1. Raw Data'!G2:G1201,'1. Raw Data'!C2:C1201,'1. Raw Data'!C535,'1. Raw Data'!D2:D1201,'1. Raw Data'!D535),0),2),'1. Raw Data'!G535)</f>
        <v>3388.48</v>
      </c>
      <c r="H536" s="3" t="str">
        <f aca="false">PROPER('1. Raw Data'!H535)</f>
        <v>Yes</v>
      </c>
      <c r="I536" s="3" t="n">
        <f aca="false">'1. Raw Data'!I535</f>
        <v>3</v>
      </c>
      <c r="J536" s="3" t="n">
        <f aca="false">'1. Raw Data'!J535</f>
        <v>4</v>
      </c>
      <c r="K536" s="3" t="n">
        <f aca="false">'1. Raw Data'!K535</f>
        <v>1</v>
      </c>
      <c r="L536" s="3" t="n">
        <f aca="false">'1. Raw Data'!L535</f>
        <v>1</v>
      </c>
      <c r="M536" s="3" t="n">
        <f aca="false">'1. Raw Data'!M535</f>
        <v>0</v>
      </c>
      <c r="N536" s="3" t="str">
        <f aca="false">'1. Raw Data'!N535</f>
        <v>No</v>
      </c>
    </row>
    <row r="537" customFormat="false" ht="15" hidden="false" customHeight="false" outlineLevel="0" collapsed="false">
      <c r="A537" s="3" t="str">
        <f aca="false">'1. Raw Data'!A536</f>
        <v>EMP-0535</v>
      </c>
      <c r="B537" s="3" t="n">
        <f aca="false">'1. Raw Data'!B536</f>
        <v>26</v>
      </c>
      <c r="C537" s="3" t="str">
        <f aca="false">'1. Raw Data'!C536</f>
        <v>Engineering</v>
      </c>
      <c r="D537" s="3" t="str">
        <f aca="false">'1. Raw Data'!D536</f>
        <v>Mid</v>
      </c>
      <c r="E537" s="3" t="str">
        <f aca="false">'1. Raw Data'!E536</f>
        <v>Business</v>
      </c>
      <c r="F537" s="3" t="n">
        <f aca="false">'1. Raw Data'!F536</f>
        <v>4.1</v>
      </c>
      <c r="G537" s="3" t="n">
        <f aca="false">IF('1. Raw Data'!G536="",ROUND(IFERROR(AVERAGEIFS('1. Raw Data'!G2:G1201,'1. Raw Data'!C2:C1201,'1. Raw Data'!C536,'1. Raw Data'!D2:D1201,'1. Raw Data'!D536),0),2),'1. Raw Data'!G536)</f>
        <v>4796.13</v>
      </c>
      <c r="H537" s="3" t="str">
        <f aca="false">PROPER('1. Raw Data'!H536)</f>
        <v>No</v>
      </c>
      <c r="I537" s="3" t="n">
        <f aca="false">'1. Raw Data'!I536</f>
        <v>3</v>
      </c>
      <c r="J537" s="3" t="n">
        <f aca="false">'1. Raw Data'!J536</f>
        <v>3</v>
      </c>
      <c r="K537" s="3" t="n">
        <f aca="false">'1. Raw Data'!K536</f>
        <v>4</v>
      </c>
      <c r="L537" s="3" t="n">
        <f aca="false">'1. Raw Data'!L536</f>
        <v>0</v>
      </c>
      <c r="M537" s="3" t="n">
        <f aca="false">'1. Raw Data'!M536</f>
        <v>1</v>
      </c>
      <c r="N537" s="3" t="str">
        <f aca="false">'1. Raw Data'!N536</f>
        <v>No</v>
      </c>
    </row>
    <row r="538" customFormat="false" ht="15" hidden="false" customHeight="false" outlineLevel="0" collapsed="false">
      <c r="A538" s="3" t="str">
        <f aca="false">'1. Raw Data'!A537</f>
        <v>EMP-0536</v>
      </c>
      <c r="B538" s="3" t="n">
        <f aca="false">'1. Raw Data'!B537</f>
        <v>47</v>
      </c>
      <c r="C538" s="3" t="str">
        <f aca="false">'1. Raw Data'!C537</f>
        <v>Customer Support</v>
      </c>
      <c r="D538" s="3" t="str">
        <f aca="false">'1. Raw Data'!D537</f>
        <v>Mid</v>
      </c>
      <c r="E538" s="3" t="str">
        <f aca="false">'1. Raw Data'!E537</f>
        <v>Business</v>
      </c>
      <c r="F538" s="3" t="n">
        <f aca="false">'1. Raw Data'!F537</f>
        <v>0.1</v>
      </c>
      <c r="G538" s="3" t="n">
        <f aca="false">IF('1. Raw Data'!G537="",ROUND(IFERROR(AVERAGEIFS('1. Raw Data'!G2:G1201,'1. Raw Data'!C2:C1201,'1. Raw Data'!C537,'1. Raw Data'!D2:D1201,'1. Raw Data'!D537),0),2),'1. Raw Data'!G537)</f>
        <v>5703.38</v>
      </c>
      <c r="H538" s="3" t="str">
        <f aca="false">PROPER('1. Raw Data'!H537)</f>
        <v>Yes</v>
      </c>
      <c r="I538" s="3" t="n">
        <f aca="false">'1. Raw Data'!I537</f>
        <v>1</v>
      </c>
      <c r="J538" s="3" t="n">
        <f aca="false">'1. Raw Data'!J537</f>
        <v>3</v>
      </c>
      <c r="K538" s="3" t="n">
        <f aca="false">'1. Raw Data'!K537</f>
        <v>4</v>
      </c>
      <c r="L538" s="3" t="n">
        <f aca="false">'1. Raw Data'!L537</f>
        <v>0</v>
      </c>
      <c r="M538" s="3" t="n">
        <f aca="false">'1. Raw Data'!M537</f>
        <v>3</v>
      </c>
      <c r="N538" s="3" t="str">
        <f aca="false">'1. Raw Data'!N537</f>
        <v>No</v>
      </c>
    </row>
    <row r="539" customFormat="false" ht="15" hidden="false" customHeight="false" outlineLevel="0" collapsed="false">
      <c r="A539" s="3" t="str">
        <f aca="false">'1. Raw Data'!A538</f>
        <v>EMP-0537</v>
      </c>
      <c r="B539" s="3" t="n">
        <f aca="false">'1. Raw Data'!B538</f>
        <v>46</v>
      </c>
      <c r="C539" s="3" t="str">
        <f aca="false">'1. Raw Data'!C538</f>
        <v>Finance</v>
      </c>
      <c r="D539" s="3" t="str">
        <f aca="false">'1. Raw Data'!D538</f>
        <v>Mid</v>
      </c>
      <c r="E539" s="3" t="str">
        <f aca="false">'1. Raw Data'!E538</f>
        <v>Other</v>
      </c>
      <c r="F539" s="3" t="n">
        <f aca="false">'1. Raw Data'!F538</f>
        <v>2.3</v>
      </c>
      <c r="G539" s="3" t="n">
        <f aca="false">IF('1. Raw Data'!G538="",ROUND(IFERROR(AVERAGEIFS('1. Raw Data'!G2:G1201,'1. Raw Data'!C2:C1201,'1. Raw Data'!C538,'1. Raw Data'!D2:D1201,'1. Raw Data'!D538),0),2),'1. Raw Data'!G538)</f>
        <v>4253.95</v>
      </c>
      <c r="H539" s="3" t="str">
        <f aca="false">PROPER('1. Raw Data'!H538)</f>
        <v>No</v>
      </c>
      <c r="I539" s="3" t="n">
        <f aca="false">'1. Raw Data'!I538</f>
        <v>3</v>
      </c>
      <c r="J539" s="3" t="n">
        <f aca="false">'1. Raw Data'!J538</f>
        <v>1</v>
      </c>
      <c r="K539" s="3" t="n">
        <f aca="false">'1. Raw Data'!K538</f>
        <v>6</v>
      </c>
      <c r="L539" s="3" t="n">
        <f aca="false">'1. Raw Data'!L538</f>
        <v>0</v>
      </c>
      <c r="M539" s="3" t="n">
        <f aca="false">'1. Raw Data'!M538</f>
        <v>4</v>
      </c>
      <c r="N539" s="3" t="str">
        <f aca="false">'1. Raw Data'!N538</f>
        <v>No</v>
      </c>
    </row>
    <row r="540" customFormat="false" ht="15" hidden="false" customHeight="false" outlineLevel="0" collapsed="false">
      <c r="A540" s="3" t="str">
        <f aca="false">'1. Raw Data'!A539</f>
        <v>EMP-0538</v>
      </c>
      <c r="B540" s="3" t="n">
        <f aca="false">'1. Raw Data'!B539</f>
        <v>28</v>
      </c>
      <c r="C540" s="3" t="str">
        <f aca="false">'1. Raw Data'!C539</f>
        <v>Engineering</v>
      </c>
      <c r="D540" s="3" t="str">
        <f aca="false">'1. Raw Data'!D539</f>
        <v>Junior</v>
      </c>
      <c r="E540" s="3" t="str">
        <f aca="false">'1. Raw Data'!E539</f>
        <v>Other</v>
      </c>
      <c r="F540" s="3" t="n">
        <f aca="false">'1. Raw Data'!F539</f>
        <v>1.2</v>
      </c>
      <c r="G540" s="3" t="n">
        <f aca="false">IF('1. Raw Data'!G539="",ROUND(IFERROR(AVERAGEIFS('1. Raw Data'!G2:G1201,'1. Raw Data'!C2:C1201,'1. Raw Data'!C539,'1. Raw Data'!D2:D1201,'1. Raw Data'!D539),0),2),'1. Raw Data'!G539)</f>
        <v>3294.41</v>
      </c>
      <c r="H540" s="3" t="str">
        <f aca="false">PROPER('1. Raw Data'!H539)</f>
        <v>No</v>
      </c>
      <c r="I540" s="3" t="n">
        <f aca="false">'1. Raw Data'!I539</f>
        <v>3</v>
      </c>
      <c r="J540" s="3" t="n">
        <f aca="false">'1. Raw Data'!J539</f>
        <v>2</v>
      </c>
      <c r="K540" s="3" t="n">
        <f aca="false">'1. Raw Data'!K539</f>
        <v>11</v>
      </c>
      <c r="L540" s="3" t="n">
        <f aca="false">'1. Raw Data'!L539</f>
        <v>0</v>
      </c>
      <c r="M540" s="3" t="n">
        <f aca="false">'1. Raw Data'!M539</f>
        <v>2</v>
      </c>
      <c r="N540" s="3" t="str">
        <f aca="false">'1. Raw Data'!N539</f>
        <v>No</v>
      </c>
    </row>
    <row r="541" customFormat="false" ht="15" hidden="false" customHeight="false" outlineLevel="0" collapsed="false">
      <c r="A541" s="3" t="str">
        <f aca="false">'1. Raw Data'!A540</f>
        <v>EMP-0539</v>
      </c>
      <c r="B541" s="3" t="n">
        <f aca="false">'1. Raw Data'!B540</f>
        <v>32</v>
      </c>
      <c r="C541" s="3" t="str">
        <f aca="false">'1. Raw Data'!C540</f>
        <v>Customer Support</v>
      </c>
      <c r="D541" s="3" t="str">
        <f aca="false">'1. Raw Data'!D540</f>
        <v>Lead</v>
      </c>
      <c r="E541" s="3" t="str">
        <f aca="false">'1. Raw Data'!E540</f>
        <v>Technical</v>
      </c>
      <c r="F541" s="3" t="n">
        <f aca="false">'1. Raw Data'!F540</f>
        <v>6.9</v>
      </c>
      <c r="G541" s="3" t="n">
        <f aca="false">IF('1. Raw Data'!G540="",ROUND(IFERROR(AVERAGEIFS('1. Raw Data'!G2:G1201,'1. Raw Data'!C2:C1201,'1. Raw Data'!C540,'1. Raw Data'!D2:D1201,'1. Raw Data'!D540),0),2),'1. Raw Data'!G540)</f>
        <v>8348.31</v>
      </c>
      <c r="H541" s="3" t="str">
        <f aca="false">PROPER('1. Raw Data'!H540)</f>
        <v>Yes</v>
      </c>
      <c r="I541" s="3" t="n">
        <f aca="false">'1. Raw Data'!I540</f>
        <v>4</v>
      </c>
      <c r="J541" s="3" t="n">
        <f aca="false">'1. Raw Data'!J540</f>
        <v>3</v>
      </c>
      <c r="K541" s="3" t="n">
        <f aca="false">'1. Raw Data'!K540</f>
        <v>6</v>
      </c>
      <c r="L541" s="3" t="n">
        <f aca="false">'1. Raw Data'!L540</f>
        <v>0</v>
      </c>
      <c r="M541" s="3" t="n">
        <f aca="false">'1. Raw Data'!M540</f>
        <v>4</v>
      </c>
      <c r="N541" s="3" t="str">
        <f aca="false">'1. Raw Data'!N540</f>
        <v>No</v>
      </c>
    </row>
    <row r="542" customFormat="false" ht="15" hidden="false" customHeight="false" outlineLevel="0" collapsed="false">
      <c r="A542" s="3" t="str">
        <f aca="false">'1. Raw Data'!A541</f>
        <v>EMP-0540</v>
      </c>
      <c r="B542" s="3" t="n">
        <f aca="false">'1. Raw Data'!B541</f>
        <v>36</v>
      </c>
      <c r="C542" s="3" t="str">
        <f aca="false">'1. Raw Data'!C541</f>
        <v>Customer Support</v>
      </c>
      <c r="D542" s="3" t="str">
        <f aca="false">'1. Raw Data'!D541</f>
        <v>Mid</v>
      </c>
      <c r="E542" s="3" t="str">
        <f aca="false">'1. Raw Data'!E541</f>
        <v>Business</v>
      </c>
      <c r="F542" s="3" t="n">
        <f aca="false">'1. Raw Data'!F541</f>
        <v>0.8</v>
      </c>
      <c r="G542" s="3" t="n">
        <f aca="false">IF('1. Raw Data'!G541="",ROUND(IFERROR(AVERAGEIFS('1. Raw Data'!G2:G1201,'1. Raw Data'!C2:C1201,'1. Raw Data'!C541,'1. Raw Data'!D2:D1201,'1. Raw Data'!D541),0),2),'1. Raw Data'!G541)</f>
        <v>5180.03</v>
      </c>
      <c r="H542" s="3" t="str">
        <f aca="false">PROPER('1. Raw Data'!H541)</f>
        <v>Yes</v>
      </c>
      <c r="I542" s="3" t="n">
        <f aca="false">'1. Raw Data'!I541</f>
        <v>1</v>
      </c>
      <c r="J542" s="3" t="n">
        <f aca="false">'1. Raw Data'!J541</f>
        <v>2</v>
      </c>
      <c r="K542" s="3" t="n">
        <f aca="false">'1. Raw Data'!K541</f>
        <v>1</v>
      </c>
      <c r="L542" s="3" t="n">
        <f aca="false">'1. Raw Data'!L541</f>
        <v>0</v>
      </c>
      <c r="M542" s="3" t="n">
        <f aca="false">'1. Raw Data'!M541</f>
        <v>1</v>
      </c>
      <c r="N542" s="3" t="str">
        <f aca="false">'1. Raw Data'!N541</f>
        <v>Yes</v>
      </c>
    </row>
    <row r="543" customFormat="false" ht="15" hidden="false" customHeight="false" outlineLevel="0" collapsed="false">
      <c r="A543" s="3" t="str">
        <f aca="false">'1. Raw Data'!A542</f>
        <v>EMP-0541</v>
      </c>
      <c r="B543" s="3" t="n">
        <f aca="false">'1. Raw Data'!B542</f>
        <v>26</v>
      </c>
      <c r="C543" s="3" t="str">
        <f aca="false">'1. Raw Data'!C542</f>
        <v>Sales</v>
      </c>
      <c r="D543" s="3" t="str">
        <f aca="false">'1. Raw Data'!D542</f>
        <v>Mid</v>
      </c>
      <c r="E543" s="3" t="str">
        <f aca="false">'1. Raw Data'!E542</f>
        <v>Technical</v>
      </c>
      <c r="F543" s="3" t="n">
        <f aca="false">'1. Raw Data'!F542</f>
        <v>3.4</v>
      </c>
      <c r="G543" s="3" t="n">
        <f aca="false">IF('1. Raw Data'!G542="",ROUND(IFERROR(AVERAGEIFS('1. Raw Data'!G2:G1201,'1. Raw Data'!C2:C1201,'1. Raw Data'!C542,'1. Raw Data'!D2:D1201,'1. Raw Data'!D542),0),2),'1. Raw Data'!G542)</f>
        <v>5722.84</v>
      </c>
      <c r="H543" s="3" t="str">
        <f aca="false">PROPER('1. Raw Data'!H542)</f>
        <v>No</v>
      </c>
      <c r="I543" s="3" t="n">
        <f aca="false">'1. Raw Data'!I542</f>
        <v>3</v>
      </c>
      <c r="J543" s="3" t="n">
        <f aca="false">'1. Raw Data'!J542</f>
        <v>4</v>
      </c>
      <c r="K543" s="3" t="n">
        <f aca="false">'1. Raw Data'!K542</f>
        <v>9</v>
      </c>
      <c r="L543" s="3" t="n">
        <f aca="false">'1. Raw Data'!L542</f>
        <v>0</v>
      </c>
      <c r="M543" s="3" t="n">
        <f aca="false">'1. Raw Data'!M542</f>
        <v>2</v>
      </c>
      <c r="N543" s="3" t="str">
        <f aca="false">'1. Raw Data'!N542</f>
        <v>No</v>
      </c>
    </row>
    <row r="544" customFormat="false" ht="15" hidden="false" customHeight="false" outlineLevel="0" collapsed="false">
      <c r="A544" s="3" t="str">
        <f aca="false">'1. Raw Data'!A543</f>
        <v>EMP-0542</v>
      </c>
      <c r="B544" s="3" t="n">
        <f aca="false">'1. Raw Data'!B543</f>
        <v>23</v>
      </c>
      <c r="C544" s="3" t="str">
        <f aca="false">'1. Raw Data'!C543</f>
        <v>Customer Support</v>
      </c>
      <c r="D544" s="3" t="str">
        <f aca="false">'1. Raw Data'!D543</f>
        <v>Mid</v>
      </c>
      <c r="E544" s="3" t="str">
        <f aca="false">'1. Raw Data'!E543</f>
        <v>Business</v>
      </c>
      <c r="F544" s="3" t="n">
        <f aca="false">'1. Raw Data'!F543</f>
        <v>1.4</v>
      </c>
      <c r="G544" s="3" t="n">
        <f aca="false">IF('1. Raw Data'!G543="",ROUND(IFERROR(AVERAGEIFS('1. Raw Data'!G2:G1201,'1. Raw Data'!C2:C1201,'1. Raw Data'!C543,'1. Raw Data'!D2:D1201,'1. Raw Data'!D543),0),2),'1. Raw Data'!G543)</f>
        <v>4923.94</v>
      </c>
      <c r="H544" s="3" t="str">
        <f aca="false">PROPER('1. Raw Data'!H543)</f>
        <v>Yes</v>
      </c>
      <c r="I544" s="3" t="n">
        <f aca="false">'1. Raw Data'!I543</f>
        <v>4</v>
      </c>
      <c r="J544" s="3" t="n">
        <f aca="false">'1. Raw Data'!J543</f>
        <v>3</v>
      </c>
      <c r="K544" s="3" t="n">
        <f aca="false">'1. Raw Data'!K543</f>
        <v>23</v>
      </c>
      <c r="L544" s="3" t="n">
        <f aca="false">'1. Raw Data'!L543</f>
        <v>1</v>
      </c>
      <c r="M544" s="3" t="n">
        <f aca="false">'1. Raw Data'!M543</f>
        <v>3</v>
      </c>
      <c r="N544" s="3" t="str">
        <f aca="false">'1. Raw Data'!N543</f>
        <v>Yes</v>
      </c>
    </row>
    <row r="545" customFormat="false" ht="15" hidden="false" customHeight="false" outlineLevel="0" collapsed="false">
      <c r="A545" s="3" t="str">
        <f aca="false">'1. Raw Data'!A544</f>
        <v>EMP-0543</v>
      </c>
      <c r="B545" s="3" t="n">
        <f aca="false">'1. Raw Data'!B544</f>
        <v>22</v>
      </c>
      <c r="C545" s="3" t="str">
        <f aca="false">'1. Raw Data'!C544</f>
        <v>HR</v>
      </c>
      <c r="D545" s="3" t="str">
        <f aca="false">'1. Raw Data'!D544</f>
        <v>Junior</v>
      </c>
      <c r="E545" s="3" t="str">
        <f aca="false">'1. Raw Data'!E544</f>
        <v>Business</v>
      </c>
      <c r="F545" s="3" t="n">
        <f aca="false">'1. Raw Data'!F544</f>
        <v>1</v>
      </c>
      <c r="G545" s="3" t="n">
        <f aca="false">IF('1. Raw Data'!G544="",ROUND(IFERROR(AVERAGEIFS('1. Raw Data'!G2:G1201,'1. Raw Data'!C2:C1201,'1. Raw Data'!C544,'1. Raw Data'!D2:D1201,'1. Raw Data'!D544),0),2),'1. Raw Data'!G544)</f>
        <v>3393.91</v>
      </c>
      <c r="H545" s="3" t="str">
        <f aca="false">PROPER('1. Raw Data'!H544)</f>
        <v>Yes</v>
      </c>
      <c r="I545" s="3" t="n">
        <f aca="false">'1. Raw Data'!I544</f>
        <v>2</v>
      </c>
      <c r="J545" s="3" t="n">
        <f aca="false">'1. Raw Data'!J544</f>
        <v>3</v>
      </c>
      <c r="K545" s="3" t="n">
        <f aca="false">'1. Raw Data'!K544</f>
        <v>16</v>
      </c>
      <c r="L545" s="3" t="n">
        <f aca="false">'1. Raw Data'!L544</f>
        <v>0</v>
      </c>
      <c r="M545" s="3" t="n">
        <f aca="false">'1. Raw Data'!M544</f>
        <v>4</v>
      </c>
      <c r="N545" s="3" t="str">
        <f aca="false">'1. Raw Data'!N544</f>
        <v>No</v>
      </c>
    </row>
    <row r="546" customFormat="false" ht="15" hidden="false" customHeight="false" outlineLevel="0" collapsed="false">
      <c r="A546" s="3" t="str">
        <f aca="false">'1. Raw Data'!A545</f>
        <v>EMP-0544</v>
      </c>
      <c r="B546" s="3" t="n">
        <f aca="false">'1. Raw Data'!B545</f>
        <v>38</v>
      </c>
      <c r="C546" s="3" t="str">
        <f aca="false">'1. Raw Data'!C545</f>
        <v>Sales</v>
      </c>
      <c r="D546" s="3" t="str">
        <f aca="false">'1. Raw Data'!D545</f>
        <v>Junior</v>
      </c>
      <c r="E546" s="3" t="str">
        <f aca="false">'1. Raw Data'!E545</f>
        <v>Other</v>
      </c>
      <c r="F546" s="3" t="n">
        <f aca="false">'1. Raw Data'!F545</f>
        <v>2.4</v>
      </c>
      <c r="G546" s="3" t="n">
        <f aca="false">IF('1. Raw Data'!G545="",ROUND(IFERROR(AVERAGEIFS('1. Raw Data'!G2:G1201,'1. Raw Data'!C2:C1201,'1. Raw Data'!C545,'1. Raw Data'!D2:D1201,'1. Raw Data'!D545),0),2),'1. Raw Data'!G545)</f>
        <v>3752.61</v>
      </c>
      <c r="H546" s="3" t="str">
        <f aca="false">PROPER('1. Raw Data'!H545)</f>
        <v>No</v>
      </c>
      <c r="I546" s="3" t="n">
        <f aca="false">'1. Raw Data'!I545</f>
        <v>1</v>
      </c>
      <c r="J546" s="3" t="n">
        <f aca="false">'1. Raw Data'!J545</f>
        <v>4</v>
      </c>
      <c r="K546" s="3" t="n">
        <f aca="false">'1. Raw Data'!K545</f>
        <v>2</v>
      </c>
      <c r="L546" s="3" t="n">
        <f aca="false">'1. Raw Data'!L545</f>
        <v>0</v>
      </c>
      <c r="M546" s="3" t="n">
        <f aca="false">'1. Raw Data'!M545</f>
        <v>6</v>
      </c>
      <c r="N546" s="3" t="str">
        <f aca="false">'1. Raw Data'!N545</f>
        <v>No</v>
      </c>
    </row>
    <row r="547" customFormat="false" ht="15" hidden="false" customHeight="false" outlineLevel="0" collapsed="false">
      <c r="A547" s="3" t="str">
        <f aca="false">'1. Raw Data'!A546</f>
        <v>EMP-0545</v>
      </c>
      <c r="B547" s="3" t="n">
        <f aca="false">'1. Raw Data'!B546</f>
        <v>36</v>
      </c>
      <c r="C547" s="3" t="str">
        <f aca="false">'1. Raw Data'!C546</f>
        <v>Sales</v>
      </c>
      <c r="D547" s="3" t="str">
        <f aca="false">'1. Raw Data'!D546</f>
        <v>Senior</v>
      </c>
      <c r="E547" s="3" t="str">
        <f aca="false">'1. Raw Data'!E546</f>
        <v>Technical</v>
      </c>
      <c r="F547" s="3" t="n">
        <f aca="false">'1. Raw Data'!F546</f>
        <v>1.5</v>
      </c>
      <c r="G547" s="3" t="n">
        <f aca="false">IF('1. Raw Data'!G546="",ROUND(IFERROR(AVERAGEIFS('1. Raw Data'!G2:G1201,'1. Raw Data'!C2:C1201,'1. Raw Data'!C546,'1. Raw Data'!D2:D1201,'1. Raw Data'!D546),0),2),'1. Raw Data'!G546)</f>
        <v>6490.13</v>
      </c>
      <c r="H547" s="3" t="str">
        <f aca="false">PROPER('1. Raw Data'!H546)</f>
        <v>Yes</v>
      </c>
      <c r="I547" s="3" t="n">
        <f aca="false">'1. Raw Data'!I546</f>
        <v>2</v>
      </c>
      <c r="J547" s="3" t="n">
        <f aca="false">'1. Raw Data'!J546</f>
        <v>2</v>
      </c>
      <c r="K547" s="3" t="n">
        <f aca="false">'1. Raw Data'!K546</f>
        <v>3</v>
      </c>
      <c r="L547" s="3" t="n">
        <f aca="false">'1. Raw Data'!L546</f>
        <v>0</v>
      </c>
      <c r="M547" s="3" t="n">
        <f aca="false">'1. Raw Data'!M546</f>
        <v>4</v>
      </c>
      <c r="N547" s="3" t="str">
        <f aca="false">'1. Raw Data'!N546</f>
        <v>Yes</v>
      </c>
    </row>
    <row r="548" customFormat="false" ht="15" hidden="false" customHeight="false" outlineLevel="0" collapsed="false">
      <c r="A548" s="3" t="str">
        <f aca="false">'1. Raw Data'!A547</f>
        <v>EMP-0546</v>
      </c>
      <c r="B548" s="3" t="n">
        <f aca="false">'1. Raw Data'!B547</f>
        <v>37</v>
      </c>
      <c r="C548" s="3" t="str">
        <f aca="false">'1. Raw Data'!C547</f>
        <v>Engineering</v>
      </c>
      <c r="D548" s="3" t="str">
        <f aca="false">'1. Raw Data'!D547</f>
        <v>Senior</v>
      </c>
      <c r="E548" s="3" t="str">
        <f aca="false">'1. Raw Data'!E547</f>
        <v>Business</v>
      </c>
      <c r="F548" s="3" t="n">
        <f aca="false">'1. Raw Data'!F547</f>
        <v>4.9</v>
      </c>
      <c r="G548" s="3" t="n">
        <f aca="false">IF('1. Raw Data'!G547="",ROUND(IFERROR(AVERAGEIFS('1. Raw Data'!G2:G1201,'1. Raw Data'!C2:C1201,'1. Raw Data'!C547,'1. Raw Data'!D2:D1201,'1. Raw Data'!D547),0),2),'1. Raw Data'!G547)</f>
        <v>6709.14</v>
      </c>
      <c r="H548" s="3" t="str">
        <f aca="false">PROPER('1. Raw Data'!H547)</f>
        <v>No</v>
      </c>
      <c r="I548" s="3" t="n">
        <f aca="false">'1. Raw Data'!I547</f>
        <v>3</v>
      </c>
      <c r="J548" s="3" t="n">
        <f aca="false">'1. Raw Data'!J547</f>
        <v>3</v>
      </c>
      <c r="K548" s="3" t="n">
        <f aca="false">'1. Raw Data'!K547</f>
        <v>5</v>
      </c>
      <c r="L548" s="3" t="n">
        <f aca="false">'1. Raw Data'!L547</f>
        <v>2</v>
      </c>
      <c r="M548" s="3" t="n">
        <f aca="false">'1. Raw Data'!M547</f>
        <v>1</v>
      </c>
      <c r="N548" s="3" t="str">
        <f aca="false">'1. Raw Data'!N547</f>
        <v>No</v>
      </c>
    </row>
    <row r="549" customFormat="false" ht="15" hidden="false" customHeight="false" outlineLevel="0" collapsed="false">
      <c r="A549" s="3" t="str">
        <f aca="false">'1. Raw Data'!A548</f>
        <v>EMP-0547</v>
      </c>
      <c r="B549" s="3" t="n">
        <f aca="false">'1. Raw Data'!B548</f>
        <v>24</v>
      </c>
      <c r="C549" s="3" t="str">
        <f aca="false">'1. Raw Data'!C548</f>
        <v>Engineering</v>
      </c>
      <c r="D549" s="3" t="str">
        <f aca="false">'1. Raw Data'!D548</f>
        <v>Senior</v>
      </c>
      <c r="E549" s="3" t="str">
        <f aca="false">'1. Raw Data'!E548</f>
        <v>Technical</v>
      </c>
      <c r="F549" s="3" t="n">
        <f aca="false">'1. Raw Data'!F548</f>
        <v>3</v>
      </c>
      <c r="G549" s="3" t="n">
        <f aca="false">IF('1. Raw Data'!G548="",ROUND(IFERROR(AVERAGEIFS('1. Raw Data'!G2:G1201,'1. Raw Data'!C2:C1201,'1. Raw Data'!C548,'1. Raw Data'!D2:D1201,'1. Raw Data'!D548),0),2),'1. Raw Data'!G548)</f>
        <v>6184.8</v>
      </c>
      <c r="H549" s="3" t="str">
        <f aca="false">PROPER('1. Raw Data'!H548)</f>
        <v>No</v>
      </c>
      <c r="I549" s="3" t="n">
        <f aca="false">'1. Raw Data'!I548</f>
        <v>3</v>
      </c>
      <c r="J549" s="3" t="n">
        <f aca="false">'1. Raw Data'!J548</f>
        <v>1</v>
      </c>
      <c r="K549" s="3" t="n">
        <f aca="false">'1. Raw Data'!K548</f>
        <v>2</v>
      </c>
      <c r="L549" s="3" t="n">
        <f aca="false">'1. Raw Data'!L548</f>
        <v>3</v>
      </c>
      <c r="M549" s="3" t="n">
        <f aca="false">'1. Raw Data'!M548</f>
        <v>2</v>
      </c>
      <c r="N549" s="3" t="str">
        <f aca="false">'1. Raw Data'!N548</f>
        <v>No</v>
      </c>
    </row>
    <row r="550" customFormat="false" ht="15" hidden="false" customHeight="false" outlineLevel="0" collapsed="false">
      <c r="A550" s="3" t="str">
        <f aca="false">'1. Raw Data'!A549</f>
        <v>EMP-0548</v>
      </c>
      <c r="B550" s="3" t="n">
        <f aca="false">'1. Raw Data'!B549</f>
        <v>35</v>
      </c>
      <c r="C550" s="3" t="str">
        <f aca="false">'1. Raw Data'!C549</f>
        <v>HR</v>
      </c>
      <c r="D550" s="3" t="str">
        <f aca="false">'1. Raw Data'!D549</f>
        <v>Junior</v>
      </c>
      <c r="E550" s="3" t="str">
        <f aca="false">'1. Raw Data'!E549</f>
        <v>Other</v>
      </c>
      <c r="F550" s="3" t="n">
        <f aca="false">'1. Raw Data'!F549</f>
        <v>1.5</v>
      </c>
      <c r="G550" s="3" t="n">
        <f aca="false">IF('1. Raw Data'!G549="",ROUND(IFERROR(AVERAGEIFS('1. Raw Data'!G2:G1201,'1. Raw Data'!C2:C1201,'1. Raw Data'!C549,'1. Raw Data'!D2:D1201,'1. Raw Data'!D549),0),2),'1. Raw Data'!G549)</f>
        <v>2874.86</v>
      </c>
      <c r="H550" s="3" t="str">
        <f aca="false">PROPER('1. Raw Data'!H549)</f>
        <v>No</v>
      </c>
      <c r="I550" s="3" t="n">
        <f aca="false">'1. Raw Data'!I549</f>
        <v>2</v>
      </c>
      <c r="J550" s="3" t="n">
        <f aca="false">'1. Raw Data'!J549</f>
        <v>4</v>
      </c>
      <c r="K550" s="3" t="n">
        <f aca="false">'1. Raw Data'!K549</f>
        <v>8</v>
      </c>
      <c r="L550" s="3" t="n">
        <f aca="false">'1. Raw Data'!L549</f>
        <v>0</v>
      </c>
      <c r="M550" s="3" t="n">
        <f aca="false">'1. Raw Data'!M549</f>
        <v>3</v>
      </c>
      <c r="N550" s="3" t="str">
        <f aca="false">'1. Raw Data'!N549</f>
        <v>Yes</v>
      </c>
    </row>
    <row r="551" customFormat="false" ht="15" hidden="false" customHeight="false" outlineLevel="0" collapsed="false">
      <c r="A551" s="3" t="str">
        <f aca="false">'1. Raw Data'!A550</f>
        <v>EMP-0549</v>
      </c>
      <c r="B551" s="3" t="n">
        <f aca="false">'1. Raw Data'!B550</f>
        <v>28</v>
      </c>
      <c r="C551" s="3" t="str">
        <f aca="false">'1. Raw Data'!C550</f>
        <v>Engineering</v>
      </c>
      <c r="D551" s="3" t="str">
        <f aca="false">'1. Raw Data'!D550</f>
        <v>Lead</v>
      </c>
      <c r="E551" s="3" t="str">
        <f aca="false">'1. Raw Data'!E550</f>
        <v>Marketing</v>
      </c>
      <c r="F551" s="3" t="n">
        <f aca="false">'1. Raw Data'!F550</f>
        <v>1.1</v>
      </c>
      <c r="G551" s="3" t="n">
        <f aca="false">IF('1. Raw Data'!G550="",ROUND(IFERROR(AVERAGEIFS('1. Raw Data'!G2:G1201,'1. Raw Data'!C2:C1201,'1. Raw Data'!C550,'1. Raw Data'!D2:D1201,'1. Raw Data'!D550),0),2),'1. Raw Data'!G550)</f>
        <v>10139.04</v>
      </c>
      <c r="H551" s="3" t="str">
        <f aca="false">PROPER('1. Raw Data'!H550)</f>
        <v>Yes</v>
      </c>
      <c r="I551" s="3" t="n">
        <f aca="false">'1. Raw Data'!I550</f>
        <v>4</v>
      </c>
      <c r="J551" s="3" t="n">
        <f aca="false">'1. Raw Data'!J550</f>
        <v>3</v>
      </c>
      <c r="K551" s="3" t="n">
        <f aca="false">'1. Raw Data'!K550</f>
        <v>13</v>
      </c>
      <c r="L551" s="3" t="n">
        <f aca="false">'1. Raw Data'!L550</f>
        <v>1</v>
      </c>
      <c r="M551" s="3" t="n">
        <f aca="false">'1. Raw Data'!M550</f>
        <v>1</v>
      </c>
      <c r="N551" s="3" t="str">
        <f aca="false">'1. Raw Data'!N550</f>
        <v>No</v>
      </c>
    </row>
    <row r="552" customFormat="false" ht="15" hidden="false" customHeight="false" outlineLevel="0" collapsed="false">
      <c r="A552" s="3" t="str">
        <f aca="false">'1. Raw Data'!A551</f>
        <v>EMP-0550</v>
      </c>
      <c r="B552" s="3" t="n">
        <f aca="false">'1. Raw Data'!B551</f>
        <v>33</v>
      </c>
      <c r="C552" s="3" t="str">
        <f aca="false">'1. Raw Data'!C551</f>
        <v>Marketing</v>
      </c>
      <c r="D552" s="3" t="str">
        <f aca="false">'1. Raw Data'!D551</f>
        <v>Junior</v>
      </c>
      <c r="E552" s="3" t="str">
        <f aca="false">'1. Raw Data'!E551</f>
        <v>Business</v>
      </c>
      <c r="F552" s="3" t="n">
        <f aca="false">'1. Raw Data'!F551</f>
        <v>0.8</v>
      </c>
      <c r="G552" s="3" t="n">
        <f aca="false">IF('1. Raw Data'!G551="",ROUND(IFERROR(AVERAGEIFS('1. Raw Data'!G2:G1201,'1. Raw Data'!C2:C1201,'1. Raw Data'!C551,'1. Raw Data'!D2:D1201,'1. Raw Data'!D551),0),2),'1. Raw Data'!G551)</f>
        <v>3425.15</v>
      </c>
      <c r="H552" s="3" t="str">
        <f aca="false">PROPER('1. Raw Data'!H551)</f>
        <v>No</v>
      </c>
      <c r="I552" s="3" t="n">
        <f aca="false">'1. Raw Data'!I551</f>
        <v>2</v>
      </c>
      <c r="J552" s="3" t="n">
        <f aca="false">'1. Raw Data'!J551</f>
        <v>1</v>
      </c>
      <c r="K552" s="3" t="n">
        <f aca="false">'1. Raw Data'!K551</f>
        <v>9</v>
      </c>
      <c r="L552" s="3" t="n">
        <f aca="false">'1. Raw Data'!L551</f>
        <v>0</v>
      </c>
      <c r="M552" s="3" t="n">
        <f aca="false">'1. Raw Data'!M551</f>
        <v>2</v>
      </c>
      <c r="N552" s="3" t="str">
        <f aca="false">'1. Raw Data'!N551</f>
        <v>Yes</v>
      </c>
    </row>
    <row r="553" customFormat="false" ht="15" hidden="false" customHeight="false" outlineLevel="0" collapsed="false">
      <c r="A553" s="3" t="str">
        <f aca="false">'1. Raw Data'!A552</f>
        <v>EMP-0551</v>
      </c>
      <c r="B553" s="3" t="n">
        <f aca="false">'1. Raw Data'!B552</f>
        <v>38</v>
      </c>
      <c r="C553" s="3" t="str">
        <f aca="false">'1. Raw Data'!C552</f>
        <v>Sales</v>
      </c>
      <c r="D553" s="3" t="str">
        <f aca="false">'1. Raw Data'!D552</f>
        <v>Junior</v>
      </c>
      <c r="E553" s="3" t="str">
        <f aca="false">'1. Raw Data'!E552</f>
        <v>Business</v>
      </c>
      <c r="F553" s="3" t="n">
        <f aca="false">'1. Raw Data'!F552</f>
        <v>0.9</v>
      </c>
      <c r="G553" s="3" t="n">
        <f aca="false">IF('1. Raw Data'!G552="",ROUND(IFERROR(AVERAGEIFS('1. Raw Data'!G2:G1201,'1. Raw Data'!C2:C1201,'1. Raw Data'!C552,'1. Raw Data'!D2:D1201,'1. Raw Data'!D552),0),2),'1. Raw Data'!G552)</f>
        <v>3287.99</v>
      </c>
      <c r="H553" s="3" t="str">
        <f aca="false">PROPER('1. Raw Data'!H552)</f>
        <v>No</v>
      </c>
      <c r="I553" s="3" t="n">
        <f aca="false">'1. Raw Data'!I552</f>
        <v>1</v>
      </c>
      <c r="J553" s="3" t="n">
        <f aca="false">'1. Raw Data'!J552</f>
        <v>3</v>
      </c>
      <c r="K553" s="3" t="n">
        <f aca="false">'1. Raw Data'!K552</f>
        <v>20</v>
      </c>
      <c r="L553" s="3" t="n">
        <f aca="false">'1. Raw Data'!L552</f>
        <v>0</v>
      </c>
      <c r="M553" s="3" t="n">
        <f aca="false">'1. Raw Data'!M552</f>
        <v>2</v>
      </c>
      <c r="N553" s="3" t="str">
        <f aca="false">'1. Raw Data'!N552</f>
        <v>Yes</v>
      </c>
    </row>
    <row r="554" customFormat="false" ht="15" hidden="false" customHeight="false" outlineLevel="0" collapsed="false">
      <c r="A554" s="3" t="str">
        <f aca="false">'1. Raw Data'!A553</f>
        <v>EMP-0552</v>
      </c>
      <c r="B554" s="3" t="n">
        <f aca="false">'1. Raw Data'!B553</f>
        <v>46</v>
      </c>
      <c r="C554" s="3" t="str">
        <f aca="false">'1. Raw Data'!C553</f>
        <v>Engineering</v>
      </c>
      <c r="D554" s="3" t="str">
        <f aca="false">'1. Raw Data'!D553</f>
        <v>Junior</v>
      </c>
      <c r="E554" s="3" t="str">
        <f aca="false">'1. Raw Data'!E553</f>
        <v>Technical</v>
      </c>
      <c r="F554" s="3" t="n">
        <f aca="false">'1. Raw Data'!F553</f>
        <v>0.9</v>
      </c>
      <c r="G554" s="3" t="n">
        <f aca="false">IF('1. Raw Data'!G553="",ROUND(IFERROR(AVERAGEIFS('1. Raw Data'!G2:G1201,'1. Raw Data'!C2:C1201,'1. Raw Data'!C553,'1. Raw Data'!D2:D1201,'1. Raw Data'!D553),0),2),'1. Raw Data'!G553)</f>
        <v>3270.52</v>
      </c>
      <c r="H554" s="3" t="str">
        <f aca="false">PROPER('1. Raw Data'!H553)</f>
        <v>No</v>
      </c>
      <c r="I554" s="3" t="n">
        <f aca="false">'1. Raw Data'!I553</f>
        <v>4</v>
      </c>
      <c r="J554" s="3" t="n">
        <f aca="false">'1. Raw Data'!J553</f>
        <v>2</v>
      </c>
      <c r="K554" s="3" t="n">
        <f aca="false">'1. Raw Data'!K553</f>
        <v>1</v>
      </c>
      <c r="L554" s="3" t="n">
        <f aca="false">'1. Raw Data'!L553</f>
        <v>0</v>
      </c>
      <c r="M554" s="3" t="n">
        <f aca="false">'1. Raw Data'!M553</f>
        <v>1</v>
      </c>
      <c r="N554" s="3" t="str">
        <f aca="false">'1. Raw Data'!N553</f>
        <v>No</v>
      </c>
    </row>
    <row r="555" customFormat="false" ht="15" hidden="false" customHeight="false" outlineLevel="0" collapsed="false">
      <c r="A555" s="3" t="str">
        <f aca="false">'1. Raw Data'!A554</f>
        <v>EMP-0553</v>
      </c>
      <c r="B555" s="3" t="n">
        <f aca="false">'1. Raw Data'!B554</f>
        <v>32</v>
      </c>
      <c r="C555" s="3" t="str">
        <f aca="false">'1. Raw Data'!C554</f>
        <v>Marketing</v>
      </c>
      <c r="D555" s="3" t="str">
        <f aca="false">'1. Raw Data'!D554</f>
        <v>Senior</v>
      </c>
      <c r="E555" s="3" t="str">
        <f aca="false">'1. Raw Data'!E554</f>
        <v>Business</v>
      </c>
      <c r="F555" s="3" t="n">
        <f aca="false">'1. Raw Data'!F554</f>
        <v>2.5</v>
      </c>
      <c r="G555" s="3" t="n">
        <f aca="false">IF('1. Raw Data'!G554="",ROUND(IFERROR(AVERAGEIFS('1. Raw Data'!G2:G1201,'1. Raw Data'!C2:C1201,'1. Raw Data'!C554,'1. Raw Data'!D2:D1201,'1. Raw Data'!D554),0),2),'1. Raw Data'!G554)</f>
        <v>8403.26</v>
      </c>
      <c r="H555" s="3" t="str">
        <f aca="false">PROPER('1. Raw Data'!H554)</f>
        <v>No</v>
      </c>
      <c r="I555" s="3" t="n">
        <f aca="false">'1. Raw Data'!I554</f>
        <v>3</v>
      </c>
      <c r="J555" s="3" t="n">
        <f aca="false">'1. Raw Data'!J554</f>
        <v>2</v>
      </c>
      <c r="K555" s="3" t="n">
        <f aca="false">'1. Raw Data'!K554</f>
        <v>1</v>
      </c>
      <c r="L555" s="3" t="n">
        <f aca="false">'1. Raw Data'!L554</f>
        <v>0</v>
      </c>
      <c r="M555" s="3" t="n">
        <f aca="false">'1. Raw Data'!M554</f>
        <v>1</v>
      </c>
      <c r="N555" s="3" t="str">
        <f aca="false">'1. Raw Data'!N554</f>
        <v>Yes</v>
      </c>
    </row>
    <row r="556" customFormat="false" ht="15" hidden="false" customHeight="false" outlineLevel="0" collapsed="false">
      <c r="A556" s="3" t="str">
        <f aca="false">'1. Raw Data'!A555</f>
        <v>EMP-0554</v>
      </c>
      <c r="B556" s="3" t="n">
        <f aca="false">'1. Raw Data'!B555</f>
        <v>39</v>
      </c>
      <c r="C556" s="3" t="str">
        <f aca="false">'1. Raw Data'!C555</f>
        <v>Engineering</v>
      </c>
      <c r="D556" s="3" t="str">
        <f aca="false">'1. Raw Data'!D555</f>
        <v>Lead</v>
      </c>
      <c r="E556" s="3" t="str">
        <f aca="false">'1. Raw Data'!E555</f>
        <v>Other</v>
      </c>
      <c r="F556" s="3" t="n">
        <f aca="false">'1. Raw Data'!F555</f>
        <v>10.6</v>
      </c>
      <c r="G556" s="3" t="n">
        <f aca="false">IF('1. Raw Data'!G555="",ROUND(IFERROR(AVERAGEIFS('1. Raw Data'!G2:G1201,'1. Raw Data'!C2:C1201,'1. Raw Data'!C555,'1. Raw Data'!D2:D1201,'1. Raw Data'!D555),0),2),'1. Raw Data'!G555)</f>
        <v>10770.75</v>
      </c>
      <c r="H556" s="3" t="str">
        <f aca="false">PROPER('1. Raw Data'!H555)</f>
        <v>No</v>
      </c>
      <c r="I556" s="3" t="n">
        <f aca="false">'1. Raw Data'!I555</f>
        <v>4</v>
      </c>
      <c r="J556" s="3" t="n">
        <f aca="false">'1. Raw Data'!J555</f>
        <v>4</v>
      </c>
      <c r="K556" s="3" t="n">
        <f aca="false">'1. Raw Data'!K555</f>
        <v>17</v>
      </c>
      <c r="L556" s="3" t="n">
        <f aca="false">'1. Raw Data'!L555</f>
        <v>0</v>
      </c>
      <c r="M556" s="3" t="n">
        <f aca="false">'1. Raw Data'!M555</f>
        <v>2</v>
      </c>
      <c r="N556" s="3" t="str">
        <f aca="false">'1. Raw Data'!N555</f>
        <v>No</v>
      </c>
    </row>
    <row r="557" customFormat="false" ht="15" hidden="false" customHeight="false" outlineLevel="0" collapsed="false">
      <c r="A557" s="3" t="str">
        <f aca="false">'1. Raw Data'!A556</f>
        <v>EMP-0555</v>
      </c>
      <c r="B557" s="3" t="n">
        <f aca="false">'1. Raw Data'!B556</f>
        <v>31</v>
      </c>
      <c r="C557" s="3" t="str">
        <f aca="false">'1. Raw Data'!C556</f>
        <v>Engineering</v>
      </c>
      <c r="D557" s="3" t="str">
        <f aca="false">'1. Raw Data'!D556</f>
        <v>Junior</v>
      </c>
      <c r="E557" s="3" t="str">
        <f aca="false">'1. Raw Data'!E556</f>
        <v>Business</v>
      </c>
      <c r="F557" s="3" t="n">
        <f aca="false">'1. Raw Data'!F556</f>
        <v>1</v>
      </c>
      <c r="G557" s="3" t="n">
        <f aca="false">IF('1. Raw Data'!G556="",ROUND(IFERROR(AVERAGEIFS('1. Raw Data'!G2:G1201,'1. Raw Data'!C2:C1201,'1. Raw Data'!C556,'1. Raw Data'!D2:D1201,'1. Raw Data'!D556),0),2),'1. Raw Data'!G556)</f>
        <v>3109.13</v>
      </c>
      <c r="H557" s="3" t="str">
        <f aca="false">PROPER('1. Raw Data'!H556)</f>
        <v>No</v>
      </c>
      <c r="I557" s="3" t="n">
        <f aca="false">'1. Raw Data'!I556</f>
        <v>2</v>
      </c>
      <c r="J557" s="3" t="n">
        <f aca="false">'1. Raw Data'!J556</f>
        <v>4</v>
      </c>
      <c r="K557" s="3" t="n">
        <f aca="false">'1. Raw Data'!K556</f>
        <v>1</v>
      </c>
      <c r="L557" s="3" t="n">
        <f aca="false">'1. Raw Data'!L556</f>
        <v>1</v>
      </c>
      <c r="M557" s="3" t="n">
        <f aca="false">'1. Raw Data'!M556</f>
        <v>2</v>
      </c>
      <c r="N557" s="3" t="str">
        <f aca="false">'1. Raw Data'!N556</f>
        <v>Yes</v>
      </c>
    </row>
    <row r="558" customFormat="false" ht="15" hidden="false" customHeight="false" outlineLevel="0" collapsed="false">
      <c r="A558" s="3" t="str">
        <f aca="false">'1. Raw Data'!A557</f>
        <v>EMP-0556</v>
      </c>
      <c r="B558" s="3" t="n">
        <f aca="false">'1. Raw Data'!B557</f>
        <v>49</v>
      </c>
      <c r="C558" s="3" t="str">
        <f aca="false">'1. Raw Data'!C557</f>
        <v>Engineering</v>
      </c>
      <c r="D558" s="3" t="str">
        <f aca="false">'1. Raw Data'!D557</f>
        <v>Mid</v>
      </c>
      <c r="E558" s="3" t="str">
        <f aca="false">'1. Raw Data'!E557</f>
        <v>Other</v>
      </c>
      <c r="F558" s="3" t="n">
        <f aca="false">'1. Raw Data'!F557</f>
        <v>0.1</v>
      </c>
      <c r="G558" s="3" t="n">
        <f aca="false">IF('1. Raw Data'!G557="",ROUND(IFERROR(AVERAGEIFS('1. Raw Data'!G2:G1201,'1. Raw Data'!C2:C1201,'1. Raw Data'!C557,'1. Raw Data'!D2:D1201,'1. Raw Data'!D557),0),2),'1. Raw Data'!G557)</f>
        <v>5461.49</v>
      </c>
      <c r="H558" s="3" t="str">
        <f aca="false">PROPER('1. Raw Data'!H557)</f>
        <v>No</v>
      </c>
      <c r="I558" s="3" t="n">
        <f aca="false">'1. Raw Data'!I557</f>
        <v>3</v>
      </c>
      <c r="J558" s="3" t="n">
        <f aca="false">'1. Raw Data'!J557</f>
        <v>2</v>
      </c>
      <c r="K558" s="3" t="n">
        <f aca="false">'1. Raw Data'!K557</f>
        <v>3</v>
      </c>
      <c r="L558" s="3" t="n">
        <f aca="false">'1. Raw Data'!L557</f>
        <v>0</v>
      </c>
      <c r="M558" s="3" t="n">
        <f aca="false">'1. Raw Data'!M557</f>
        <v>2</v>
      </c>
      <c r="N558" s="3" t="str">
        <f aca="false">'1. Raw Data'!N557</f>
        <v>Yes</v>
      </c>
    </row>
    <row r="559" customFormat="false" ht="15" hidden="false" customHeight="false" outlineLevel="0" collapsed="false">
      <c r="A559" s="3" t="str">
        <f aca="false">'1. Raw Data'!A558</f>
        <v>EMP-0557</v>
      </c>
      <c r="B559" s="3" t="n">
        <f aca="false">'1. Raw Data'!B558</f>
        <v>22</v>
      </c>
      <c r="C559" s="3" t="str">
        <f aca="false">'1. Raw Data'!C558</f>
        <v>Customer Support</v>
      </c>
      <c r="D559" s="3" t="str">
        <f aca="false">'1. Raw Data'!D558</f>
        <v>Senior</v>
      </c>
      <c r="E559" s="3" t="str">
        <f aca="false">'1. Raw Data'!E558</f>
        <v>Other</v>
      </c>
      <c r="F559" s="3" t="n">
        <f aca="false">'1. Raw Data'!F558</f>
        <v>1</v>
      </c>
      <c r="G559" s="3" t="n">
        <f aca="false">IF('1. Raw Data'!G558="",ROUND(IFERROR(AVERAGEIFS('1. Raw Data'!G2:G1201,'1. Raw Data'!C2:C1201,'1. Raw Data'!C558,'1. Raw Data'!D2:D1201,'1. Raw Data'!D558),0),2),'1. Raw Data'!G558)</f>
        <v>7631.33</v>
      </c>
      <c r="H559" s="3" t="str">
        <f aca="false">PROPER('1. Raw Data'!H558)</f>
        <v>Yes</v>
      </c>
      <c r="I559" s="3" t="n">
        <f aca="false">'1. Raw Data'!I558</f>
        <v>3</v>
      </c>
      <c r="J559" s="3" t="n">
        <f aca="false">'1. Raw Data'!J558</f>
        <v>4</v>
      </c>
      <c r="K559" s="3" t="n">
        <f aca="false">'1. Raw Data'!K558</f>
        <v>1</v>
      </c>
      <c r="L559" s="3" t="n">
        <f aca="false">'1. Raw Data'!L558</f>
        <v>0</v>
      </c>
      <c r="M559" s="3" t="n">
        <f aca="false">'1. Raw Data'!M558</f>
        <v>2</v>
      </c>
      <c r="N559" s="3" t="str">
        <f aca="false">'1. Raw Data'!N558</f>
        <v>No</v>
      </c>
    </row>
    <row r="560" customFormat="false" ht="15" hidden="false" customHeight="false" outlineLevel="0" collapsed="false">
      <c r="A560" s="3" t="str">
        <f aca="false">'1. Raw Data'!A559</f>
        <v>EMP-0558</v>
      </c>
      <c r="B560" s="3" t="n">
        <f aca="false">'1. Raw Data'!B559</f>
        <v>27</v>
      </c>
      <c r="C560" s="3" t="str">
        <f aca="false">'1. Raw Data'!C559</f>
        <v>Marketing</v>
      </c>
      <c r="D560" s="3" t="str">
        <f aca="false">'1. Raw Data'!D559</f>
        <v>Senior</v>
      </c>
      <c r="E560" s="3" t="str">
        <f aca="false">'1. Raw Data'!E559</f>
        <v>Marketing</v>
      </c>
      <c r="F560" s="3" t="n">
        <f aca="false">'1. Raw Data'!F559</f>
        <v>3.9</v>
      </c>
      <c r="G560" s="3" t="n">
        <f aca="false">IF('1. Raw Data'!G559="",ROUND(IFERROR(AVERAGEIFS('1. Raw Data'!G2:G1201,'1. Raw Data'!C2:C1201,'1. Raw Data'!C559,'1. Raw Data'!D2:D1201,'1. Raw Data'!D559),0),2),'1. Raw Data'!G559)</f>
        <v>8234.94</v>
      </c>
      <c r="H560" s="3" t="str">
        <f aca="false">PROPER('1. Raw Data'!H559)</f>
        <v>No</v>
      </c>
      <c r="I560" s="3" t="n">
        <f aca="false">'1. Raw Data'!I559</f>
        <v>4</v>
      </c>
      <c r="J560" s="3" t="n">
        <f aca="false">'1. Raw Data'!J559</f>
        <v>3</v>
      </c>
      <c r="K560" s="3" t="n">
        <f aca="false">'1. Raw Data'!K559</f>
        <v>1</v>
      </c>
      <c r="L560" s="3" t="n">
        <f aca="false">'1. Raw Data'!L559</f>
        <v>1</v>
      </c>
      <c r="M560" s="3" t="n">
        <f aca="false">'1. Raw Data'!M559</f>
        <v>3</v>
      </c>
      <c r="N560" s="3" t="str">
        <f aca="false">'1. Raw Data'!N559</f>
        <v>No</v>
      </c>
    </row>
    <row r="561" customFormat="false" ht="15" hidden="false" customHeight="false" outlineLevel="0" collapsed="false">
      <c r="A561" s="3" t="str">
        <f aca="false">'1. Raw Data'!A560</f>
        <v>EMP-0559</v>
      </c>
      <c r="B561" s="3" t="n">
        <f aca="false">'1. Raw Data'!B560</f>
        <v>34</v>
      </c>
      <c r="C561" s="3" t="str">
        <f aca="false">'1. Raw Data'!C560</f>
        <v>Engineering</v>
      </c>
      <c r="D561" s="3" t="str">
        <f aca="false">'1. Raw Data'!D560</f>
        <v>Junior</v>
      </c>
      <c r="E561" s="3" t="str">
        <f aca="false">'1. Raw Data'!E560</f>
        <v>Marketing</v>
      </c>
      <c r="F561" s="3" t="n">
        <f aca="false">'1. Raw Data'!F560</f>
        <v>4</v>
      </c>
      <c r="G561" s="3" t="n">
        <f aca="false">IF('1. Raw Data'!G560="",ROUND(IFERROR(AVERAGEIFS('1. Raw Data'!G2:G1201,'1. Raw Data'!C2:C1201,'1. Raw Data'!C560,'1. Raw Data'!D2:D1201,'1. Raw Data'!D560),0),2),'1. Raw Data'!G560)</f>
        <v>3099.52</v>
      </c>
      <c r="H561" s="3" t="str">
        <f aca="false">PROPER('1. Raw Data'!H560)</f>
        <v>No</v>
      </c>
      <c r="I561" s="3" t="n">
        <f aca="false">'1. Raw Data'!I560</f>
        <v>3</v>
      </c>
      <c r="J561" s="3" t="n">
        <f aca="false">'1. Raw Data'!J560</f>
        <v>3</v>
      </c>
      <c r="K561" s="3" t="n">
        <f aca="false">'1. Raw Data'!K560</f>
        <v>2</v>
      </c>
      <c r="L561" s="3" t="n">
        <f aca="false">'1. Raw Data'!L560</f>
        <v>1</v>
      </c>
      <c r="M561" s="3" t="n">
        <f aca="false">'1. Raw Data'!M560</f>
        <v>3</v>
      </c>
      <c r="N561" s="3" t="str">
        <f aca="false">'1. Raw Data'!N560</f>
        <v>No</v>
      </c>
    </row>
    <row r="562" customFormat="false" ht="15" hidden="false" customHeight="false" outlineLevel="0" collapsed="false">
      <c r="A562" s="3" t="str">
        <f aca="false">'1. Raw Data'!A561</f>
        <v>EMP-0560</v>
      </c>
      <c r="B562" s="3" t="n">
        <f aca="false">'1. Raw Data'!B561</f>
        <v>52</v>
      </c>
      <c r="C562" s="3" t="str">
        <f aca="false">'1. Raw Data'!C561</f>
        <v>Finance</v>
      </c>
      <c r="D562" s="3" t="str">
        <f aca="false">'1. Raw Data'!D561</f>
        <v>Senior</v>
      </c>
      <c r="E562" s="3" t="str">
        <f aca="false">'1. Raw Data'!E561</f>
        <v>Business</v>
      </c>
      <c r="F562" s="3" t="n">
        <f aca="false">'1. Raw Data'!F561</f>
        <v>1.9</v>
      </c>
      <c r="G562" s="3" t="n">
        <f aca="false">IF('1. Raw Data'!G561="",ROUND(IFERROR(AVERAGEIFS('1. Raw Data'!G2:G1201,'1. Raw Data'!C2:C1201,'1. Raw Data'!C561,'1. Raw Data'!D2:D1201,'1. Raw Data'!D561),0),2),'1. Raw Data'!G561)</f>
        <v>7176.75</v>
      </c>
      <c r="H562" s="3" t="str">
        <f aca="false">PROPER('1. Raw Data'!H561)</f>
        <v>No</v>
      </c>
      <c r="I562" s="3" t="n">
        <f aca="false">'1. Raw Data'!I561</f>
        <v>1</v>
      </c>
      <c r="J562" s="3" t="n">
        <f aca="false">'1. Raw Data'!J561</f>
        <v>1</v>
      </c>
      <c r="K562" s="3" t="n">
        <f aca="false">'1. Raw Data'!K561</f>
        <v>14</v>
      </c>
      <c r="L562" s="3" t="n">
        <f aca="false">'1. Raw Data'!L561</f>
        <v>0</v>
      </c>
      <c r="M562" s="3" t="n">
        <f aca="false">'1. Raw Data'!M561</f>
        <v>5</v>
      </c>
      <c r="N562" s="3" t="str">
        <f aca="false">'1. Raw Data'!N561</f>
        <v>No</v>
      </c>
    </row>
    <row r="563" customFormat="false" ht="15" hidden="false" customHeight="false" outlineLevel="0" collapsed="false">
      <c r="A563" s="3" t="str">
        <f aca="false">'1. Raw Data'!A562</f>
        <v>EMP-0561</v>
      </c>
      <c r="B563" s="3" t="n">
        <f aca="false">'1. Raw Data'!B562</f>
        <v>36</v>
      </c>
      <c r="C563" s="3" t="str">
        <f aca="false">'1. Raw Data'!C562</f>
        <v>Finance</v>
      </c>
      <c r="D563" s="3" t="str">
        <f aca="false">'1. Raw Data'!D562</f>
        <v>Mid</v>
      </c>
      <c r="E563" s="3" t="str">
        <f aca="false">'1. Raw Data'!E562</f>
        <v>Marketing</v>
      </c>
      <c r="F563" s="3" t="n">
        <f aca="false">'1. Raw Data'!F562</f>
        <v>0.7</v>
      </c>
      <c r="G563" s="3" t="n">
        <f aca="false">IF('1. Raw Data'!G562="",ROUND(IFERROR(AVERAGEIFS('1. Raw Data'!G2:G1201,'1. Raw Data'!C2:C1201,'1. Raw Data'!C562,'1. Raw Data'!D2:D1201,'1. Raw Data'!D562),0),2),'1. Raw Data'!G562)</f>
        <v>5239.32</v>
      </c>
      <c r="H563" s="3" t="str">
        <f aca="false">PROPER('1. Raw Data'!H562)</f>
        <v>No</v>
      </c>
      <c r="I563" s="3" t="n">
        <f aca="false">'1. Raw Data'!I562</f>
        <v>3</v>
      </c>
      <c r="J563" s="3" t="n">
        <f aca="false">'1. Raw Data'!J562</f>
        <v>3</v>
      </c>
      <c r="K563" s="3" t="n">
        <f aca="false">'1. Raw Data'!K562</f>
        <v>1</v>
      </c>
      <c r="L563" s="3" t="n">
        <f aca="false">'1. Raw Data'!L562</f>
        <v>0</v>
      </c>
      <c r="M563" s="3" t="n">
        <f aca="false">'1. Raw Data'!M562</f>
        <v>0</v>
      </c>
      <c r="N563" s="3" t="str">
        <f aca="false">'1. Raw Data'!N562</f>
        <v>No</v>
      </c>
    </row>
    <row r="564" customFormat="false" ht="15" hidden="false" customHeight="false" outlineLevel="0" collapsed="false">
      <c r="A564" s="3" t="str">
        <f aca="false">'1. Raw Data'!A563</f>
        <v>EMP-0562</v>
      </c>
      <c r="B564" s="3" t="n">
        <f aca="false">'1. Raw Data'!B563</f>
        <v>37</v>
      </c>
      <c r="C564" s="3" t="str">
        <f aca="false">'1. Raw Data'!C563</f>
        <v>Customer Support</v>
      </c>
      <c r="D564" s="3" t="str">
        <f aca="false">'1. Raw Data'!D563</f>
        <v>Lead</v>
      </c>
      <c r="E564" s="3" t="str">
        <f aca="false">'1. Raw Data'!E563</f>
        <v>Technical</v>
      </c>
      <c r="F564" s="3" t="n">
        <f aca="false">'1. Raw Data'!F563</f>
        <v>7.2</v>
      </c>
      <c r="G564" s="3" t="n">
        <f aca="false">IF('1. Raw Data'!G563="",ROUND(IFERROR(AVERAGEIFS('1. Raw Data'!G2:G1201,'1. Raw Data'!C2:C1201,'1. Raw Data'!C563,'1. Raw Data'!D2:D1201,'1. Raw Data'!D563),0),2),'1. Raw Data'!G563)</f>
        <v>8555.52</v>
      </c>
      <c r="H564" s="3" t="str">
        <f aca="false">PROPER('1. Raw Data'!H563)</f>
        <v>No</v>
      </c>
      <c r="I564" s="3" t="n">
        <f aca="false">'1. Raw Data'!I563</f>
        <v>2</v>
      </c>
      <c r="J564" s="3" t="n">
        <f aca="false">'1. Raw Data'!J563</f>
        <v>2</v>
      </c>
      <c r="K564" s="3" t="n">
        <f aca="false">'1. Raw Data'!K563</f>
        <v>2</v>
      </c>
      <c r="L564" s="3" t="n">
        <f aca="false">'1. Raw Data'!L563</f>
        <v>3</v>
      </c>
      <c r="M564" s="3" t="n">
        <f aca="false">'1. Raw Data'!M563</f>
        <v>0</v>
      </c>
      <c r="N564" s="3" t="str">
        <f aca="false">'1. Raw Data'!N563</f>
        <v>Yes</v>
      </c>
    </row>
    <row r="565" customFormat="false" ht="15" hidden="false" customHeight="false" outlineLevel="0" collapsed="false">
      <c r="A565" s="3" t="str">
        <f aca="false">'1. Raw Data'!A564</f>
        <v>EMP-0563</v>
      </c>
      <c r="B565" s="3" t="n">
        <f aca="false">'1. Raw Data'!B564</f>
        <v>21</v>
      </c>
      <c r="C565" s="3" t="str">
        <f aca="false">'1. Raw Data'!C564</f>
        <v>Engineering</v>
      </c>
      <c r="D565" s="3" t="str">
        <f aca="false">'1. Raw Data'!D564</f>
        <v>Mid</v>
      </c>
      <c r="E565" s="3" t="str">
        <f aca="false">'1. Raw Data'!E564</f>
        <v>Technical</v>
      </c>
      <c r="F565" s="3" t="n">
        <f aca="false">'1. Raw Data'!F564</f>
        <v>0</v>
      </c>
      <c r="G565" s="3" t="n">
        <f aca="false">IF('1. Raw Data'!G564="",ROUND(IFERROR(AVERAGEIFS('1. Raw Data'!G2:G1201,'1. Raw Data'!C2:C1201,'1. Raw Data'!C564,'1. Raw Data'!D2:D1201,'1. Raw Data'!D564),0),2),'1. Raw Data'!G564)</f>
        <v>5282.29</v>
      </c>
      <c r="H565" s="3" t="str">
        <f aca="false">PROPER('1. Raw Data'!H564)</f>
        <v>Yes</v>
      </c>
      <c r="I565" s="3" t="n">
        <f aca="false">'1. Raw Data'!I564</f>
        <v>1</v>
      </c>
      <c r="J565" s="3" t="n">
        <f aca="false">'1. Raw Data'!J564</f>
        <v>3</v>
      </c>
      <c r="K565" s="3" t="n">
        <f aca="false">'1. Raw Data'!K564</f>
        <v>6</v>
      </c>
      <c r="L565" s="3" t="n">
        <f aca="false">'1. Raw Data'!L564</f>
        <v>0</v>
      </c>
      <c r="M565" s="3" t="n">
        <f aca="false">'1. Raw Data'!M564</f>
        <v>5</v>
      </c>
      <c r="N565" s="3" t="str">
        <f aca="false">'1. Raw Data'!N564</f>
        <v>Yes</v>
      </c>
    </row>
    <row r="566" customFormat="false" ht="15" hidden="false" customHeight="false" outlineLevel="0" collapsed="false">
      <c r="A566" s="3" t="str">
        <f aca="false">'1. Raw Data'!A565</f>
        <v>EMP-0564</v>
      </c>
      <c r="B566" s="3" t="n">
        <f aca="false">'1. Raw Data'!B565</f>
        <v>41</v>
      </c>
      <c r="C566" s="3" t="str">
        <f aca="false">'1. Raw Data'!C565</f>
        <v>Finance</v>
      </c>
      <c r="D566" s="3" t="str">
        <f aca="false">'1. Raw Data'!D565</f>
        <v>Junior</v>
      </c>
      <c r="E566" s="3" t="str">
        <f aca="false">'1. Raw Data'!E565</f>
        <v>Business</v>
      </c>
      <c r="F566" s="3" t="n">
        <f aca="false">'1. Raw Data'!F565</f>
        <v>2.8</v>
      </c>
      <c r="G566" s="3" t="n">
        <f aca="false">IF('1. Raw Data'!G565="",ROUND(IFERROR(AVERAGEIFS('1. Raw Data'!G2:G1201,'1. Raw Data'!C2:C1201,'1. Raw Data'!C565,'1. Raw Data'!D2:D1201,'1. Raw Data'!D565),0),2),'1. Raw Data'!G565)</f>
        <v>3158.46</v>
      </c>
      <c r="H566" s="3" t="str">
        <f aca="false">PROPER('1. Raw Data'!H565)</f>
        <v>No</v>
      </c>
      <c r="I566" s="3" t="n">
        <f aca="false">'1. Raw Data'!I565</f>
        <v>4</v>
      </c>
      <c r="J566" s="3" t="n">
        <f aca="false">'1. Raw Data'!J565</f>
        <v>4</v>
      </c>
      <c r="K566" s="3" t="n">
        <f aca="false">'1. Raw Data'!K565</f>
        <v>6</v>
      </c>
      <c r="L566" s="3" t="n">
        <f aca="false">'1. Raw Data'!L565</f>
        <v>2</v>
      </c>
      <c r="M566" s="3" t="n">
        <f aca="false">'1. Raw Data'!M565</f>
        <v>1</v>
      </c>
      <c r="N566" s="3" t="str">
        <f aca="false">'1. Raw Data'!N565</f>
        <v>No</v>
      </c>
    </row>
    <row r="567" customFormat="false" ht="15" hidden="false" customHeight="false" outlineLevel="0" collapsed="false">
      <c r="A567" s="3" t="str">
        <f aca="false">'1. Raw Data'!A566</f>
        <v>EMP-0565</v>
      </c>
      <c r="B567" s="3" t="n">
        <f aca="false">'1. Raw Data'!B566</f>
        <v>38</v>
      </c>
      <c r="C567" s="3" t="str">
        <f aca="false">'1. Raw Data'!C566</f>
        <v>Engineering</v>
      </c>
      <c r="D567" s="3" t="str">
        <f aca="false">'1. Raw Data'!D566</f>
        <v>Junior</v>
      </c>
      <c r="E567" s="3" t="str">
        <f aca="false">'1. Raw Data'!E566</f>
        <v>Technical</v>
      </c>
      <c r="F567" s="3" t="n">
        <f aca="false">'1. Raw Data'!F566</f>
        <v>0.9</v>
      </c>
      <c r="G567" s="3" t="n">
        <f aca="false">IF('1. Raw Data'!G566="",ROUND(IFERROR(AVERAGEIFS('1. Raw Data'!G2:G1201,'1. Raw Data'!C2:C1201,'1. Raw Data'!C566,'1. Raw Data'!D2:D1201,'1. Raw Data'!D566),0),2),'1. Raw Data'!G566)</f>
        <v>3819.38</v>
      </c>
      <c r="H567" s="3" t="str">
        <f aca="false">PROPER('1. Raw Data'!H566)</f>
        <v>No</v>
      </c>
      <c r="I567" s="3" t="n">
        <f aca="false">'1. Raw Data'!I566</f>
        <v>3</v>
      </c>
      <c r="J567" s="3" t="n">
        <f aca="false">'1. Raw Data'!J566</f>
        <v>4</v>
      </c>
      <c r="K567" s="3" t="n">
        <f aca="false">'1. Raw Data'!K566</f>
        <v>4</v>
      </c>
      <c r="L567" s="3" t="n">
        <f aca="false">'1. Raw Data'!L566</f>
        <v>0</v>
      </c>
      <c r="M567" s="3" t="n">
        <f aca="false">'1. Raw Data'!M566</f>
        <v>4</v>
      </c>
      <c r="N567" s="3" t="str">
        <f aca="false">'1. Raw Data'!N566</f>
        <v>No</v>
      </c>
    </row>
    <row r="568" customFormat="false" ht="15" hidden="false" customHeight="false" outlineLevel="0" collapsed="false">
      <c r="A568" s="3" t="str">
        <f aca="false">'1. Raw Data'!A567</f>
        <v>EMP-0566</v>
      </c>
      <c r="B568" s="3" t="n">
        <f aca="false">'1. Raw Data'!B567</f>
        <v>21</v>
      </c>
      <c r="C568" s="3" t="str">
        <f aca="false">'1. Raw Data'!C567</f>
        <v>Customer Support</v>
      </c>
      <c r="D568" s="3" t="str">
        <f aca="false">'1. Raw Data'!D567</f>
        <v>Senior</v>
      </c>
      <c r="E568" s="3" t="str">
        <f aca="false">'1. Raw Data'!E567</f>
        <v>Business</v>
      </c>
      <c r="F568" s="3" t="n">
        <f aca="false">'1. Raw Data'!F567</f>
        <v>0</v>
      </c>
      <c r="G568" s="3" t="n">
        <f aca="false">IF('1. Raw Data'!G567="",ROUND(IFERROR(AVERAGEIFS('1. Raw Data'!G2:G1201,'1. Raw Data'!C2:C1201,'1. Raw Data'!C567,'1. Raw Data'!D2:D1201,'1. Raw Data'!D567),0),2),'1. Raw Data'!G567)</f>
        <v>6277.7</v>
      </c>
      <c r="H568" s="3" t="str">
        <f aca="false">PROPER('1. Raw Data'!H567)</f>
        <v>Yes</v>
      </c>
      <c r="I568" s="3" t="n">
        <f aca="false">'1. Raw Data'!I567</f>
        <v>3</v>
      </c>
      <c r="J568" s="3" t="n">
        <f aca="false">'1. Raw Data'!J567</f>
        <v>2</v>
      </c>
      <c r="K568" s="3" t="n">
        <f aca="false">'1. Raw Data'!K567</f>
        <v>1</v>
      </c>
      <c r="L568" s="3" t="n">
        <f aca="false">'1. Raw Data'!L567</f>
        <v>0</v>
      </c>
      <c r="M568" s="3" t="n">
        <f aca="false">'1. Raw Data'!M567</f>
        <v>3</v>
      </c>
      <c r="N568" s="3" t="str">
        <f aca="false">'1. Raw Data'!N567</f>
        <v>No</v>
      </c>
    </row>
    <row r="569" customFormat="false" ht="15" hidden="false" customHeight="false" outlineLevel="0" collapsed="false">
      <c r="A569" s="3" t="str">
        <f aca="false">'1. Raw Data'!A568</f>
        <v>EMP-0567</v>
      </c>
      <c r="B569" s="3" t="n">
        <f aca="false">'1. Raw Data'!B568</f>
        <v>25</v>
      </c>
      <c r="C569" s="3" t="str">
        <f aca="false">'1. Raw Data'!C568</f>
        <v>Engineering</v>
      </c>
      <c r="D569" s="3" t="str">
        <f aca="false">'1. Raw Data'!D568</f>
        <v>Junior</v>
      </c>
      <c r="E569" s="3" t="str">
        <f aca="false">'1. Raw Data'!E568</f>
        <v>Technical</v>
      </c>
      <c r="F569" s="3" t="n">
        <f aca="false">'1. Raw Data'!F568</f>
        <v>4</v>
      </c>
      <c r="G569" s="3" t="n">
        <f aca="false">IF('1. Raw Data'!G568="",ROUND(IFERROR(AVERAGEIFS('1. Raw Data'!G2:G1201,'1. Raw Data'!C2:C1201,'1. Raw Data'!C568,'1. Raw Data'!D2:D1201,'1. Raw Data'!D568),0),2),'1. Raw Data'!G568)</f>
        <v>3109.51</v>
      </c>
      <c r="H569" s="3" t="str">
        <f aca="false">PROPER('1. Raw Data'!H568)</f>
        <v>No</v>
      </c>
      <c r="I569" s="3" t="n">
        <f aca="false">'1. Raw Data'!I568</f>
        <v>1</v>
      </c>
      <c r="J569" s="3" t="n">
        <f aca="false">'1. Raw Data'!J568</f>
        <v>3</v>
      </c>
      <c r="K569" s="3" t="n">
        <f aca="false">'1. Raw Data'!K568</f>
        <v>12</v>
      </c>
      <c r="L569" s="3" t="n">
        <f aca="false">'1. Raw Data'!L568</f>
        <v>0</v>
      </c>
      <c r="M569" s="3" t="n">
        <f aca="false">'1. Raw Data'!M568</f>
        <v>0</v>
      </c>
      <c r="N569" s="3" t="str">
        <f aca="false">'1. Raw Data'!N568</f>
        <v>No</v>
      </c>
    </row>
    <row r="570" customFormat="false" ht="15" hidden="false" customHeight="false" outlineLevel="0" collapsed="false">
      <c r="A570" s="3" t="str">
        <f aca="false">'1. Raw Data'!A569</f>
        <v>EMP-0568</v>
      </c>
      <c r="B570" s="3" t="n">
        <f aca="false">'1. Raw Data'!B569</f>
        <v>32</v>
      </c>
      <c r="C570" s="3" t="str">
        <f aca="false">'1. Raw Data'!C569</f>
        <v>Engineering</v>
      </c>
      <c r="D570" s="3" t="str">
        <f aca="false">'1. Raw Data'!D569</f>
        <v>Senior</v>
      </c>
      <c r="E570" s="3" t="str">
        <f aca="false">'1. Raw Data'!E569</f>
        <v>Other</v>
      </c>
      <c r="F570" s="3" t="n">
        <f aca="false">'1. Raw Data'!F569</f>
        <v>3.8</v>
      </c>
      <c r="G570" s="3" t="n">
        <f aca="false">IF('1. Raw Data'!G569="",ROUND(IFERROR(AVERAGEIFS('1. Raw Data'!G2:G1201,'1. Raw Data'!C2:C1201,'1. Raw Data'!C569,'1. Raw Data'!D2:D1201,'1. Raw Data'!D569),0),2),'1. Raw Data'!G569)</f>
        <v>7145.39</v>
      </c>
      <c r="H570" s="3" t="str">
        <f aca="false">PROPER('1. Raw Data'!H569)</f>
        <v>No</v>
      </c>
      <c r="I570" s="3" t="n">
        <f aca="false">'1. Raw Data'!I569</f>
        <v>3</v>
      </c>
      <c r="J570" s="3" t="n">
        <f aca="false">'1. Raw Data'!J569</f>
        <v>1</v>
      </c>
      <c r="K570" s="3" t="n">
        <f aca="false">'1. Raw Data'!K569</f>
        <v>1</v>
      </c>
      <c r="L570" s="3" t="n">
        <f aca="false">'1. Raw Data'!L569</f>
        <v>0</v>
      </c>
      <c r="M570" s="3" t="n">
        <f aca="false">'1. Raw Data'!M569</f>
        <v>2</v>
      </c>
      <c r="N570" s="3" t="str">
        <f aca="false">'1. Raw Data'!N569</f>
        <v>No</v>
      </c>
    </row>
    <row r="571" customFormat="false" ht="15" hidden="false" customHeight="false" outlineLevel="0" collapsed="false">
      <c r="A571" s="3" t="str">
        <f aca="false">'1. Raw Data'!A570</f>
        <v>EMP-0569</v>
      </c>
      <c r="B571" s="3" t="n">
        <f aca="false">'1. Raw Data'!B570</f>
        <v>41</v>
      </c>
      <c r="C571" s="3" t="str">
        <f aca="false">'1. Raw Data'!C570</f>
        <v>Engineering</v>
      </c>
      <c r="D571" s="3" t="str">
        <f aca="false">'1. Raw Data'!D570</f>
        <v>Junior</v>
      </c>
      <c r="E571" s="3" t="str">
        <f aca="false">'1. Raw Data'!E570</f>
        <v>Other</v>
      </c>
      <c r="F571" s="3" t="n">
        <f aca="false">'1. Raw Data'!F570</f>
        <v>5.3</v>
      </c>
      <c r="G571" s="3" t="n">
        <f aca="false">IF('1. Raw Data'!G570="",ROUND(IFERROR(AVERAGEIFS('1. Raw Data'!G2:G1201,'1. Raw Data'!C2:C1201,'1. Raw Data'!C570,'1. Raw Data'!D2:D1201,'1. Raw Data'!D570),0),2),'1. Raw Data'!G570)</f>
        <v>3460.97</v>
      </c>
      <c r="H571" s="3" t="str">
        <f aca="false">PROPER('1. Raw Data'!H570)</f>
        <v>No</v>
      </c>
      <c r="I571" s="3" t="n">
        <f aca="false">'1. Raw Data'!I570</f>
        <v>1</v>
      </c>
      <c r="J571" s="3" t="n">
        <f aca="false">'1. Raw Data'!J570</f>
        <v>2</v>
      </c>
      <c r="K571" s="3" t="n">
        <f aca="false">'1. Raw Data'!K570</f>
        <v>9</v>
      </c>
      <c r="L571" s="3" t="n">
        <f aca="false">'1. Raw Data'!L570</f>
        <v>5</v>
      </c>
      <c r="M571" s="3" t="n">
        <f aca="false">'1. Raw Data'!M570</f>
        <v>0</v>
      </c>
      <c r="N571" s="3" t="str">
        <f aca="false">'1. Raw Data'!N570</f>
        <v>Yes</v>
      </c>
    </row>
    <row r="572" customFormat="false" ht="15" hidden="false" customHeight="false" outlineLevel="0" collapsed="false">
      <c r="A572" s="3" t="str">
        <f aca="false">'1. Raw Data'!A571</f>
        <v>EMP-0570</v>
      </c>
      <c r="B572" s="3" t="n">
        <f aca="false">'1. Raw Data'!B571</f>
        <v>40</v>
      </c>
      <c r="C572" s="3" t="str">
        <f aca="false">'1. Raw Data'!C571</f>
        <v>Finance</v>
      </c>
      <c r="D572" s="3" t="str">
        <f aca="false">'1. Raw Data'!D571</f>
        <v>Junior</v>
      </c>
      <c r="E572" s="3" t="str">
        <f aca="false">'1. Raw Data'!E571</f>
        <v>Technical</v>
      </c>
      <c r="F572" s="3" t="n">
        <f aca="false">'1. Raw Data'!F571</f>
        <v>0.4</v>
      </c>
      <c r="G572" s="3" t="n">
        <f aca="false">IF('1. Raw Data'!G571="",ROUND(IFERROR(AVERAGEIFS('1. Raw Data'!G2:G1201,'1. Raw Data'!C2:C1201,'1. Raw Data'!C571,'1. Raw Data'!D2:D1201,'1. Raw Data'!D571),0),2),'1. Raw Data'!G571)</f>
        <v>2864.71</v>
      </c>
      <c r="H572" s="3" t="str">
        <f aca="false">PROPER('1. Raw Data'!H571)</f>
        <v>Yes</v>
      </c>
      <c r="I572" s="3" t="n">
        <f aca="false">'1. Raw Data'!I571</f>
        <v>3</v>
      </c>
      <c r="J572" s="3" t="n">
        <f aca="false">'1. Raw Data'!J571</f>
        <v>3</v>
      </c>
      <c r="K572" s="3" t="n">
        <f aca="false">'1. Raw Data'!K571</f>
        <v>27</v>
      </c>
      <c r="L572" s="3" t="n">
        <f aca="false">'1. Raw Data'!L571</f>
        <v>0</v>
      </c>
      <c r="M572" s="3" t="n">
        <f aca="false">'1. Raw Data'!M571</f>
        <v>2</v>
      </c>
      <c r="N572" s="3" t="str">
        <f aca="false">'1. Raw Data'!N571</f>
        <v>No</v>
      </c>
    </row>
    <row r="573" customFormat="false" ht="15" hidden="false" customHeight="false" outlineLevel="0" collapsed="false">
      <c r="A573" s="3" t="str">
        <f aca="false">'1. Raw Data'!A572</f>
        <v>EMP-0571</v>
      </c>
      <c r="B573" s="3" t="n">
        <f aca="false">'1. Raw Data'!B572</f>
        <v>31</v>
      </c>
      <c r="C573" s="3" t="str">
        <f aca="false">'1. Raw Data'!C572</f>
        <v>Engineering</v>
      </c>
      <c r="D573" s="3" t="str">
        <f aca="false">'1. Raw Data'!D572</f>
        <v>Junior</v>
      </c>
      <c r="E573" s="3" t="str">
        <f aca="false">'1. Raw Data'!E572</f>
        <v>Other</v>
      </c>
      <c r="F573" s="3" t="n">
        <f aca="false">'1. Raw Data'!F572</f>
        <v>0.4</v>
      </c>
      <c r="G573" s="3" t="n">
        <f aca="false">IF('1. Raw Data'!G572="",ROUND(IFERROR(AVERAGEIFS('1. Raw Data'!G2:G1201,'1. Raw Data'!C2:C1201,'1. Raw Data'!C572,'1. Raw Data'!D2:D1201,'1. Raw Data'!D572),0),2),'1. Raw Data'!G572)</f>
        <v>3023.86</v>
      </c>
      <c r="H573" s="3" t="str">
        <f aca="false">PROPER('1. Raw Data'!H572)</f>
        <v>No</v>
      </c>
      <c r="I573" s="3" t="n">
        <f aca="false">'1. Raw Data'!I572</f>
        <v>4</v>
      </c>
      <c r="J573" s="3" t="n">
        <f aca="false">'1. Raw Data'!J572</f>
        <v>2</v>
      </c>
      <c r="K573" s="3" t="n">
        <f aca="false">'1. Raw Data'!K572</f>
        <v>15</v>
      </c>
      <c r="L573" s="3" t="n">
        <f aca="false">'1. Raw Data'!L572</f>
        <v>0</v>
      </c>
      <c r="M573" s="3" t="n">
        <f aca="false">'1. Raw Data'!M572</f>
        <v>2</v>
      </c>
      <c r="N573" s="3" t="str">
        <f aca="false">'1. Raw Data'!N572</f>
        <v>No</v>
      </c>
    </row>
    <row r="574" customFormat="false" ht="15" hidden="false" customHeight="false" outlineLevel="0" collapsed="false">
      <c r="A574" s="3" t="str">
        <f aca="false">'1. Raw Data'!A573</f>
        <v>EMP-0572</v>
      </c>
      <c r="B574" s="3" t="n">
        <f aca="false">'1. Raw Data'!B573</f>
        <v>26</v>
      </c>
      <c r="C574" s="3" t="str">
        <f aca="false">'1. Raw Data'!C573</f>
        <v>Engineering</v>
      </c>
      <c r="D574" s="3" t="str">
        <f aca="false">'1. Raw Data'!D573</f>
        <v>Junior</v>
      </c>
      <c r="E574" s="3" t="str">
        <f aca="false">'1. Raw Data'!E573</f>
        <v>Marketing</v>
      </c>
      <c r="F574" s="3" t="n">
        <f aca="false">'1. Raw Data'!F573</f>
        <v>5</v>
      </c>
      <c r="G574" s="3" t="n">
        <f aca="false">IF('1. Raw Data'!G573="",ROUND(IFERROR(AVERAGEIFS('1. Raw Data'!G2:G1201,'1. Raw Data'!C2:C1201,'1. Raw Data'!C573,'1. Raw Data'!D2:D1201,'1. Raw Data'!D573),0),2),'1. Raw Data'!G573)</f>
        <v>2780.49</v>
      </c>
      <c r="H574" s="3" t="str">
        <f aca="false">PROPER('1. Raw Data'!H573)</f>
        <v>No</v>
      </c>
      <c r="I574" s="3" t="n">
        <f aca="false">'1. Raw Data'!I573</f>
        <v>4</v>
      </c>
      <c r="J574" s="3" t="n">
        <f aca="false">'1. Raw Data'!J573</f>
        <v>3</v>
      </c>
      <c r="K574" s="3" t="n">
        <f aca="false">'1. Raw Data'!K573</f>
        <v>13</v>
      </c>
      <c r="L574" s="3" t="n">
        <f aca="false">'1. Raw Data'!L573</f>
        <v>0</v>
      </c>
      <c r="M574" s="3" t="n">
        <f aca="false">'1. Raw Data'!M573</f>
        <v>0</v>
      </c>
      <c r="N574" s="3" t="str">
        <f aca="false">'1. Raw Data'!N573</f>
        <v>No</v>
      </c>
    </row>
    <row r="575" customFormat="false" ht="15" hidden="false" customHeight="false" outlineLevel="0" collapsed="false">
      <c r="A575" s="3" t="str">
        <f aca="false">'1. Raw Data'!A574</f>
        <v>EMP-0573</v>
      </c>
      <c r="B575" s="3" t="n">
        <f aca="false">'1. Raw Data'!B574</f>
        <v>46</v>
      </c>
      <c r="C575" s="3" t="str">
        <f aca="false">'1. Raw Data'!C574</f>
        <v>Customer Support</v>
      </c>
      <c r="D575" s="3" t="str">
        <f aca="false">'1. Raw Data'!D574</f>
        <v>Junior</v>
      </c>
      <c r="E575" s="3" t="str">
        <f aca="false">'1. Raw Data'!E574</f>
        <v>Other</v>
      </c>
      <c r="F575" s="3" t="n">
        <f aca="false">'1. Raw Data'!F574</f>
        <v>0.9</v>
      </c>
      <c r="G575" s="3" t="n">
        <f aca="false">IF('1. Raw Data'!G574="",ROUND(IFERROR(AVERAGEIFS('1. Raw Data'!G2:G1201,'1. Raw Data'!C2:C1201,'1. Raw Data'!C574,'1. Raw Data'!D2:D1201,'1. Raw Data'!D574),0),2),'1. Raw Data'!G574)</f>
        <v>2750.53</v>
      </c>
      <c r="H575" s="3" t="str">
        <f aca="false">PROPER('1. Raw Data'!H574)</f>
        <v>Yes</v>
      </c>
      <c r="I575" s="3" t="n">
        <f aca="false">'1. Raw Data'!I574</f>
        <v>4</v>
      </c>
      <c r="J575" s="3" t="n">
        <f aca="false">'1. Raw Data'!J574</f>
        <v>3</v>
      </c>
      <c r="K575" s="3" t="n">
        <f aca="false">'1. Raw Data'!K574</f>
        <v>1</v>
      </c>
      <c r="L575" s="3" t="n">
        <f aca="false">'1. Raw Data'!L574</f>
        <v>0</v>
      </c>
      <c r="M575" s="3" t="n">
        <f aca="false">'1. Raw Data'!M574</f>
        <v>4</v>
      </c>
      <c r="N575" s="3" t="str">
        <f aca="false">'1. Raw Data'!N574</f>
        <v>No</v>
      </c>
    </row>
    <row r="576" customFormat="false" ht="15" hidden="false" customHeight="false" outlineLevel="0" collapsed="false">
      <c r="A576" s="3" t="str">
        <f aca="false">'1. Raw Data'!A575</f>
        <v>EMP-0574</v>
      </c>
      <c r="B576" s="3" t="n">
        <f aca="false">'1. Raw Data'!B575</f>
        <v>37</v>
      </c>
      <c r="C576" s="3" t="str">
        <f aca="false">'1. Raw Data'!C575</f>
        <v>Engineering</v>
      </c>
      <c r="D576" s="3" t="str">
        <f aca="false">'1. Raw Data'!D575</f>
        <v>Junior</v>
      </c>
      <c r="E576" s="3" t="str">
        <f aca="false">'1. Raw Data'!E575</f>
        <v>Marketing</v>
      </c>
      <c r="F576" s="3" t="n">
        <f aca="false">'1. Raw Data'!F575</f>
        <v>3</v>
      </c>
      <c r="G576" s="3" t="n">
        <f aca="false">IF('1. Raw Data'!G575="",ROUND(IFERROR(AVERAGEIFS('1. Raw Data'!G2:G1201,'1. Raw Data'!C2:C1201,'1. Raw Data'!C575,'1. Raw Data'!D2:D1201,'1. Raw Data'!D575),0),2),'1. Raw Data'!G575)</f>
        <v>3515.46</v>
      </c>
      <c r="H576" s="3" t="str">
        <f aca="false">PROPER('1. Raw Data'!H575)</f>
        <v>No</v>
      </c>
      <c r="I576" s="3" t="n">
        <f aca="false">'1. Raw Data'!I575</f>
        <v>4</v>
      </c>
      <c r="J576" s="3" t="n">
        <f aca="false">'1. Raw Data'!J575</f>
        <v>4</v>
      </c>
      <c r="K576" s="3" t="n">
        <f aca="false">'1. Raw Data'!K575</f>
        <v>7</v>
      </c>
      <c r="L576" s="3" t="n">
        <f aca="false">'1. Raw Data'!L575</f>
        <v>0</v>
      </c>
      <c r="M576" s="3" t="n">
        <f aca="false">'1. Raw Data'!M575</f>
        <v>4</v>
      </c>
      <c r="N576" s="3" t="str">
        <f aca="false">'1. Raw Data'!N575</f>
        <v>No</v>
      </c>
    </row>
    <row r="577" customFormat="false" ht="15" hidden="false" customHeight="false" outlineLevel="0" collapsed="false">
      <c r="A577" s="3" t="str">
        <f aca="false">'1. Raw Data'!A576</f>
        <v>EMP-0575</v>
      </c>
      <c r="B577" s="3" t="n">
        <f aca="false">'1. Raw Data'!B576</f>
        <v>26</v>
      </c>
      <c r="C577" s="3" t="str">
        <f aca="false">'1. Raw Data'!C576</f>
        <v>Finance</v>
      </c>
      <c r="D577" s="3" t="str">
        <f aca="false">'1. Raw Data'!D576</f>
        <v>Junior</v>
      </c>
      <c r="E577" s="3" t="str">
        <f aca="false">'1. Raw Data'!E576</f>
        <v>Marketing</v>
      </c>
      <c r="F577" s="3" t="n">
        <f aca="false">'1. Raw Data'!F576</f>
        <v>1.8</v>
      </c>
      <c r="G577" s="3" t="n">
        <f aca="false">IF('1. Raw Data'!G576="",ROUND(IFERROR(AVERAGEIFS('1. Raw Data'!G2:G1201,'1. Raw Data'!C2:C1201,'1. Raw Data'!C576,'1. Raw Data'!D2:D1201,'1. Raw Data'!D576),0),2),'1. Raw Data'!G576)</f>
        <v>3762.57</v>
      </c>
      <c r="H577" s="3" t="str">
        <f aca="false">PROPER('1. Raw Data'!H576)</f>
        <v>No</v>
      </c>
      <c r="I577" s="3" t="n">
        <f aca="false">'1. Raw Data'!I576</f>
        <v>2</v>
      </c>
      <c r="J577" s="3" t="n">
        <f aca="false">'1. Raw Data'!J576</f>
        <v>2</v>
      </c>
      <c r="K577" s="3" t="n">
        <f aca="false">'1. Raw Data'!K576</f>
        <v>10</v>
      </c>
      <c r="L577" s="3" t="n">
        <f aca="false">'1. Raw Data'!L576</f>
        <v>0</v>
      </c>
      <c r="M577" s="3" t="n">
        <f aca="false">'1. Raw Data'!M576</f>
        <v>0</v>
      </c>
      <c r="N577" s="3" t="str">
        <f aca="false">'1. Raw Data'!N576</f>
        <v>No</v>
      </c>
    </row>
    <row r="578" customFormat="false" ht="15" hidden="false" customHeight="false" outlineLevel="0" collapsed="false">
      <c r="A578" s="3" t="str">
        <f aca="false">'1. Raw Data'!A577</f>
        <v>EMP-0576</v>
      </c>
      <c r="B578" s="3" t="n">
        <f aca="false">'1. Raw Data'!B577</f>
        <v>35</v>
      </c>
      <c r="C578" s="3" t="str">
        <f aca="false">'1. Raw Data'!C577</f>
        <v>Marketing</v>
      </c>
      <c r="D578" s="3" t="str">
        <f aca="false">'1. Raw Data'!D577</f>
        <v>Mid</v>
      </c>
      <c r="E578" s="3" t="str">
        <f aca="false">'1. Raw Data'!E577</f>
        <v>Other</v>
      </c>
      <c r="F578" s="3" t="n">
        <f aca="false">'1. Raw Data'!F577</f>
        <v>0</v>
      </c>
      <c r="G578" s="3" t="n">
        <f aca="false">IF('1. Raw Data'!G577="",ROUND(IFERROR(AVERAGEIFS('1. Raw Data'!G2:G1201,'1. Raw Data'!C2:C1201,'1. Raw Data'!C577,'1. Raw Data'!D2:D1201,'1. Raw Data'!D577),0),2),'1. Raw Data'!G577)</f>
        <v>4295.99</v>
      </c>
      <c r="H578" s="3" t="str">
        <f aca="false">PROPER('1. Raw Data'!H577)</f>
        <v>No</v>
      </c>
      <c r="I578" s="3" t="n">
        <f aca="false">'1. Raw Data'!I577</f>
        <v>3</v>
      </c>
      <c r="J578" s="3" t="n">
        <f aca="false">'1. Raw Data'!J577</f>
        <v>1</v>
      </c>
      <c r="K578" s="3" t="n">
        <f aca="false">'1. Raw Data'!K577</f>
        <v>13</v>
      </c>
      <c r="L578" s="3" t="n">
        <f aca="false">'1. Raw Data'!L577</f>
        <v>0</v>
      </c>
      <c r="M578" s="3" t="n">
        <f aca="false">'1. Raw Data'!M577</f>
        <v>0</v>
      </c>
      <c r="N578" s="3" t="str">
        <f aca="false">'1. Raw Data'!N577</f>
        <v>No</v>
      </c>
    </row>
    <row r="579" customFormat="false" ht="15" hidden="false" customHeight="false" outlineLevel="0" collapsed="false">
      <c r="A579" s="3" t="str">
        <f aca="false">'1. Raw Data'!A578</f>
        <v>EMP-0577</v>
      </c>
      <c r="B579" s="3" t="n">
        <f aca="false">'1. Raw Data'!B578</f>
        <v>21</v>
      </c>
      <c r="C579" s="3" t="str">
        <f aca="false">'1. Raw Data'!C578</f>
        <v>Customer Support</v>
      </c>
      <c r="D579" s="3" t="str">
        <f aca="false">'1. Raw Data'!D578</f>
        <v>Junior</v>
      </c>
      <c r="E579" s="3" t="str">
        <f aca="false">'1. Raw Data'!E578</f>
        <v>Technical</v>
      </c>
      <c r="F579" s="3" t="n">
        <f aca="false">'1. Raw Data'!F578</f>
        <v>0</v>
      </c>
      <c r="G579" s="3" t="n">
        <f aca="false">IF('1. Raw Data'!G578="",ROUND(IFERROR(AVERAGEIFS('1. Raw Data'!G2:G1201,'1. Raw Data'!C2:C1201,'1. Raw Data'!C578,'1. Raw Data'!D2:D1201,'1. Raw Data'!D578),0),2),'1. Raw Data'!G578)</f>
        <v>3468.25</v>
      </c>
      <c r="H579" s="3" t="str">
        <f aca="false">PROPER('1. Raw Data'!H578)</f>
        <v>Yes</v>
      </c>
      <c r="I579" s="3" t="n">
        <f aca="false">'1. Raw Data'!I578</f>
        <v>3</v>
      </c>
      <c r="J579" s="3" t="n">
        <f aca="false">'1. Raw Data'!J578</f>
        <v>3</v>
      </c>
      <c r="K579" s="3" t="n">
        <f aca="false">'1. Raw Data'!K578</f>
        <v>10</v>
      </c>
      <c r="L579" s="3" t="n">
        <f aca="false">'1. Raw Data'!L578</f>
        <v>0</v>
      </c>
      <c r="M579" s="3" t="n">
        <f aca="false">'1. Raw Data'!M578</f>
        <v>4</v>
      </c>
      <c r="N579" s="3" t="str">
        <f aca="false">'1. Raw Data'!N578</f>
        <v>No</v>
      </c>
    </row>
    <row r="580" customFormat="false" ht="15" hidden="false" customHeight="false" outlineLevel="0" collapsed="false">
      <c r="A580" s="3" t="str">
        <f aca="false">'1. Raw Data'!A579</f>
        <v>EMP-0578</v>
      </c>
      <c r="B580" s="3" t="n">
        <f aca="false">'1. Raw Data'!B579</f>
        <v>26</v>
      </c>
      <c r="C580" s="3" t="str">
        <f aca="false">'1. Raw Data'!C579</f>
        <v>Sales</v>
      </c>
      <c r="D580" s="3" t="str">
        <f aca="false">'1. Raw Data'!D579</f>
        <v>Junior</v>
      </c>
      <c r="E580" s="3" t="str">
        <f aca="false">'1. Raw Data'!E579</f>
        <v>Marketing</v>
      </c>
      <c r="F580" s="3" t="n">
        <f aca="false">'1. Raw Data'!F579</f>
        <v>1</v>
      </c>
      <c r="G580" s="3" t="n">
        <f aca="false">IF('1. Raw Data'!G579="",ROUND(IFERROR(AVERAGEIFS('1. Raw Data'!G2:G1201,'1. Raw Data'!C2:C1201,'1. Raw Data'!C579,'1. Raw Data'!D2:D1201,'1. Raw Data'!D579),0),2),'1. Raw Data'!G579)</f>
        <v>3717.11</v>
      </c>
      <c r="H580" s="3" t="str">
        <f aca="false">PROPER('1. Raw Data'!H579)</f>
        <v>Yes</v>
      </c>
      <c r="I580" s="3" t="n">
        <f aca="false">'1. Raw Data'!I579</f>
        <v>4</v>
      </c>
      <c r="J580" s="3" t="n">
        <f aca="false">'1. Raw Data'!J579</f>
        <v>3</v>
      </c>
      <c r="K580" s="3" t="n">
        <f aca="false">'1. Raw Data'!K579</f>
        <v>16</v>
      </c>
      <c r="L580" s="3" t="n">
        <f aca="false">'1. Raw Data'!L579</f>
        <v>0</v>
      </c>
      <c r="M580" s="3" t="n">
        <f aca="false">'1. Raw Data'!M579</f>
        <v>3</v>
      </c>
      <c r="N580" s="3" t="str">
        <f aca="false">'1. Raw Data'!N579</f>
        <v>No</v>
      </c>
    </row>
    <row r="581" customFormat="false" ht="15" hidden="false" customHeight="false" outlineLevel="0" collapsed="false">
      <c r="A581" s="3" t="str">
        <f aca="false">'1. Raw Data'!A580</f>
        <v>EMP-0579</v>
      </c>
      <c r="B581" s="3" t="n">
        <f aca="false">'1. Raw Data'!B580</f>
        <v>48</v>
      </c>
      <c r="C581" s="3" t="str">
        <f aca="false">'1. Raw Data'!C580</f>
        <v>Engineering</v>
      </c>
      <c r="D581" s="3" t="str">
        <f aca="false">'1. Raw Data'!D580</f>
        <v>Mid</v>
      </c>
      <c r="E581" s="3" t="str">
        <f aca="false">'1. Raw Data'!E580</f>
        <v>Other</v>
      </c>
      <c r="F581" s="3" t="n">
        <f aca="false">'1. Raw Data'!F580</f>
        <v>0.6</v>
      </c>
      <c r="G581" s="3" t="n">
        <f aca="false">IF('1. Raw Data'!G580="",ROUND(IFERROR(AVERAGEIFS('1. Raw Data'!G2:G1201,'1. Raw Data'!C2:C1201,'1. Raw Data'!C580,'1. Raw Data'!D2:D1201,'1. Raw Data'!D580),0),2),'1. Raw Data'!G580)</f>
        <v>5245.04</v>
      </c>
      <c r="H581" s="3" t="str">
        <f aca="false">PROPER('1. Raw Data'!H580)</f>
        <v>No</v>
      </c>
      <c r="I581" s="3" t="n">
        <f aca="false">'1. Raw Data'!I580</f>
        <v>3</v>
      </c>
      <c r="J581" s="3" t="n">
        <f aca="false">'1. Raw Data'!J580</f>
        <v>1</v>
      </c>
      <c r="K581" s="3" t="n">
        <f aca="false">'1. Raw Data'!K580</f>
        <v>40</v>
      </c>
      <c r="L581" s="3" t="n">
        <f aca="false">'1. Raw Data'!L580</f>
        <v>0</v>
      </c>
      <c r="M581" s="3" t="n">
        <f aca="false">'1. Raw Data'!M580</f>
        <v>1</v>
      </c>
      <c r="N581" s="3" t="str">
        <f aca="false">'1. Raw Data'!N580</f>
        <v>No</v>
      </c>
    </row>
    <row r="582" customFormat="false" ht="15" hidden="false" customHeight="false" outlineLevel="0" collapsed="false">
      <c r="A582" s="3" t="str">
        <f aca="false">'1. Raw Data'!A581</f>
        <v>EMP-0580</v>
      </c>
      <c r="B582" s="3" t="n">
        <f aca="false">'1. Raw Data'!B581</f>
        <v>49</v>
      </c>
      <c r="C582" s="3" t="str">
        <f aca="false">'1. Raw Data'!C581</f>
        <v>Finance</v>
      </c>
      <c r="D582" s="3" t="str">
        <f aca="false">'1. Raw Data'!D581</f>
        <v>Senior</v>
      </c>
      <c r="E582" s="3" t="str">
        <f aca="false">'1. Raw Data'!E581</f>
        <v>Technical</v>
      </c>
      <c r="F582" s="3" t="n">
        <f aca="false">'1. Raw Data'!F581</f>
        <v>2.1</v>
      </c>
      <c r="G582" s="3" t="n">
        <f aca="false">IF('1. Raw Data'!G581="",ROUND(IFERROR(AVERAGEIFS('1. Raw Data'!G2:G1201,'1. Raw Data'!C2:C1201,'1. Raw Data'!C581,'1. Raw Data'!D2:D1201,'1. Raw Data'!D581),0),2),'1. Raw Data'!G581)</f>
        <v>7350.62</v>
      </c>
      <c r="H582" s="3" t="str">
        <f aca="false">PROPER('1. Raw Data'!H581)</f>
        <v>No</v>
      </c>
      <c r="I582" s="3" t="n">
        <f aca="false">'1. Raw Data'!I581</f>
        <v>3</v>
      </c>
      <c r="J582" s="3" t="n">
        <f aca="false">'1. Raw Data'!J581</f>
        <v>3</v>
      </c>
      <c r="K582" s="3" t="n">
        <f aca="false">'1. Raw Data'!K581</f>
        <v>2</v>
      </c>
      <c r="L582" s="3" t="n">
        <f aca="false">'1. Raw Data'!L581</f>
        <v>1</v>
      </c>
      <c r="M582" s="3" t="n">
        <f aca="false">'1. Raw Data'!M581</f>
        <v>3</v>
      </c>
      <c r="N582" s="3" t="str">
        <f aca="false">'1. Raw Data'!N581</f>
        <v>No</v>
      </c>
    </row>
    <row r="583" customFormat="false" ht="15" hidden="false" customHeight="false" outlineLevel="0" collapsed="false">
      <c r="A583" s="3" t="str">
        <f aca="false">'1. Raw Data'!A582</f>
        <v>EMP-0581</v>
      </c>
      <c r="B583" s="3" t="n">
        <f aca="false">'1. Raw Data'!B582</f>
        <v>27</v>
      </c>
      <c r="C583" s="3" t="str">
        <f aca="false">'1. Raw Data'!C582</f>
        <v>Sales</v>
      </c>
      <c r="D583" s="3" t="str">
        <f aca="false">'1. Raw Data'!D582</f>
        <v>Lead</v>
      </c>
      <c r="E583" s="3" t="str">
        <f aca="false">'1. Raw Data'!E582</f>
        <v>Marketing</v>
      </c>
      <c r="F583" s="3" t="n">
        <f aca="false">'1. Raw Data'!F582</f>
        <v>1.1</v>
      </c>
      <c r="G583" s="3" t="n">
        <f aca="false">IF('1. Raw Data'!G582="",ROUND(IFERROR(AVERAGEIFS('1. Raw Data'!G2:G1201,'1. Raw Data'!C2:C1201,'1. Raw Data'!C582,'1. Raw Data'!D2:D1201,'1. Raw Data'!D582),0),2),'1. Raw Data'!G582)</f>
        <v>10846.67</v>
      </c>
      <c r="H583" s="3" t="str">
        <f aca="false">PROPER('1. Raw Data'!H582)</f>
        <v>Yes</v>
      </c>
      <c r="I583" s="3" t="n">
        <f aca="false">'1. Raw Data'!I582</f>
        <v>3</v>
      </c>
      <c r="J583" s="3" t="n">
        <f aca="false">'1. Raw Data'!J582</f>
        <v>2</v>
      </c>
      <c r="K583" s="3" t="n">
        <f aca="false">'1. Raw Data'!K582</f>
        <v>18</v>
      </c>
      <c r="L583" s="3" t="n">
        <f aca="false">'1. Raw Data'!L582</f>
        <v>0</v>
      </c>
      <c r="M583" s="3" t="n">
        <f aca="false">'1. Raw Data'!M582</f>
        <v>3</v>
      </c>
      <c r="N583" s="3" t="str">
        <f aca="false">'1. Raw Data'!N582</f>
        <v>No</v>
      </c>
    </row>
    <row r="584" customFormat="false" ht="15" hidden="false" customHeight="false" outlineLevel="0" collapsed="false">
      <c r="A584" s="3" t="str">
        <f aca="false">'1. Raw Data'!A583</f>
        <v>EMP-0582</v>
      </c>
      <c r="B584" s="3" t="n">
        <f aca="false">'1. Raw Data'!B583</f>
        <v>35</v>
      </c>
      <c r="C584" s="3" t="str">
        <f aca="false">'1. Raw Data'!C583</f>
        <v>Finance</v>
      </c>
      <c r="D584" s="3" t="str">
        <f aca="false">'1. Raw Data'!D583</f>
        <v>Mid</v>
      </c>
      <c r="E584" s="3" t="str">
        <f aca="false">'1. Raw Data'!E583</f>
        <v>Other</v>
      </c>
      <c r="F584" s="3" t="n">
        <f aca="false">'1. Raw Data'!F583</f>
        <v>2.5</v>
      </c>
      <c r="G584" s="3" t="n">
        <f aca="false">IF('1. Raw Data'!G583="",ROUND(IFERROR(AVERAGEIFS('1. Raw Data'!G2:G1201,'1. Raw Data'!C2:C1201,'1. Raw Data'!C583,'1. Raw Data'!D2:D1201,'1. Raw Data'!D583),0),2),'1. Raw Data'!G583)</f>
        <v>4734.17</v>
      </c>
      <c r="H584" s="3" t="str">
        <f aca="false">PROPER('1. Raw Data'!H583)</f>
        <v>No</v>
      </c>
      <c r="I584" s="3" t="n">
        <f aca="false">'1. Raw Data'!I583</f>
        <v>3</v>
      </c>
      <c r="J584" s="3" t="n">
        <f aca="false">'1. Raw Data'!J583</f>
        <v>2</v>
      </c>
      <c r="K584" s="3" t="n">
        <f aca="false">'1. Raw Data'!K583</f>
        <v>18</v>
      </c>
      <c r="L584" s="3" t="n">
        <f aca="false">'1. Raw Data'!L583</f>
        <v>2</v>
      </c>
      <c r="M584" s="3" t="n">
        <f aca="false">'1. Raw Data'!M583</f>
        <v>3</v>
      </c>
      <c r="N584" s="3" t="str">
        <f aca="false">'1. Raw Data'!N583</f>
        <v>No</v>
      </c>
    </row>
    <row r="585" customFormat="false" ht="15" hidden="false" customHeight="false" outlineLevel="0" collapsed="false">
      <c r="A585" s="3" t="str">
        <f aca="false">'1. Raw Data'!A584</f>
        <v>EMP-0583</v>
      </c>
      <c r="B585" s="3" t="n">
        <f aca="false">'1. Raw Data'!B584</f>
        <v>50</v>
      </c>
      <c r="C585" s="3" t="str">
        <f aca="false">'1. Raw Data'!C584</f>
        <v>Finance</v>
      </c>
      <c r="D585" s="3" t="str">
        <f aca="false">'1. Raw Data'!D584</f>
        <v>Junior</v>
      </c>
      <c r="E585" s="3" t="str">
        <f aca="false">'1. Raw Data'!E584</f>
        <v>Business</v>
      </c>
      <c r="F585" s="3" t="n">
        <f aca="false">'1. Raw Data'!F584</f>
        <v>1.4</v>
      </c>
      <c r="G585" s="3" t="n">
        <f aca="false">IF('1. Raw Data'!G584="",ROUND(IFERROR(AVERAGEIFS('1. Raw Data'!G2:G1201,'1. Raw Data'!C2:C1201,'1. Raw Data'!C584,'1. Raw Data'!D2:D1201,'1. Raw Data'!D584),0),2),'1. Raw Data'!G584)</f>
        <v>3754.42</v>
      </c>
      <c r="H585" s="3" t="str">
        <f aca="false">PROPER('1. Raw Data'!H584)</f>
        <v>No</v>
      </c>
      <c r="I585" s="3" t="n">
        <f aca="false">'1. Raw Data'!I584</f>
        <v>3</v>
      </c>
      <c r="J585" s="3" t="n">
        <f aca="false">'1. Raw Data'!J584</f>
        <v>4</v>
      </c>
      <c r="K585" s="3" t="n">
        <f aca="false">'1. Raw Data'!K584</f>
        <v>8</v>
      </c>
      <c r="L585" s="3" t="n">
        <f aca="false">'1. Raw Data'!L584</f>
        <v>1</v>
      </c>
      <c r="M585" s="3" t="n">
        <f aca="false">'1. Raw Data'!M584</f>
        <v>0</v>
      </c>
      <c r="N585" s="3" t="str">
        <f aca="false">'1. Raw Data'!N584</f>
        <v>No</v>
      </c>
    </row>
    <row r="586" customFormat="false" ht="15" hidden="false" customHeight="false" outlineLevel="0" collapsed="false">
      <c r="A586" s="3" t="str">
        <f aca="false">'1. Raw Data'!A585</f>
        <v>EMP-0584</v>
      </c>
      <c r="B586" s="3" t="n">
        <f aca="false">'1. Raw Data'!B585</f>
        <v>29</v>
      </c>
      <c r="C586" s="3" t="str">
        <f aca="false">'1. Raw Data'!C585</f>
        <v>Engineering</v>
      </c>
      <c r="D586" s="3" t="str">
        <f aca="false">'1. Raw Data'!D585</f>
        <v>Mid</v>
      </c>
      <c r="E586" s="3" t="str">
        <f aca="false">'1. Raw Data'!E585</f>
        <v>Business</v>
      </c>
      <c r="F586" s="3" t="n">
        <f aca="false">'1. Raw Data'!F585</f>
        <v>3.3</v>
      </c>
      <c r="G586" s="3" t="n">
        <f aca="false">IF('1. Raw Data'!G585="",ROUND(IFERROR(AVERAGEIFS('1. Raw Data'!G2:G1201,'1. Raw Data'!C2:C1201,'1. Raw Data'!C585,'1. Raw Data'!D2:D1201,'1. Raw Data'!D585),0),2),'1. Raw Data'!G585)</f>
        <v>4246.3</v>
      </c>
      <c r="H586" s="3" t="str">
        <f aca="false">PROPER('1. Raw Data'!H585)</f>
        <v>No</v>
      </c>
      <c r="I586" s="3" t="n">
        <f aca="false">'1. Raw Data'!I585</f>
        <v>3</v>
      </c>
      <c r="J586" s="3" t="n">
        <f aca="false">'1. Raw Data'!J585</f>
        <v>4</v>
      </c>
      <c r="K586" s="3" t="n">
        <f aca="false">'1. Raw Data'!K585</f>
        <v>9</v>
      </c>
      <c r="L586" s="3" t="n">
        <f aca="false">'1. Raw Data'!L585</f>
        <v>0</v>
      </c>
      <c r="M586" s="3" t="n">
        <f aca="false">'1. Raw Data'!M585</f>
        <v>2</v>
      </c>
      <c r="N586" s="3" t="str">
        <f aca="false">'1. Raw Data'!N585</f>
        <v>No</v>
      </c>
    </row>
    <row r="587" customFormat="false" ht="15" hidden="false" customHeight="false" outlineLevel="0" collapsed="false">
      <c r="A587" s="3" t="str">
        <f aca="false">'1. Raw Data'!A586</f>
        <v>EMP-0585</v>
      </c>
      <c r="B587" s="3" t="n">
        <f aca="false">'1. Raw Data'!B586</f>
        <v>33</v>
      </c>
      <c r="C587" s="3" t="str">
        <f aca="false">'1. Raw Data'!C586</f>
        <v>Sales</v>
      </c>
      <c r="D587" s="3" t="str">
        <f aca="false">'1. Raw Data'!D586</f>
        <v>Junior</v>
      </c>
      <c r="E587" s="3" t="str">
        <f aca="false">'1. Raw Data'!E586</f>
        <v>Other</v>
      </c>
      <c r="F587" s="3" t="n">
        <f aca="false">'1. Raw Data'!F586</f>
        <v>2.8</v>
      </c>
      <c r="G587" s="3" t="n">
        <f aca="false">IF('1. Raw Data'!G586="",ROUND(IFERROR(AVERAGEIFS('1. Raw Data'!G2:G1201,'1. Raw Data'!C2:C1201,'1. Raw Data'!C586,'1. Raw Data'!D2:D1201,'1. Raw Data'!D586),0),2),'1. Raw Data'!G586)</f>
        <v>3334.81</v>
      </c>
      <c r="H587" s="3" t="str">
        <f aca="false">PROPER('1. Raw Data'!H586)</f>
        <v>Yes</v>
      </c>
      <c r="I587" s="3" t="n">
        <f aca="false">'1. Raw Data'!I586</f>
        <v>4</v>
      </c>
      <c r="J587" s="3" t="n">
        <f aca="false">'1. Raw Data'!J586</f>
        <v>2</v>
      </c>
      <c r="K587" s="3" t="n">
        <f aca="false">'1. Raw Data'!K586</f>
        <v>16</v>
      </c>
      <c r="L587" s="3" t="n">
        <f aca="false">'1. Raw Data'!L586</f>
        <v>2</v>
      </c>
      <c r="M587" s="3" t="n">
        <f aca="false">'1. Raw Data'!M586</f>
        <v>0</v>
      </c>
      <c r="N587" s="3" t="str">
        <f aca="false">'1. Raw Data'!N586</f>
        <v>No</v>
      </c>
    </row>
    <row r="588" customFormat="false" ht="15" hidden="false" customHeight="false" outlineLevel="0" collapsed="false">
      <c r="A588" s="3" t="str">
        <f aca="false">'1. Raw Data'!A587</f>
        <v>EMP-0586</v>
      </c>
      <c r="B588" s="3" t="n">
        <f aca="false">'1. Raw Data'!B587</f>
        <v>41</v>
      </c>
      <c r="C588" s="3" t="str">
        <f aca="false">'1. Raw Data'!C587</f>
        <v>Customer Support</v>
      </c>
      <c r="D588" s="3" t="str">
        <f aca="false">'1. Raw Data'!D587</f>
        <v>Junior</v>
      </c>
      <c r="E588" s="3" t="str">
        <f aca="false">'1. Raw Data'!E587</f>
        <v>Marketing</v>
      </c>
      <c r="F588" s="3" t="n">
        <f aca="false">'1. Raw Data'!F587</f>
        <v>1.6</v>
      </c>
      <c r="G588" s="3" t="n">
        <f aca="false">IF('1. Raw Data'!G587="",ROUND(IFERROR(AVERAGEIFS('1. Raw Data'!G2:G1201,'1. Raw Data'!C2:C1201,'1. Raw Data'!C587,'1. Raw Data'!D2:D1201,'1. Raw Data'!D587),0),2),'1. Raw Data'!G587)</f>
        <v>3682.39</v>
      </c>
      <c r="H588" s="3" t="str">
        <f aca="false">PROPER('1. Raw Data'!H587)</f>
        <v>Yes</v>
      </c>
      <c r="I588" s="3" t="n">
        <f aca="false">'1. Raw Data'!I587</f>
        <v>4</v>
      </c>
      <c r="J588" s="3" t="n">
        <f aca="false">'1. Raw Data'!J587</f>
        <v>1</v>
      </c>
      <c r="K588" s="3" t="n">
        <f aca="false">'1. Raw Data'!K587</f>
        <v>7</v>
      </c>
      <c r="L588" s="3" t="n">
        <f aca="false">'1. Raw Data'!L587</f>
        <v>0</v>
      </c>
      <c r="M588" s="3" t="n">
        <f aca="false">'1. Raw Data'!M587</f>
        <v>4</v>
      </c>
      <c r="N588" s="3" t="str">
        <f aca="false">'1. Raw Data'!N587</f>
        <v>Yes</v>
      </c>
    </row>
    <row r="589" customFormat="false" ht="15" hidden="false" customHeight="false" outlineLevel="0" collapsed="false">
      <c r="A589" s="3" t="str">
        <f aca="false">'1. Raw Data'!A588</f>
        <v>EMP-0587</v>
      </c>
      <c r="B589" s="3" t="n">
        <f aca="false">'1. Raw Data'!B588</f>
        <v>33</v>
      </c>
      <c r="C589" s="3" t="str">
        <f aca="false">'1. Raw Data'!C588</f>
        <v>Engineering</v>
      </c>
      <c r="D589" s="3" t="str">
        <f aca="false">'1. Raw Data'!D588</f>
        <v>Lead</v>
      </c>
      <c r="E589" s="3" t="str">
        <f aca="false">'1. Raw Data'!E588</f>
        <v>Technical</v>
      </c>
      <c r="F589" s="3" t="n">
        <f aca="false">'1. Raw Data'!F588</f>
        <v>0.3</v>
      </c>
      <c r="G589" s="3" t="n">
        <f aca="false">IF('1. Raw Data'!G588="",ROUND(IFERROR(AVERAGEIFS('1. Raw Data'!G2:G1201,'1. Raw Data'!C2:C1201,'1. Raw Data'!C588,'1. Raw Data'!D2:D1201,'1. Raw Data'!D588),0),2),'1. Raw Data'!G588)</f>
        <v>10972.65</v>
      </c>
      <c r="H589" s="3" t="str">
        <f aca="false">PROPER('1. Raw Data'!H588)</f>
        <v>No</v>
      </c>
      <c r="I589" s="3" t="n">
        <f aca="false">'1. Raw Data'!I588</f>
        <v>4</v>
      </c>
      <c r="J589" s="3" t="n">
        <f aca="false">'1. Raw Data'!J588</f>
        <v>2</v>
      </c>
      <c r="K589" s="3" t="n">
        <f aca="false">'1. Raw Data'!K588</f>
        <v>5</v>
      </c>
      <c r="L589" s="3" t="n">
        <f aca="false">'1. Raw Data'!L588</f>
        <v>0</v>
      </c>
      <c r="M589" s="3" t="n">
        <f aca="false">'1. Raw Data'!M588</f>
        <v>3</v>
      </c>
      <c r="N589" s="3" t="str">
        <f aca="false">'1. Raw Data'!N588</f>
        <v>No</v>
      </c>
    </row>
    <row r="590" customFormat="false" ht="15" hidden="false" customHeight="false" outlineLevel="0" collapsed="false">
      <c r="A590" s="3" t="str">
        <f aca="false">'1. Raw Data'!A589</f>
        <v>EMP-0588</v>
      </c>
      <c r="B590" s="3" t="n">
        <f aca="false">'1. Raw Data'!B589</f>
        <v>37</v>
      </c>
      <c r="C590" s="3" t="str">
        <f aca="false">'1. Raw Data'!C589</f>
        <v>Engineering</v>
      </c>
      <c r="D590" s="3" t="str">
        <f aca="false">'1. Raw Data'!D589</f>
        <v>Junior</v>
      </c>
      <c r="E590" s="3" t="str">
        <f aca="false">'1. Raw Data'!E589</f>
        <v>Technical</v>
      </c>
      <c r="F590" s="3" t="n">
        <f aca="false">'1. Raw Data'!F589</f>
        <v>1.9</v>
      </c>
      <c r="G590" s="3" t="n">
        <f aca="false">IF('1. Raw Data'!G589="",ROUND(IFERROR(AVERAGEIFS('1. Raw Data'!G2:G1201,'1. Raw Data'!C2:C1201,'1. Raw Data'!C589,'1. Raw Data'!D2:D1201,'1. Raw Data'!D589),0),2),'1. Raw Data'!G589)</f>
        <v>3772.14</v>
      </c>
      <c r="H590" s="3" t="str">
        <f aca="false">PROPER('1. Raw Data'!H589)</f>
        <v>No</v>
      </c>
      <c r="I590" s="3" t="n">
        <f aca="false">'1. Raw Data'!I589</f>
        <v>3</v>
      </c>
      <c r="J590" s="3" t="n">
        <f aca="false">'1. Raw Data'!J589</f>
        <v>3</v>
      </c>
      <c r="K590" s="3" t="n">
        <f aca="false">'1. Raw Data'!K589</f>
        <v>2</v>
      </c>
      <c r="L590" s="3" t="n">
        <f aca="false">'1. Raw Data'!L589</f>
        <v>1</v>
      </c>
      <c r="M590" s="3" t="n">
        <f aca="false">'1. Raw Data'!M589</f>
        <v>2</v>
      </c>
      <c r="N590" s="3" t="str">
        <f aca="false">'1. Raw Data'!N589</f>
        <v>No</v>
      </c>
    </row>
    <row r="591" customFormat="false" ht="15" hidden="false" customHeight="false" outlineLevel="0" collapsed="false">
      <c r="A591" s="3" t="str">
        <f aca="false">'1. Raw Data'!A590</f>
        <v>EMP-0589</v>
      </c>
      <c r="B591" s="3" t="n">
        <f aca="false">'1. Raw Data'!B590</f>
        <v>37</v>
      </c>
      <c r="C591" s="3" t="str">
        <f aca="false">'1. Raw Data'!C590</f>
        <v>Marketing</v>
      </c>
      <c r="D591" s="3" t="str">
        <f aca="false">'1. Raw Data'!D590</f>
        <v>Mid</v>
      </c>
      <c r="E591" s="3" t="str">
        <f aca="false">'1. Raw Data'!E590</f>
        <v>Business</v>
      </c>
      <c r="F591" s="3" t="n">
        <f aca="false">'1. Raw Data'!F590</f>
        <v>0.9</v>
      </c>
      <c r="G591" s="3" t="n">
        <f aca="false">IF('1. Raw Data'!G590="",ROUND(IFERROR(AVERAGEIFS('1. Raw Data'!G2:G1201,'1. Raw Data'!C2:C1201,'1. Raw Data'!C590,'1. Raw Data'!D2:D1201,'1. Raw Data'!D590),0),2),'1. Raw Data'!G590)</f>
        <v>5382.45</v>
      </c>
      <c r="H591" s="3" t="str">
        <f aca="false">PROPER('1. Raw Data'!H590)</f>
        <v>No</v>
      </c>
      <c r="I591" s="3" t="n">
        <f aca="false">'1. Raw Data'!I590</f>
        <v>2</v>
      </c>
      <c r="J591" s="3" t="n">
        <f aca="false">'1. Raw Data'!J590</f>
        <v>4</v>
      </c>
      <c r="K591" s="3" t="n">
        <f aca="false">'1. Raw Data'!K590</f>
        <v>8</v>
      </c>
      <c r="L591" s="3" t="n">
        <f aca="false">'1. Raw Data'!L590</f>
        <v>0</v>
      </c>
      <c r="M591" s="3" t="n">
        <f aca="false">'1. Raw Data'!M590</f>
        <v>1</v>
      </c>
      <c r="N591" s="3" t="str">
        <f aca="false">'1. Raw Data'!N590</f>
        <v>No</v>
      </c>
    </row>
    <row r="592" customFormat="false" ht="15" hidden="false" customHeight="false" outlineLevel="0" collapsed="false">
      <c r="A592" s="3" t="str">
        <f aca="false">'1. Raw Data'!A591</f>
        <v>EMP-0590</v>
      </c>
      <c r="B592" s="3" t="n">
        <f aca="false">'1. Raw Data'!B591</f>
        <v>39</v>
      </c>
      <c r="C592" s="3" t="str">
        <f aca="false">'1. Raw Data'!C591</f>
        <v>Sales</v>
      </c>
      <c r="D592" s="3" t="str">
        <f aca="false">'1. Raw Data'!D591</f>
        <v>Mid</v>
      </c>
      <c r="E592" s="3" t="str">
        <f aca="false">'1. Raw Data'!E591</f>
        <v>Other</v>
      </c>
      <c r="F592" s="3" t="n">
        <f aca="false">'1. Raw Data'!F591</f>
        <v>5.6</v>
      </c>
      <c r="G592" s="3" t="n">
        <f aca="false">IF('1. Raw Data'!G591="",ROUND(IFERROR(AVERAGEIFS('1. Raw Data'!G2:G1201,'1. Raw Data'!C2:C1201,'1. Raw Data'!C591,'1. Raw Data'!D2:D1201,'1. Raw Data'!D591),0),2),'1. Raw Data'!G591)</f>
        <v>4618.13</v>
      </c>
      <c r="H592" s="3" t="str">
        <f aca="false">PROPER('1. Raw Data'!H591)</f>
        <v>No</v>
      </c>
      <c r="I592" s="3" t="n">
        <f aca="false">'1. Raw Data'!I591</f>
        <v>1</v>
      </c>
      <c r="J592" s="3" t="n">
        <f aca="false">'1. Raw Data'!J591</f>
        <v>4</v>
      </c>
      <c r="K592" s="3" t="n">
        <f aca="false">'1. Raw Data'!K591</f>
        <v>16</v>
      </c>
      <c r="L592" s="3" t="n">
        <f aca="false">'1. Raw Data'!L591</f>
        <v>0</v>
      </c>
      <c r="M592" s="3" t="n">
        <f aca="false">'1. Raw Data'!M591</f>
        <v>3</v>
      </c>
      <c r="N592" s="3" t="str">
        <f aca="false">'1. Raw Data'!N591</f>
        <v>No</v>
      </c>
    </row>
    <row r="593" customFormat="false" ht="15" hidden="false" customHeight="false" outlineLevel="0" collapsed="false">
      <c r="A593" s="3" t="str">
        <f aca="false">'1. Raw Data'!A592</f>
        <v>EMP-0591</v>
      </c>
      <c r="B593" s="3" t="n">
        <f aca="false">'1. Raw Data'!B592</f>
        <v>29</v>
      </c>
      <c r="C593" s="3" t="str">
        <f aca="false">'1. Raw Data'!C592</f>
        <v>Customer Support</v>
      </c>
      <c r="D593" s="3" t="str">
        <f aca="false">'1. Raw Data'!D592</f>
        <v>Senior</v>
      </c>
      <c r="E593" s="3" t="str">
        <f aca="false">'1. Raw Data'!E592</f>
        <v>Business</v>
      </c>
      <c r="F593" s="3" t="n">
        <f aca="false">'1. Raw Data'!F592</f>
        <v>1.6</v>
      </c>
      <c r="G593" s="3" t="n">
        <f aca="false">IF('1. Raw Data'!G592="",ROUND(IFERROR(AVERAGEIFS('1. Raw Data'!G2:G1201,'1. Raw Data'!C2:C1201,'1. Raw Data'!C592,'1. Raw Data'!D2:D1201,'1. Raw Data'!D592),0),2),'1. Raw Data'!G592)</f>
        <v>7437.68</v>
      </c>
      <c r="H593" s="3" t="str">
        <f aca="false">PROPER('1. Raw Data'!H592)</f>
        <v>No</v>
      </c>
      <c r="I593" s="3" t="n">
        <f aca="false">'1. Raw Data'!I592</f>
        <v>3</v>
      </c>
      <c r="J593" s="3" t="n">
        <f aca="false">'1. Raw Data'!J592</f>
        <v>4</v>
      </c>
      <c r="K593" s="3" t="n">
        <f aca="false">'1. Raw Data'!K592</f>
        <v>3</v>
      </c>
      <c r="L593" s="3" t="n">
        <f aca="false">'1. Raw Data'!L592</f>
        <v>1</v>
      </c>
      <c r="M593" s="3" t="n">
        <f aca="false">'1. Raw Data'!M592</f>
        <v>0</v>
      </c>
      <c r="N593" s="3" t="str">
        <f aca="false">'1. Raw Data'!N592</f>
        <v>No</v>
      </c>
    </row>
    <row r="594" customFormat="false" ht="15" hidden="false" customHeight="false" outlineLevel="0" collapsed="false">
      <c r="A594" s="3" t="str">
        <f aca="false">'1. Raw Data'!A593</f>
        <v>EMP-0592</v>
      </c>
      <c r="B594" s="3" t="n">
        <f aca="false">'1. Raw Data'!B593</f>
        <v>30</v>
      </c>
      <c r="C594" s="3" t="str">
        <f aca="false">'1. Raw Data'!C593</f>
        <v>Finance</v>
      </c>
      <c r="D594" s="3" t="str">
        <f aca="false">'1. Raw Data'!D593</f>
        <v>Mid</v>
      </c>
      <c r="E594" s="3" t="str">
        <f aca="false">'1. Raw Data'!E593</f>
        <v>Business</v>
      </c>
      <c r="F594" s="3" t="n">
        <f aca="false">'1. Raw Data'!F593</f>
        <v>0.5</v>
      </c>
      <c r="G594" s="3" t="n">
        <f aca="false">IF('1. Raw Data'!G593="",ROUND(IFERROR(AVERAGEIFS('1. Raw Data'!G2:G1201,'1. Raw Data'!C2:C1201,'1. Raw Data'!C593,'1. Raw Data'!D2:D1201,'1. Raw Data'!D593),0),2),'1. Raw Data'!G593)</f>
        <v>4718.01</v>
      </c>
      <c r="H594" s="3" t="str">
        <f aca="false">PROPER('1. Raw Data'!H593)</f>
        <v>Yes</v>
      </c>
      <c r="I594" s="3" t="n">
        <f aca="false">'1. Raw Data'!I593</f>
        <v>3</v>
      </c>
      <c r="J594" s="3" t="n">
        <f aca="false">'1. Raw Data'!J593</f>
        <v>1</v>
      </c>
      <c r="K594" s="3" t="n">
        <f aca="false">'1. Raw Data'!K593</f>
        <v>10</v>
      </c>
      <c r="L594" s="3" t="n">
        <f aca="false">'1. Raw Data'!L593</f>
        <v>0</v>
      </c>
      <c r="M594" s="3" t="n">
        <f aca="false">'1. Raw Data'!M593</f>
        <v>3</v>
      </c>
      <c r="N594" s="3" t="str">
        <f aca="false">'1. Raw Data'!N593</f>
        <v>Yes</v>
      </c>
    </row>
    <row r="595" customFormat="false" ht="15" hidden="false" customHeight="false" outlineLevel="0" collapsed="false">
      <c r="A595" s="3" t="str">
        <f aca="false">'1. Raw Data'!A594</f>
        <v>EMP-0593</v>
      </c>
      <c r="B595" s="3" t="n">
        <f aca="false">'1. Raw Data'!B594</f>
        <v>34</v>
      </c>
      <c r="C595" s="3" t="str">
        <f aca="false">'1. Raw Data'!C594</f>
        <v>HR</v>
      </c>
      <c r="D595" s="3" t="str">
        <f aca="false">'1. Raw Data'!D594</f>
        <v>Junior</v>
      </c>
      <c r="E595" s="3" t="str">
        <f aca="false">'1. Raw Data'!E594</f>
        <v>Marketing</v>
      </c>
      <c r="F595" s="3" t="n">
        <f aca="false">'1. Raw Data'!F594</f>
        <v>0.5</v>
      </c>
      <c r="G595" s="3" t="n">
        <f aca="false">IF('1. Raw Data'!G594="",ROUND(IFERROR(AVERAGEIFS('1. Raw Data'!G2:G1201,'1. Raw Data'!C2:C1201,'1. Raw Data'!C594,'1. Raw Data'!D2:D1201,'1. Raw Data'!D594),0),2),'1. Raw Data'!G594)</f>
        <v>3583.04</v>
      </c>
      <c r="H595" s="3" t="str">
        <f aca="false">PROPER('1. Raw Data'!H594)</f>
        <v>No</v>
      </c>
      <c r="I595" s="3" t="n">
        <f aca="false">'1. Raw Data'!I594</f>
        <v>4</v>
      </c>
      <c r="J595" s="3" t="n">
        <f aca="false">'1. Raw Data'!J594</f>
        <v>2</v>
      </c>
      <c r="K595" s="3" t="n">
        <f aca="false">'1. Raw Data'!K594</f>
        <v>1</v>
      </c>
      <c r="L595" s="3" t="n">
        <f aca="false">'1. Raw Data'!L594</f>
        <v>0</v>
      </c>
      <c r="M595" s="3" t="n">
        <f aca="false">'1. Raw Data'!M594</f>
        <v>4</v>
      </c>
      <c r="N595" s="3" t="str">
        <f aca="false">'1. Raw Data'!N594</f>
        <v>No</v>
      </c>
    </row>
    <row r="596" customFormat="false" ht="15" hidden="false" customHeight="false" outlineLevel="0" collapsed="false">
      <c r="A596" s="3" t="str">
        <f aca="false">'1. Raw Data'!A595</f>
        <v>EMP-0594</v>
      </c>
      <c r="B596" s="3" t="n">
        <f aca="false">'1. Raw Data'!B595</f>
        <v>38</v>
      </c>
      <c r="C596" s="3" t="str">
        <f aca="false">'1. Raw Data'!C595</f>
        <v>Customer Support</v>
      </c>
      <c r="D596" s="3" t="str">
        <f aca="false">'1. Raw Data'!D595</f>
        <v>Mid</v>
      </c>
      <c r="E596" s="3" t="str">
        <f aca="false">'1. Raw Data'!E595</f>
        <v>Other</v>
      </c>
      <c r="F596" s="3" t="n">
        <f aca="false">'1. Raw Data'!F595</f>
        <v>8.3</v>
      </c>
      <c r="G596" s="3" t="n">
        <f aca="false">IF('1. Raw Data'!G595="",ROUND(IFERROR(AVERAGEIFS('1. Raw Data'!G2:G1201,'1. Raw Data'!C2:C1201,'1. Raw Data'!C595,'1. Raw Data'!D2:D1201,'1. Raw Data'!D595),0),2),'1. Raw Data'!G595)</f>
        <v>5593.03</v>
      </c>
      <c r="H596" s="3" t="str">
        <f aca="false">PROPER('1. Raw Data'!H595)</f>
        <v>No</v>
      </c>
      <c r="I596" s="3" t="n">
        <f aca="false">'1. Raw Data'!I595</f>
        <v>2</v>
      </c>
      <c r="J596" s="3" t="n">
        <f aca="false">'1. Raw Data'!J595</f>
        <v>1</v>
      </c>
      <c r="K596" s="3" t="n">
        <f aca="false">'1. Raw Data'!K595</f>
        <v>1</v>
      </c>
      <c r="L596" s="3" t="n">
        <f aca="false">'1. Raw Data'!L595</f>
        <v>1</v>
      </c>
      <c r="M596" s="3" t="n">
        <f aca="false">'1. Raw Data'!M595</f>
        <v>2</v>
      </c>
      <c r="N596" s="3" t="str">
        <f aca="false">'1. Raw Data'!N595</f>
        <v>No</v>
      </c>
    </row>
    <row r="597" customFormat="false" ht="15" hidden="false" customHeight="false" outlineLevel="0" collapsed="false">
      <c r="A597" s="3" t="str">
        <f aca="false">'1. Raw Data'!A596</f>
        <v>EMP-0595</v>
      </c>
      <c r="B597" s="3" t="n">
        <f aca="false">'1. Raw Data'!B596</f>
        <v>34</v>
      </c>
      <c r="C597" s="3" t="str">
        <f aca="false">'1. Raw Data'!C596</f>
        <v>Sales</v>
      </c>
      <c r="D597" s="3" t="str">
        <f aca="false">'1. Raw Data'!D596</f>
        <v>Senior</v>
      </c>
      <c r="E597" s="3" t="str">
        <f aca="false">'1. Raw Data'!E596</f>
        <v>Marketing</v>
      </c>
      <c r="F597" s="3" t="n">
        <f aca="false">'1. Raw Data'!F596</f>
        <v>8.7</v>
      </c>
      <c r="G597" s="3" t="n">
        <f aca="false">IF('1. Raw Data'!G596="",ROUND(IFERROR(AVERAGEIFS('1. Raw Data'!G2:G1201,'1. Raw Data'!C2:C1201,'1. Raw Data'!C596,'1. Raw Data'!D2:D1201,'1. Raw Data'!D596),0),2),'1. Raw Data'!G596)</f>
        <v>6761.59</v>
      </c>
      <c r="H597" s="3" t="str">
        <f aca="false">PROPER('1. Raw Data'!H596)</f>
        <v>No</v>
      </c>
      <c r="I597" s="3" t="n">
        <f aca="false">'1. Raw Data'!I596</f>
        <v>2</v>
      </c>
      <c r="J597" s="3" t="n">
        <f aca="false">'1. Raw Data'!J596</f>
        <v>3</v>
      </c>
      <c r="K597" s="3" t="n">
        <f aca="false">'1. Raw Data'!K596</f>
        <v>1</v>
      </c>
      <c r="L597" s="3" t="n">
        <f aca="false">'1. Raw Data'!L596</f>
        <v>0</v>
      </c>
      <c r="M597" s="3" t="n">
        <f aca="false">'1. Raw Data'!M596</f>
        <v>4</v>
      </c>
      <c r="N597" s="3" t="str">
        <f aca="false">'1. Raw Data'!N596</f>
        <v>No</v>
      </c>
    </row>
    <row r="598" customFormat="false" ht="15" hidden="false" customHeight="false" outlineLevel="0" collapsed="false">
      <c r="A598" s="3" t="str">
        <f aca="false">'1. Raw Data'!A597</f>
        <v>EMP-0596</v>
      </c>
      <c r="B598" s="3" t="n">
        <f aca="false">'1. Raw Data'!B597</f>
        <v>48</v>
      </c>
      <c r="C598" s="3" t="str">
        <f aca="false">'1. Raw Data'!C597</f>
        <v>Marketing</v>
      </c>
      <c r="D598" s="3" t="str">
        <f aca="false">'1. Raw Data'!D597</f>
        <v>Lead</v>
      </c>
      <c r="E598" s="3" t="str">
        <f aca="false">'1. Raw Data'!E597</f>
        <v>Technical</v>
      </c>
      <c r="F598" s="3" t="n">
        <f aca="false">'1. Raw Data'!F597</f>
        <v>3.3</v>
      </c>
      <c r="G598" s="3" t="n">
        <f aca="false">IF('1. Raw Data'!G597="",ROUND(IFERROR(AVERAGEIFS('1. Raw Data'!G2:G1201,'1. Raw Data'!C2:C1201,'1. Raw Data'!C597,'1. Raw Data'!D2:D1201,'1. Raw Data'!D597),0),2),'1. Raw Data'!G597)</f>
        <v>11291.97</v>
      </c>
      <c r="H598" s="3" t="str">
        <f aca="false">PROPER('1. Raw Data'!H597)</f>
        <v>No</v>
      </c>
      <c r="I598" s="3" t="n">
        <f aca="false">'1. Raw Data'!I597</f>
        <v>3</v>
      </c>
      <c r="J598" s="3" t="n">
        <f aca="false">'1. Raw Data'!J597</f>
        <v>4</v>
      </c>
      <c r="K598" s="3" t="n">
        <f aca="false">'1. Raw Data'!K597</f>
        <v>2</v>
      </c>
      <c r="L598" s="3" t="n">
        <f aca="false">'1. Raw Data'!L597</f>
        <v>1</v>
      </c>
      <c r="M598" s="3" t="n">
        <f aca="false">'1. Raw Data'!M597</f>
        <v>2</v>
      </c>
      <c r="N598" s="3" t="str">
        <f aca="false">'1. Raw Data'!N597</f>
        <v>No</v>
      </c>
    </row>
    <row r="599" customFormat="false" ht="15" hidden="false" customHeight="false" outlineLevel="0" collapsed="false">
      <c r="A599" s="3" t="str">
        <f aca="false">'1. Raw Data'!A598</f>
        <v>EMP-0597</v>
      </c>
      <c r="B599" s="3" t="n">
        <f aca="false">'1. Raw Data'!B598</f>
        <v>30</v>
      </c>
      <c r="C599" s="3" t="str">
        <f aca="false">'1. Raw Data'!C598</f>
        <v>Sales</v>
      </c>
      <c r="D599" s="3" t="str">
        <f aca="false">'1. Raw Data'!D598</f>
        <v>Lead</v>
      </c>
      <c r="E599" s="3" t="str">
        <f aca="false">'1. Raw Data'!E598</f>
        <v>Marketing</v>
      </c>
      <c r="F599" s="3" t="n">
        <f aca="false">'1. Raw Data'!F598</f>
        <v>4.3</v>
      </c>
      <c r="G599" s="3" t="n">
        <f aca="false">IF('1. Raw Data'!G598="",ROUND(IFERROR(AVERAGEIFS('1. Raw Data'!G2:G1201,'1. Raw Data'!C2:C1201,'1. Raw Data'!C598,'1. Raw Data'!D2:D1201,'1. Raw Data'!D598),0),2),'1. Raw Data'!G598)</f>
        <v>10648.86</v>
      </c>
      <c r="H599" s="3" t="str">
        <f aca="false">PROPER('1. Raw Data'!H598)</f>
        <v>No</v>
      </c>
      <c r="I599" s="3" t="n">
        <f aca="false">'1. Raw Data'!I598</f>
        <v>3</v>
      </c>
      <c r="J599" s="3" t="n">
        <f aca="false">'1. Raw Data'!J598</f>
        <v>3</v>
      </c>
      <c r="K599" s="3" t="n">
        <f aca="false">'1. Raw Data'!K598</f>
        <v>1</v>
      </c>
      <c r="L599" s="3" t="n">
        <f aca="false">'1. Raw Data'!L598</f>
        <v>1</v>
      </c>
      <c r="M599" s="3" t="n">
        <f aca="false">'1. Raw Data'!M598</f>
        <v>3</v>
      </c>
      <c r="N599" s="3" t="str">
        <f aca="false">'1. Raw Data'!N598</f>
        <v>No</v>
      </c>
    </row>
    <row r="600" customFormat="false" ht="15" hidden="false" customHeight="false" outlineLevel="0" collapsed="false">
      <c r="A600" s="3" t="str">
        <f aca="false">'1. Raw Data'!A599</f>
        <v>EMP-0598</v>
      </c>
      <c r="B600" s="3" t="n">
        <f aca="false">'1. Raw Data'!B599</f>
        <v>21</v>
      </c>
      <c r="C600" s="3" t="str">
        <f aca="false">'1. Raw Data'!C599</f>
        <v>Sales</v>
      </c>
      <c r="D600" s="3" t="str">
        <f aca="false">'1. Raw Data'!D599</f>
        <v>Mid</v>
      </c>
      <c r="E600" s="3" t="str">
        <f aca="false">'1. Raw Data'!E599</f>
        <v>Business</v>
      </c>
      <c r="F600" s="3" t="n">
        <f aca="false">'1. Raw Data'!F599</f>
        <v>0</v>
      </c>
      <c r="G600" s="3" t="n">
        <f aca="false">IF('1. Raw Data'!G599="",ROUND(IFERROR(AVERAGEIFS('1. Raw Data'!G2:G1201,'1. Raw Data'!C2:C1201,'1. Raw Data'!C599,'1. Raw Data'!D2:D1201,'1. Raw Data'!D599),0),2),'1. Raw Data'!G599)</f>
        <v>4623.06</v>
      </c>
      <c r="H600" s="3" t="str">
        <f aca="false">PROPER('1. Raw Data'!H599)</f>
        <v>No</v>
      </c>
      <c r="I600" s="3" t="n">
        <f aca="false">'1. Raw Data'!I599</f>
        <v>1</v>
      </c>
      <c r="J600" s="3" t="n">
        <f aca="false">'1. Raw Data'!J599</f>
        <v>4</v>
      </c>
      <c r="K600" s="3" t="n">
        <f aca="false">'1. Raw Data'!K599</f>
        <v>4</v>
      </c>
      <c r="L600" s="3" t="n">
        <f aca="false">'1. Raw Data'!L599</f>
        <v>0</v>
      </c>
      <c r="M600" s="3" t="n">
        <f aca="false">'1. Raw Data'!M599</f>
        <v>3</v>
      </c>
      <c r="N600" s="3" t="str">
        <f aca="false">'1. Raw Data'!N599</f>
        <v>Yes</v>
      </c>
    </row>
    <row r="601" customFormat="false" ht="15" hidden="false" customHeight="false" outlineLevel="0" collapsed="false">
      <c r="A601" s="3" t="str">
        <f aca="false">'1. Raw Data'!A600</f>
        <v>EMP-0599</v>
      </c>
      <c r="B601" s="3" t="n">
        <f aca="false">'1. Raw Data'!B600</f>
        <v>37</v>
      </c>
      <c r="C601" s="3" t="str">
        <f aca="false">'1. Raw Data'!C600</f>
        <v>Finance</v>
      </c>
      <c r="D601" s="3" t="str">
        <f aca="false">'1. Raw Data'!D600</f>
        <v>Junior</v>
      </c>
      <c r="E601" s="3" t="str">
        <f aca="false">'1. Raw Data'!E600</f>
        <v>Other</v>
      </c>
      <c r="F601" s="3" t="n">
        <f aca="false">'1. Raw Data'!F600</f>
        <v>4.6</v>
      </c>
      <c r="G601" s="3" t="n">
        <f aca="false">IF('1. Raw Data'!G600="",ROUND(IFERROR(AVERAGEIFS('1. Raw Data'!G2:G1201,'1. Raw Data'!C2:C1201,'1. Raw Data'!C600,'1. Raw Data'!D2:D1201,'1. Raw Data'!D600),0),2),'1. Raw Data'!G600)</f>
        <v>3292.32</v>
      </c>
      <c r="H601" s="3" t="str">
        <f aca="false">PROPER('1. Raw Data'!H600)</f>
        <v>No</v>
      </c>
      <c r="I601" s="3" t="n">
        <f aca="false">'1. Raw Data'!I600</f>
        <v>2</v>
      </c>
      <c r="J601" s="3" t="n">
        <f aca="false">'1. Raw Data'!J600</f>
        <v>3</v>
      </c>
      <c r="K601" s="3" t="n">
        <f aca="false">'1. Raw Data'!K600</f>
        <v>23</v>
      </c>
      <c r="L601" s="3" t="n">
        <f aca="false">'1. Raw Data'!L600</f>
        <v>1</v>
      </c>
      <c r="M601" s="3" t="n">
        <f aca="false">'1. Raw Data'!M600</f>
        <v>1</v>
      </c>
      <c r="N601" s="3" t="str">
        <f aca="false">'1. Raw Data'!N600</f>
        <v>No</v>
      </c>
    </row>
    <row r="602" customFormat="false" ht="15" hidden="false" customHeight="false" outlineLevel="0" collapsed="false">
      <c r="A602" s="3" t="str">
        <f aca="false">'1. Raw Data'!A601</f>
        <v>EMP-0600</v>
      </c>
      <c r="B602" s="3" t="n">
        <f aca="false">'1. Raw Data'!B601</f>
        <v>31</v>
      </c>
      <c r="C602" s="3" t="str">
        <f aca="false">'1. Raw Data'!C601</f>
        <v>Sales</v>
      </c>
      <c r="D602" s="3" t="str">
        <f aca="false">'1. Raw Data'!D601</f>
        <v>Junior</v>
      </c>
      <c r="E602" s="3" t="str">
        <f aca="false">'1. Raw Data'!E601</f>
        <v>Business</v>
      </c>
      <c r="F602" s="3" t="n">
        <f aca="false">'1. Raw Data'!F601</f>
        <v>4.7</v>
      </c>
      <c r="G602" s="3" t="n">
        <f aca="false">IF('1. Raw Data'!G601="",ROUND(IFERROR(AVERAGEIFS('1. Raw Data'!G2:G1201,'1. Raw Data'!C2:C1201,'1. Raw Data'!C601,'1. Raw Data'!D2:D1201,'1. Raw Data'!D601),0),2),'1. Raw Data'!G601)</f>
        <v>3393.25</v>
      </c>
      <c r="H602" s="3" t="str">
        <f aca="false">PROPER('1. Raw Data'!H601)</f>
        <v>Yes</v>
      </c>
      <c r="I602" s="3" t="n">
        <f aca="false">'1. Raw Data'!I601</f>
        <v>3</v>
      </c>
      <c r="J602" s="3" t="n">
        <f aca="false">'1. Raw Data'!J601</f>
        <v>3</v>
      </c>
      <c r="K602" s="3" t="n">
        <f aca="false">'1. Raw Data'!K601</f>
        <v>1</v>
      </c>
      <c r="L602" s="3" t="n">
        <f aca="false">'1. Raw Data'!L601</f>
        <v>0</v>
      </c>
      <c r="M602" s="3" t="n">
        <f aca="false">'1. Raw Data'!M601</f>
        <v>2</v>
      </c>
      <c r="N602" s="3" t="str">
        <f aca="false">'1. Raw Data'!N601</f>
        <v>No</v>
      </c>
    </row>
    <row r="603" customFormat="false" ht="15" hidden="false" customHeight="false" outlineLevel="0" collapsed="false">
      <c r="A603" s="3" t="str">
        <f aca="false">'1. Raw Data'!A602</f>
        <v>EMP-0601</v>
      </c>
      <c r="B603" s="3" t="n">
        <f aca="false">'1. Raw Data'!B602</f>
        <v>31</v>
      </c>
      <c r="C603" s="3" t="str">
        <f aca="false">'1. Raw Data'!C602</f>
        <v>Marketing</v>
      </c>
      <c r="D603" s="3" t="str">
        <f aca="false">'1. Raw Data'!D602</f>
        <v>Mid</v>
      </c>
      <c r="E603" s="3" t="str">
        <f aca="false">'1. Raw Data'!E602</f>
        <v>Marketing</v>
      </c>
      <c r="F603" s="3" t="n">
        <f aca="false">'1. Raw Data'!F602</f>
        <v>5.5</v>
      </c>
      <c r="G603" s="3" t="n">
        <f aca="false">IF('1. Raw Data'!G602="",ROUND(IFERROR(AVERAGEIFS('1. Raw Data'!G2:G1201,'1. Raw Data'!C2:C1201,'1. Raw Data'!C602,'1. Raw Data'!D2:D1201,'1. Raw Data'!D602),0),2),'1. Raw Data'!G602)</f>
        <v>4942.28</v>
      </c>
      <c r="H603" s="3" t="str">
        <f aca="false">PROPER('1. Raw Data'!H602)</f>
        <v>No</v>
      </c>
      <c r="I603" s="3" t="n">
        <f aca="false">'1. Raw Data'!I602</f>
        <v>2</v>
      </c>
      <c r="J603" s="3" t="n">
        <f aca="false">'1. Raw Data'!J602</f>
        <v>2</v>
      </c>
      <c r="K603" s="3" t="n">
        <f aca="false">'1. Raw Data'!K602</f>
        <v>5</v>
      </c>
      <c r="L603" s="3" t="n">
        <f aca="false">'1. Raw Data'!L602</f>
        <v>1</v>
      </c>
      <c r="M603" s="3" t="n">
        <f aca="false">'1. Raw Data'!M602</f>
        <v>3</v>
      </c>
      <c r="N603" s="3" t="str">
        <f aca="false">'1. Raw Data'!N602</f>
        <v>No</v>
      </c>
    </row>
    <row r="604" customFormat="false" ht="15" hidden="false" customHeight="false" outlineLevel="0" collapsed="false">
      <c r="A604" s="3" t="str">
        <f aca="false">'1. Raw Data'!A603</f>
        <v>EMP-0602</v>
      </c>
      <c r="B604" s="3" t="n">
        <f aca="false">'1. Raw Data'!B603</f>
        <v>33</v>
      </c>
      <c r="C604" s="3" t="str">
        <f aca="false">'1. Raw Data'!C603</f>
        <v>Customer Support</v>
      </c>
      <c r="D604" s="3" t="str">
        <f aca="false">'1. Raw Data'!D603</f>
        <v>Mid</v>
      </c>
      <c r="E604" s="3" t="str">
        <f aca="false">'1. Raw Data'!E603</f>
        <v>Business</v>
      </c>
      <c r="F604" s="3" t="n">
        <f aca="false">'1. Raw Data'!F603</f>
        <v>0.3</v>
      </c>
      <c r="G604" s="3" t="n">
        <f aca="false">IF('1. Raw Data'!G603="",ROUND(IFERROR(AVERAGEIFS('1. Raw Data'!G2:G1201,'1. Raw Data'!C2:C1201,'1. Raw Data'!C603,'1. Raw Data'!D2:D1201,'1. Raw Data'!D603),0),2),'1. Raw Data'!G603)</f>
        <v>5426.7</v>
      </c>
      <c r="H604" s="3" t="str">
        <f aca="false">PROPER('1. Raw Data'!H603)</f>
        <v>No</v>
      </c>
      <c r="I604" s="3" t="n">
        <f aca="false">'1. Raw Data'!I603</f>
        <v>2</v>
      </c>
      <c r="J604" s="3" t="n">
        <f aca="false">'1. Raw Data'!J603</f>
        <v>2</v>
      </c>
      <c r="K604" s="3" t="n">
        <f aca="false">'1. Raw Data'!K603</f>
        <v>13</v>
      </c>
      <c r="L604" s="3" t="n">
        <f aca="false">'1. Raw Data'!L603</f>
        <v>0</v>
      </c>
      <c r="M604" s="3" t="n">
        <f aca="false">'1. Raw Data'!M603</f>
        <v>2</v>
      </c>
      <c r="N604" s="3" t="str">
        <f aca="false">'1. Raw Data'!N603</f>
        <v>No</v>
      </c>
    </row>
    <row r="605" customFormat="false" ht="15" hidden="false" customHeight="false" outlineLevel="0" collapsed="false">
      <c r="A605" s="3" t="str">
        <f aca="false">'1. Raw Data'!A604</f>
        <v>EMP-0603</v>
      </c>
      <c r="B605" s="3" t="n">
        <f aca="false">'1. Raw Data'!B604</f>
        <v>48</v>
      </c>
      <c r="C605" s="3" t="str">
        <f aca="false">'1. Raw Data'!C604</f>
        <v>Customer Support</v>
      </c>
      <c r="D605" s="3" t="str">
        <f aca="false">'1. Raw Data'!D604</f>
        <v>Mid</v>
      </c>
      <c r="E605" s="3" t="str">
        <f aca="false">'1. Raw Data'!E604</f>
        <v>Other</v>
      </c>
      <c r="F605" s="3" t="n">
        <f aca="false">'1. Raw Data'!F604</f>
        <v>1.5</v>
      </c>
      <c r="G605" s="3" t="n">
        <f aca="false">IF('1. Raw Data'!G604="",ROUND(IFERROR(AVERAGEIFS('1. Raw Data'!G2:G1201,'1. Raw Data'!C2:C1201,'1. Raw Data'!C604,'1. Raw Data'!D2:D1201,'1. Raw Data'!D604),0),2),'1. Raw Data'!G604)</f>
        <v>5661.84</v>
      </c>
      <c r="H605" s="3" t="str">
        <f aca="false">PROPER('1. Raw Data'!H604)</f>
        <v>Yes</v>
      </c>
      <c r="I605" s="3" t="n">
        <f aca="false">'1. Raw Data'!I604</f>
        <v>1</v>
      </c>
      <c r="J605" s="3" t="n">
        <f aca="false">'1. Raw Data'!J604</f>
        <v>1</v>
      </c>
      <c r="K605" s="3" t="n">
        <f aca="false">'1. Raw Data'!K604</f>
        <v>2</v>
      </c>
      <c r="L605" s="3" t="n">
        <f aca="false">'1. Raw Data'!L604</f>
        <v>0</v>
      </c>
      <c r="M605" s="3" t="n">
        <f aca="false">'1. Raw Data'!M604</f>
        <v>4</v>
      </c>
      <c r="N605" s="3" t="str">
        <f aca="false">'1. Raw Data'!N604</f>
        <v>Yes</v>
      </c>
    </row>
    <row r="606" customFormat="false" ht="15" hidden="false" customHeight="false" outlineLevel="0" collapsed="false">
      <c r="A606" s="3" t="str">
        <f aca="false">'1. Raw Data'!A605</f>
        <v>EMP-0604</v>
      </c>
      <c r="B606" s="3" t="n">
        <f aca="false">'1. Raw Data'!B605</f>
        <v>47</v>
      </c>
      <c r="C606" s="3" t="str">
        <f aca="false">'1. Raw Data'!C605</f>
        <v>Sales</v>
      </c>
      <c r="D606" s="3" t="str">
        <f aca="false">'1. Raw Data'!D605</f>
        <v>Mid</v>
      </c>
      <c r="E606" s="3" t="str">
        <f aca="false">'1. Raw Data'!E605</f>
        <v>Technical</v>
      </c>
      <c r="F606" s="3" t="n">
        <f aca="false">'1. Raw Data'!F605</f>
        <v>1</v>
      </c>
      <c r="G606" s="3" t="n">
        <f aca="false">IF('1. Raw Data'!G605="",ROUND(IFERROR(AVERAGEIFS('1. Raw Data'!G2:G1201,'1. Raw Data'!C2:C1201,'1. Raw Data'!C605,'1. Raw Data'!D2:D1201,'1. Raw Data'!D605),0),2),'1. Raw Data'!G605)</f>
        <v>5080.19</v>
      </c>
      <c r="H606" s="3" t="str">
        <f aca="false">PROPER('1. Raw Data'!H605)</f>
        <v>Yes</v>
      </c>
      <c r="I606" s="3" t="n">
        <f aca="false">'1. Raw Data'!I605</f>
        <v>2</v>
      </c>
      <c r="J606" s="3" t="n">
        <f aca="false">'1. Raw Data'!J605</f>
        <v>3</v>
      </c>
      <c r="K606" s="3" t="n">
        <f aca="false">'1. Raw Data'!K605</f>
        <v>6</v>
      </c>
      <c r="L606" s="3" t="n">
        <f aca="false">'1. Raw Data'!L605</f>
        <v>0</v>
      </c>
      <c r="M606" s="3" t="n">
        <f aca="false">'1. Raw Data'!M605</f>
        <v>3</v>
      </c>
      <c r="N606" s="3" t="str">
        <f aca="false">'1. Raw Data'!N605</f>
        <v>No</v>
      </c>
    </row>
    <row r="607" customFormat="false" ht="15" hidden="false" customHeight="false" outlineLevel="0" collapsed="false">
      <c r="A607" s="3" t="str">
        <f aca="false">'1. Raw Data'!A606</f>
        <v>EMP-0605</v>
      </c>
      <c r="B607" s="3" t="n">
        <f aca="false">'1. Raw Data'!B606</f>
        <v>48</v>
      </c>
      <c r="C607" s="3" t="str">
        <f aca="false">'1. Raw Data'!C606</f>
        <v>Engineering</v>
      </c>
      <c r="D607" s="3" t="str">
        <f aca="false">'1. Raw Data'!D606</f>
        <v>Senior</v>
      </c>
      <c r="E607" s="3" t="str">
        <f aca="false">'1. Raw Data'!E606</f>
        <v>Business</v>
      </c>
      <c r="F607" s="3" t="n">
        <f aca="false">'1. Raw Data'!F606</f>
        <v>2.6</v>
      </c>
      <c r="G607" s="3" t="n">
        <f aca="false">IF('1. Raw Data'!G606="",ROUND(IFERROR(AVERAGEIFS('1. Raw Data'!G2:G1201,'1. Raw Data'!C2:C1201,'1. Raw Data'!C606,'1. Raw Data'!D2:D1201,'1. Raw Data'!D606),0),2),'1. Raw Data'!G606)</f>
        <v>8113.79</v>
      </c>
      <c r="H607" s="3" t="str">
        <f aca="false">PROPER('1. Raw Data'!H606)</f>
        <v>Yes</v>
      </c>
      <c r="I607" s="3" t="n">
        <f aca="false">'1. Raw Data'!I606</f>
        <v>2</v>
      </c>
      <c r="J607" s="3" t="n">
        <f aca="false">'1. Raw Data'!J606</f>
        <v>4</v>
      </c>
      <c r="K607" s="3" t="n">
        <f aca="false">'1. Raw Data'!K606</f>
        <v>1</v>
      </c>
      <c r="L607" s="3" t="n">
        <f aca="false">'1. Raw Data'!L606</f>
        <v>1</v>
      </c>
      <c r="M607" s="3" t="n">
        <f aca="false">'1. Raw Data'!M606</f>
        <v>4</v>
      </c>
      <c r="N607" s="3" t="str">
        <f aca="false">'1. Raw Data'!N606</f>
        <v>No</v>
      </c>
    </row>
    <row r="608" customFormat="false" ht="15" hidden="false" customHeight="false" outlineLevel="0" collapsed="false">
      <c r="A608" s="3" t="str">
        <f aca="false">'1. Raw Data'!A607</f>
        <v>EMP-0606</v>
      </c>
      <c r="B608" s="3" t="n">
        <f aca="false">'1. Raw Data'!B607</f>
        <v>36</v>
      </c>
      <c r="C608" s="3" t="str">
        <f aca="false">'1. Raw Data'!C607</f>
        <v>Engineering</v>
      </c>
      <c r="D608" s="3" t="str">
        <f aca="false">'1. Raw Data'!D607</f>
        <v>Senior</v>
      </c>
      <c r="E608" s="3" t="str">
        <f aca="false">'1. Raw Data'!E607</f>
        <v>Business</v>
      </c>
      <c r="F608" s="3" t="n">
        <f aca="false">'1. Raw Data'!F607</f>
        <v>1</v>
      </c>
      <c r="G608" s="3" t="n">
        <f aca="false">IF('1. Raw Data'!G607="",ROUND(IFERROR(AVERAGEIFS('1. Raw Data'!G2:G1201,'1. Raw Data'!C2:C1201,'1. Raw Data'!C607,'1. Raw Data'!D2:D1201,'1. Raw Data'!D607),0),2),'1. Raw Data'!G607)</f>
        <v>6542.84</v>
      </c>
      <c r="H608" s="3" t="str">
        <f aca="false">PROPER('1. Raw Data'!H607)</f>
        <v>No</v>
      </c>
      <c r="I608" s="3" t="n">
        <f aca="false">'1. Raw Data'!I607</f>
        <v>1</v>
      </c>
      <c r="J608" s="3" t="n">
        <f aca="false">'1. Raw Data'!J607</f>
        <v>3</v>
      </c>
      <c r="K608" s="3" t="n">
        <f aca="false">'1. Raw Data'!K607</f>
        <v>19</v>
      </c>
      <c r="L608" s="3" t="n">
        <f aca="false">'1. Raw Data'!L607</f>
        <v>0</v>
      </c>
      <c r="M608" s="3" t="n">
        <f aca="false">'1. Raw Data'!M607</f>
        <v>0</v>
      </c>
      <c r="N608" s="3" t="str">
        <f aca="false">'1. Raw Data'!N607</f>
        <v>No</v>
      </c>
    </row>
    <row r="609" customFormat="false" ht="15" hidden="false" customHeight="false" outlineLevel="0" collapsed="false">
      <c r="A609" s="3" t="str">
        <f aca="false">'1. Raw Data'!A608</f>
        <v>EMP-0607</v>
      </c>
      <c r="B609" s="3" t="n">
        <f aca="false">'1. Raw Data'!B608</f>
        <v>40</v>
      </c>
      <c r="C609" s="3" t="str">
        <f aca="false">'1. Raw Data'!C608</f>
        <v>Sales</v>
      </c>
      <c r="D609" s="3" t="str">
        <f aca="false">'1. Raw Data'!D608</f>
        <v>Senior</v>
      </c>
      <c r="E609" s="3" t="str">
        <f aca="false">'1. Raw Data'!E608</f>
        <v>Business</v>
      </c>
      <c r="F609" s="3" t="n">
        <f aca="false">'1. Raw Data'!F608</f>
        <v>2.5</v>
      </c>
      <c r="G609" s="3" t="n">
        <f aca="false">IF('1. Raw Data'!G608="",ROUND(IFERROR(AVERAGEIFS('1. Raw Data'!G2:G1201,'1. Raw Data'!C2:C1201,'1. Raw Data'!C608,'1. Raw Data'!D2:D1201,'1. Raw Data'!D608),0),2),'1. Raw Data'!G608)</f>
        <v>8173.35</v>
      </c>
      <c r="H609" s="3" t="str">
        <f aca="false">PROPER('1. Raw Data'!H608)</f>
        <v>No</v>
      </c>
      <c r="I609" s="3" t="n">
        <f aca="false">'1. Raw Data'!I608</f>
        <v>4</v>
      </c>
      <c r="J609" s="3" t="n">
        <f aca="false">'1. Raw Data'!J608</f>
        <v>2</v>
      </c>
      <c r="K609" s="3" t="n">
        <f aca="false">'1. Raw Data'!K608</f>
        <v>4</v>
      </c>
      <c r="L609" s="3" t="n">
        <f aca="false">'1. Raw Data'!L608</f>
        <v>2</v>
      </c>
      <c r="M609" s="3" t="n">
        <f aca="false">'1. Raw Data'!M608</f>
        <v>1</v>
      </c>
      <c r="N609" s="3" t="str">
        <f aca="false">'1. Raw Data'!N608</f>
        <v>No</v>
      </c>
    </row>
    <row r="610" customFormat="false" ht="15" hidden="false" customHeight="false" outlineLevel="0" collapsed="false">
      <c r="A610" s="3" t="str">
        <f aca="false">'1. Raw Data'!A609</f>
        <v>EMP-0608</v>
      </c>
      <c r="B610" s="3" t="n">
        <f aca="false">'1. Raw Data'!B609</f>
        <v>40</v>
      </c>
      <c r="C610" s="3" t="str">
        <f aca="false">'1. Raw Data'!C609</f>
        <v>Marketing</v>
      </c>
      <c r="D610" s="3" t="str">
        <f aca="false">'1. Raw Data'!D609</f>
        <v>Senior</v>
      </c>
      <c r="E610" s="3" t="str">
        <f aca="false">'1. Raw Data'!E609</f>
        <v>Technical</v>
      </c>
      <c r="F610" s="3" t="n">
        <f aca="false">'1. Raw Data'!F609</f>
        <v>1.3</v>
      </c>
      <c r="G610" s="3" t="n">
        <f aca="false">IF('1. Raw Data'!G609="",ROUND(IFERROR(AVERAGEIFS('1. Raw Data'!G2:G1201,'1. Raw Data'!C2:C1201,'1. Raw Data'!C609,'1. Raw Data'!D2:D1201,'1. Raw Data'!D609),0),2),'1. Raw Data'!G609)</f>
        <v>7616.5</v>
      </c>
      <c r="H610" s="3" t="str">
        <f aca="false">PROPER('1. Raw Data'!H609)</f>
        <v>No</v>
      </c>
      <c r="I610" s="3" t="n">
        <f aca="false">'1. Raw Data'!I609</f>
        <v>3</v>
      </c>
      <c r="J610" s="3" t="n">
        <f aca="false">'1. Raw Data'!J609</f>
        <v>3</v>
      </c>
      <c r="K610" s="3" t="n">
        <f aca="false">'1. Raw Data'!K609</f>
        <v>11</v>
      </c>
      <c r="L610" s="3" t="n">
        <f aca="false">'1. Raw Data'!L609</f>
        <v>1</v>
      </c>
      <c r="M610" s="3" t="n">
        <f aca="false">'1. Raw Data'!M609</f>
        <v>1</v>
      </c>
      <c r="N610" s="3" t="str">
        <f aca="false">'1. Raw Data'!N609</f>
        <v>No</v>
      </c>
    </row>
    <row r="611" customFormat="false" ht="15" hidden="false" customHeight="false" outlineLevel="0" collapsed="false">
      <c r="A611" s="3" t="str">
        <f aca="false">'1. Raw Data'!A610</f>
        <v>EMP-0609</v>
      </c>
      <c r="B611" s="3" t="n">
        <f aca="false">'1. Raw Data'!B610</f>
        <v>25</v>
      </c>
      <c r="C611" s="3" t="str">
        <f aca="false">'1. Raw Data'!C610</f>
        <v>Finance</v>
      </c>
      <c r="D611" s="3" t="str">
        <f aca="false">'1. Raw Data'!D610</f>
        <v>Lead</v>
      </c>
      <c r="E611" s="3" t="str">
        <f aca="false">'1. Raw Data'!E610</f>
        <v>Other</v>
      </c>
      <c r="F611" s="3" t="n">
        <f aca="false">'1. Raw Data'!F610</f>
        <v>3.6</v>
      </c>
      <c r="G611" s="3" t="n">
        <f aca="false">IF('1. Raw Data'!G610="",ROUND(IFERROR(AVERAGEIFS('1. Raw Data'!G2:G1201,'1. Raw Data'!C2:C1201,'1. Raw Data'!C610,'1. Raw Data'!D2:D1201,'1. Raw Data'!D610),0),2),'1. Raw Data'!G610)</f>
        <v>8294.65</v>
      </c>
      <c r="H611" s="3" t="str">
        <f aca="false">PROPER('1. Raw Data'!H610)</f>
        <v>No</v>
      </c>
      <c r="I611" s="3" t="n">
        <f aca="false">'1. Raw Data'!I610</f>
        <v>3</v>
      </c>
      <c r="J611" s="3" t="n">
        <f aca="false">'1. Raw Data'!J610</f>
        <v>4</v>
      </c>
      <c r="K611" s="3" t="n">
        <f aca="false">'1. Raw Data'!K610</f>
        <v>17</v>
      </c>
      <c r="L611" s="3" t="n">
        <f aca="false">'1. Raw Data'!L610</f>
        <v>0</v>
      </c>
      <c r="M611" s="3" t="n">
        <f aca="false">'1. Raw Data'!M610</f>
        <v>4</v>
      </c>
      <c r="N611" s="3" t="str">
        <f aca="false">'1. Raw Data'!N610</f>
        <v>No</v>
      </c>
    </row>
    <row r="612" customFormat="false" ht="15" hidden="false" customHeight="false" outlineLevel="0" collapsed="false">
      <c r="A612" s="3" t="str">
        <f aca="false">'1. Raw Data'!A611</f>
        <v>EMP-0610</v>
      </c>
      <c r="B612" s="3" t="n">
        <f aca="false">'1. Raw Data'!B611</f>
        <v>36</v>
      </c>
      <c r="C612" s="3" t="str">
        <f aca="false">'1. Raw Data'!C611</f>
        <v>Finance</v>
      </c>
      <c r="D612" s="3" t="str">
        <f aca="false">'1. Raw Data'!D611</f>
        <v>Mid</v>
      </c>
      <c r="E612" s="3" t="str">
        <f aca="false">'1. Raw Data'!E611</f>
        <v>Other</v>
      </c>
      <c r="F612" s="3" t="n">
        <f aca="false">'1. Raw Data'!F611</f>
        <v>0.5</v>
      </c>
      <c r="G612" s="3" t="n">
        <f aca="false">IF('1. Raw Data'!G611="",ROUND(IFERROR(AVERAGEIFS('1. Raw Data'!G2:G1201,'1. Raw Data'!C2:C1201,'1. Raw Data'!C611,'1. Raw Data'!D2:D1201,'1. Raw Data'!D611),0),2),'1. Raw Data'!G611)</f>
        <v>4568.22</v>
      </c>
      <c r="H612" s="3" t="str">
        <f aca="false">PROPER('1. Raw Data'!H611)</f>
        <v>No</v>
      </c>
      <c r="I612" s="3" t="n">
        <f aca="false">'1. Raw Data'!I611</f>
        <v>3</v>
      </c>
      <c r="J612" s="3" t="n">
        <f aca="false">'1. Raw Data'!J611</f>
        <v>3</v>
      </c>
      <c r="K612" s="3" t="n">
        <f aca="false">'1. Raw Data'!K611</f>
        <v>11</v>
      </c>
      <c r="L612" s="3" t="n">
        <f aca="false">'1. Raw Data'!L611</f>
        <v>0</v>
      </c>
      <c r="M612" s="3" t="n">
        <f aca="false">'1. Raw Data'!M611</f>
        <v>3</v>
      </c>
      <c r="N612" s="3" t="str">
        <f aca="false">'1. Raw Data'!N611</f>
        <v>No</v>
      </c>
    </row>
    <row r="613" customFormat="false" ht="15" hidden="false" customHeight="false" outlineLevel="0" collapsed="false">
      <c r="A613" s="3" t="str">
        <f aca="false">'1. Raw Data'!A612</f>
        <v>EMP-0611</v>
      </c>
      <c r="B613" s="3" t="n">
        <f aca="false">'1. Raw Data'!B612</f>
        <v>38</v>
      </c>
      <c r="C613" s="3" t="str">
        <f aca="false">'1. Raw Data'!C612</f>
        <v>Marketing</v>
      </c>
      <c r="D613" s="3" t="str">
        <f aca="false">'1. Raw Data'!D612</f>
        <v>Junior</v>
      </c>
      <c r="E613" s="3" t="str">
        <f aca="false">'1. Raw Data'!E612</f>
        <v>Technical</v>
      </c>
      <c r="F613" s="3" t="n">
        <f aca="false">'1. Raw Data'!F612</f>
        <v>0.1</v>
      </c>
      <c r="G613" s="3" t="n">
        <f aca="false">IF('1. Raw Data'!G612="",ROUND(IFERROR(AVERAGEIFS('1. Raw Data'!G2:G1201,'1. Raw Data'!C2:C1201,'1. Raw Data'!C612,'1. Raw Data'!D2:D1201,'1. Raw Data'!D612),0),2),'1. Raw Data'!G612)</f>
        <v>2970.31</v>
      </c>
      <c r="H613" s="3" t="str">
        <f aca="false">PROPER('1. Raw Data'!H612)</f>
        <v>No</v>
      </c>
      <c r="I613" s="3" t="n">
        <f aca="false">'1. Raw Data'!I612</f>
        <v>3</v>
      </c>
      <c r="J613" s="3" t="n">
        <f aca="false">'1. Raw Data'!J612</f>
        <v>3</v>
      </c>
      <c r="K613" s="3" t="n">
        <f aca="false">'1. Raw Data'!K612</f>
        <v>8</v>
      </c>
      <c r="L613" s="3" t="n">
        <f aca="false">'1. Raw Data'!L612</f>
        <v>0</v>
      </c>
      <c r="M613" s="3" t="n">
        <f aca="false">'1. Raw Data'!M612</f>
        <v>3</v>
      </c>
      <c r="N613" s="3" t="str">
        <f aca="false">'1. Raw Data'!N612</f>
        <v>No</v>
      </c>
    </row>
    <row r="614" customFormat="false" ht="15" hidden="false" customHeight="false" outlineLevel="0" collapsed="false">
      <c r="A614" s="3" t="str">
        <f aca="false">'1. Raw Data'!A613</f>
        <v>EMP-0612</v>
      </c>
      <c r="B614" s="3" t="n">
        <f aca="false">'1. Raw Data'!B613</f>
        <v>39</v>
      </c>
      <c r="C614" s="3" t="str">
        <f aca="false">'1. Raw Data'!C613</f>
        <v>Customer Support</v>
      </c>
      <c r="D614" s="3" t="str">
        <f aca="false">'1. Raw Data'!D613</f>
        <v>Mid</v>
      </c>
      <c r="E614" s="3" t="str">
        <f aca="false">'1. Raw Data'!E613</f>
        <v>Technical</v>
      </c>
      <c r="F614" s="3" t="n">
        <f aca="false">'1. Raw Data'!F613</f>
        <v>3</v>
      </c>
      <c r="G614" s="3" t="n">
        <f aca="false">IF('1. Raw Data'!G613="",ROUND(IFERROR(AVERAGEIFS('1. Raw Data'!G2:G1201,'1. Raw Data'!C2:C1201,'1. Raw Data'!C613,'1. Raw Data'!D2:D1201,'1. Raw Data'!D613),0),2),'1. Raw Data'!G613)</f>
        <v>4599.33</v>
      </c>
      <c r="H614" s="3" t="str">
        <f aca="false">PROPER('1. Raw Data'!H613)</f>
        <v>Yes</v>
      </c>
      <c r="I614" s="3" t="n">
        <f aca="false">'1. Raw Data'!I613</f>
        <v>2</v>
      </c>
      <c r="J614" s="3" t="n">
        <f aca="false">'1. Raw Data'!J613</f>
        <v>2</v>
      </c>
      <c r="K614" s="3" t="n">
        <f aca="false">'1. Raw Data'!K613</f>
        <v>9</v>
      </c>
      <c r="L614" s="3" t="n">
        <f aca="false">'1. Raw Data'!L613</f>
        <v>1</v>
      </c>
      <c r="M614" s="3" t="n">
        <f aca="false">'1. Raw Data'!M613</f>
        <v>4</v>
      </c>
      <c r="N614" s="3" t="str">
        <f aca="false">'1. Raw Data'!N613</f>
        <v>Yes</v>
      </c>
    </row>
    <row r="615" customFormat="false" ht="15" hidden="false" customHeight="false" outlineLevel="0" collapsed="false">
      <c r="A615" s="3" t="str">
        <f aca="false">'1. Raw Data'!A614</f>
        <v>EMP-0613</v>
      </c>
      <c r="B615" s="3" t="n">
        <f aca="false">'1. Raw Data'!B614</f>
        <v>49</v>
      </c>
      <c r="C615" s="3" t="str">
        <f aca="false">'1. Raw Data'!C614</f>
        <v>Engineering</v>
      </c>
      <c r="D615" s="3" t="str">
        <f aca="false">'1. Raw Data'!D614</f>
        <v>Senior</v>
      </c>
      <c r="E615" s="3" t="str">
        <f aca="false">'1. Raw Data'!E614</f>
        <v>Technical</v>
      </c>
      <c r="F615" s="3" t="n">
        <f aca="false">'1. Raw Data'!F614</f>
        <v>0.1</v>
      </c>
      <c r="G615" s="3" t="n">
        <f aca="false">IF('1. Raw Data'!G614="",ROUND(IFERROR(AVERAGEIFS('1. Raw Data'!G2:G1201,'1. Raw Data'!C2:C1201,'1. Raw Data'!C614,'1. Raw Data'!D2:D1201,'1. Raw Data'!D614),0),2),'1. Raw Data'!G614)</f>
        <v>6604.65</v>
      </c>
      <c r="H615" s="3" t="str">
        <f aca="false">PROPER('1. Raw Data'!H614)</f>
        <v>No</v>
      </c>
      <c r="I615" s="3" t="n">
        <f aca="false">'1. Raw Data'!I614</f>
        <v>4</v>
      </c>
      <c r="J615" s="3" t="n">
        <f aca="false">'1. Raw Data'!J614</f>
        <v>3</v>
      </c>
      <c r="K615" s="3" t="n">
        <f aca="false">'1. Raw Data'!K614</f>
        <v>3</v>
      </c>
      <c r="L615" s="3" t="n">
        <f aca="false">'1. Raw Data'!L614</f>
        <v>0</v>
      </c>
      <c r="M615" s="3" t="n">
        <f aca="false">'1. Raw Data'!M614</f>
        <v>1</v>
      </c>
      <c r="N615" s="3" t="str">
        <f aca="false">'1. Raw Data'!N614</f>
        <v>No</v>
      </c>
    </row>
    <row r="616" customFormat="false" ht="15" hidden="false" customHeight="false" outlineLevel="0" collapsed="false">
      <c r="A616" s="3" t="str">
        <f aca="false">'1. Raw Data'!A615</f>
        <v>EMP-0614</v>
      </c>
      <c r="B616" s="3" t="n">
        <f aca="false">'1. Raw Data'!B615</f>
        <v>38</v>
      </c>
      <c r="C616" s="3" t="str">
        <f aca="false">'1. Raw Data'!C615</f>
        <v>HR</v>
      </c>
      <c r="D616" s="3" t="str">
        <f aca="false">'1. Raw Data'!D615</f>
        <v>Mid</v>
      </c>
      <c r="E616" s="3" t="str">
        <f aca="false">'1. Raw Data'!E615</f>
        <v>Technical</v>
      </c>
      <c r="F616" s="3" t="n">
        <f aca="false">'1. Raw Data'!F615</f>
        <v>12</v>
      </c>
      <c r="G616" s="3" t="n">
        <f aca="false">IF('1. Raw Data'!G615="",ROUND(IFERROR(AVERAGEIFS('1. Raw Data'!G2:G1201,'1. Raw Data'!C2:C1201,'1. Raw Data'!C615,'1. Raw Data'!D2:D1201,'1. Raw Data'!D615),0),2),'1. Raw Data'!G615)</f>
        <v>4220.99</v>
      </c>
      <c r="H616" s="3" t="str">
        <f aca="false">PROPER('1. Raw Data'!H615)</f>
        <v>No</v>
      </c>
      <c r="I616" s="3" t="n">
        <f aca="false">'1. Raw Data'!I615</f>
        <v>3</v>
      </c>
      <c r="J616" s="3" t="n">
        <f aca="false">'1. Raw Data'!J615</f>
        <v>2</v>
      </c>
      <c r="K616" s="3" t="n">
        <f aca="false">'1. Raw Data'!K615</f>
        <v>1</v>
      </c>
      <c r="L616" s="3" t="n">
        <f aca="false">'1. Raw Data'!L615</f>
        <v>4</v>
      </c>
      <c r="M616" s="3" t="n">
        <f aca="false">'1. Raw Data'!M615</f>
        <v>1</v>
      </c>
      <c r="N616" s="3" t="str">
        <f aca="false">'1. Raw Data'!N615</f>
        <v>Yes</v>
      </c>
    </row>
    <row r="617" customFormat="false" ht="15" hidden="false" customHeight="false" outlineLevel="0" collapsed="false">
      <c r="A617" s="3" t="str">
        <f aca="false">'1. Raw Data'!A616</f>
        <v>EMP-0615</v>
      </c>
      <c r="B617" s="3" t="n">
        <f aca="false">'1. Raw Data'!B616</f>
        <v>36</v>
      </c>
      <c r="C617" s="3" t="str">
        <f aca="false">'1. Raw Data'!C616</f>
        <v>Engineering</v>
      </c>
      <c r="D617" s="3" t="str">
        <f aca="false">'1. Raw Data'!D616</f>
        <v>Junior</v>
      </c>
      <c r="E617" s="3" t="str">
        <f aca="false">'1. Raw Data'!E616</f>
        <v>Other</v>
      </c>
      <c r="F617" s="3" t="n">
        <f aca="false">'1. Raw Data'!F616</f>
        <v>0.3</v>
      </c>
      <c r="G617" s="3" t="n">
        <f aca="false">IF('1. Raw Data'!G616="",ROUND(IFERROR(AVERAGEIFS('1. Raw Data'!G2:G1201,'1. Raw Data'!C2:C1201,'1. Raw Data'!C616,'1. Raw Data'!D2:D1201,'1. Raw Data'!D616),0),2),'1. Raw Data'!G616)</f>
        <v>3529.13</v>
      </c>
      <c r="H617" s="3" t="str">
        <f aca="false">PROPER('1. Raw Data'!H616)</f>
        <v>No</v>
      </c>
      <c r="I617" s="3" t="n">
        <f aca="false">'1. Raw Data'!I616</f>
        <v>2</v>
      </c>
      <c r="J617" s="3" t="n">
        <f aca="false">'1. Raw Data'!J616</f>
        <v>3</v>
      </c>
      <c r="K617" s="3" t="n">
        <f aca="false">'1. Raw Data'!K616</f>
        <v>11</v>
      </c>
      <c r="L617" s="3" t="n">
        <f aca="false">'1. Raw Data'!L616</f>
        <v>0</v>
      </c>
      <c r="M617" s="3" t="n">
        <f aca="false">'1. Raw Data'!M616</f>
        <v>0</v>
      </c>
      <c r="N617" s="3" t="str">
        <f aca="false">'1. Raw Data'!N616</f>
        <v>Yes</v>
      </c>
    </row>
    <row r="618" customFormat="false" ht="15" hidden="false" customHeight="false" outlineLevel="0" collapsed="false">
      <c r="A618" s="3" t="str">
        <f aca="false">'1. Raw Data'!A617</f>
        <v>EMP-0616</v>
      </c>
      <c r="B618" s="3" t="n">
        <f aca="false">'1. Raw Data'!B617</f>
        <v>28</v>
      </c>
      <c r="C618" s="3" t="str">
        <f aca="false">'1. Raw Data'!C617</f>
        <v>Engineering</v>
      </c>
      <c r="D618" s="3" t="str">
        <f aca="false">'1. Raw Data'!D617</f>
        <v>Junior</v>
      </c>
      <c r="E618" s="3" t="str">
        <f aca="false">'1. Raw Data'!E617</f>
        <v>Marketing</v>
      </c>
      <c r="F618" s="3" t="n">
        <f aca="false">'1. Raw Data'!F617</f>
        <v>0.5</v>
      </c>
      <c r="G618" s="3" t="n">
        <f aca="false">IF('1. Raw Data'!G617="",ROUND(IFERROR(AVERAGEIFS('1. Raw Data'!G2:G1201,'1. Raw Data'!C2:C1201,'1. Raw Data'!C617,'1. Raw Data'!D2:D1201,'1. Raw Data'!D617),0),2),'1. Raw Data'!G617)</f>
        <v>3028.92</v>
      </c>
      <c r="H618" s="3" t="str">
        <f aca="false">PROPER('1. Raw Data'!H617)</f>
        <v>No</v>
      </c>
      <c r="I618" s="3" t="n">
        <f aca="false">'1. Raw Data'!I617</f>
        <v>1</v>
      </c>
      <c r="J618" s="3" t="n">
        <f aca="false">'1. Raw Data'!J617</f>
        <v>4</v>
      </c>
      <c r="K618" s="3" t="n">
        <f aca="false">'1. Raw Data'!K617</f>
        <v>22</v>
      </c>
      <c r="L618" s="3" t="n">
        <f aca="false">'1. Raw Data'!L617</f>
        <v>0</v>
      </c>
      <c r="M618" s="3" t="n">
        <f aca="false">'1. Raw Data'!M617</f>
        <v>2</v>
      </c>
      <c r="N618" s="3" t="str">
        <f aca="false">'1. Raw Data'!N617</f>
        <v>No</v>
      </c>
    </row>
    <row r="619" customFormat="false" ht="15" hidden="false" customHeight="false" outlineLevel="0" collapsed="false">
      <c r="A619" s="3" t="str">
        <f aca="false">'1. Raw Data'!A618</f>
        <v>EMP-0617</v>
      </c>
      <c r="B619" s="3" t="n">
        <f aca="false">'1. Raw Data'!B618</f>
        <v>42</v>
      </c>
      <c r="C619" s="3" t="str">
        <f aca="false">'1. Raw Data'!C618</f>
        <v>Customer Support</v>
      </c>
      <c r="D619" s="3" t="str">
        <f aca="false">'1. Raw Data'!D618</f>
        <v>Junior</v>
      </c>
      <c r="E619" s="3" t="str">
        <f aca="false">'1. Raw Data'!E618</f>
        <v>Technical</v>
      </c>
      <c r="F619" s="3" t="n">
        <f aca="false">'1. Raw Data'!F618</f>
        <v>3.5</v>
      </c>
      <c r="G619" s="3" t="n">
        <f aca="false">IF('1. Raw Data'!G618="",ROUND(IFERROR(AVERAGEIFS('1. Raw Data'!G2:G1201,'1. Raw Data'!C2:C1201,'1. Raw Data'!C618,'1. Raw Data'!D2:D1201,'1. Raw Data'!D618),0),2),'1. Raw Data'!G618)</f>
        <v>3521.29</v>
      </c>
      <c r="H619" s="3" t="str">
        <f aca="false">PROPER('1. Raw Data'!H618)</f>
        <v>No</v>
      </c>
      <c r="I619" s="3" t="n">
        <f aca="false">'1. Raw Data'!I618</f>
        <v>3</v>
      </c>
      <c r="J619" s="3" t="n">
        <f aca="false">'1. Raw Data'!J618</f>
        <v>3</v>
      </c>
      <c r="K619" s="3" t="n">
        <f aca="false">'1. Raw Data'!K618</f>
        <v>1</v>
      </c>
      <c r="L619" s="3" t="n">
        <f aca="false">'1. Raw Data'!L618</f>
        <v>0</v>
      </c>
      <c r="M619" s="3" t="n">
        <f aca="false">'1. Raw Data'!M618</f>
        <v>2</v>
      </c>
      <c r="N619" s="3" t="str">
        <f aca="false">'1. Raw Data'!N618</f>
        <v>No</v>
      </c>
    </row>
    <row r="620" customFormat="false" ht="15" hidden="false" customHeight="false" outlineLevel="0" collapsed="false">
      <c r="A620" s="3" t="str">
        <f aca="false">'1. Raw Data'!A619</f>
        <v>EMP-0618</v>
      </c>
      <c r="B620" s="3" t="n">
        <f aca="false">'1. Raw Data'!B619</f>
        <v>27</v>
      </c>
      <c r="C620" s="3" t="str">
        <f aca="false">'1. Raw Data'!C619</f>
        <v>Engineering</v>
      </c>
      <c r="D620" s="3" t="str">
        <f aca="false">'1. Raw Data'!D619</f>
        <v>Junior</v>
      </c>
      <c r="E620" s="3" t="str">
        <f aca="false">'1. Raw Data'!E619</f>
        <v>Other</v>
      </c>
      <c r="F620" s="3" t="n">
        <f aca="false">'1. Raw Data'!F619</f>
        <v>6</v>
      </c>
      <c r="G620" s="3" t="n">
        <f aca="false">IF('1. Raw Data'!G619="",ROUND(IFERROR(AVERAGEIFS('1. Raw Data'!G2:G1201,'1. Raw Data'!C2:C1201,'1. Raw Data'!C619,'1. Raw Data'!D2:D1201,'1. Raw Data'!D619),0),2),'1. Raw Data'!G619)</f>
        <v>2722.07</v>
      </c>
      <c r="H620" s="3" t="str">
        <f aca="false">PROPER('1. Raw Data'!H619)</f>
        <v>No</v>
      </c>
      <c r="I620" s="3" t="n">
        <f aca="false">'1. Raw Data'!I619</f>
        <v>1</v>
      </c>
      <c r="J620" s="3" t="n">
        <f aca="false">'1. Raw Data'!J619</f>
        <v>2</v>
      </c>
      <c r="K620" s="3" t="n">
        <f aca="false">'1. Raw Data'!K619</f>
        <v>15</v>
      </c>
      <c r="L620" s="3" t="n">
        <f aca="false">'1. Raw Data'!L619</f>
        <v>0</v>
      </c>
      <c r="M620" s="3" t="n">
        <f aca="false">'1. Raw Data'!M619</f>
        <v>3</v>
      </c>
      <c r="N620" s="3" t="str">
        <f aca="false">'1. Raw Data'!N619</f>
        <v>Yes</v>
      </c>
    </row>
    <row r="621" customFormat="false" ht="15" hidden="false" customHeight="false" outlineLevel="0" collapsed="false">
      <c r="A621" s="3" t="str">
        <f aca="false">'1. Raw Data'!A620</f>
        <v>EMP-0619</v>
      </c>
      <c r="B621" s="3" t="n">
        <f aca="false">'1. Raw Data'!B620</f>
        <v>21</v>
      </c>
      <c r="C621" s="3" t="str">
        <f aca="false">'1. Raw Data'!C620</f>
        <v>Marketing</v>
      </c>
      <c r="D621" s="3" t="str">
        <f aca="false">'1. Raw Data'!D620</f>
        <v>Junior</v>
      </c>
      <c r="E621" s="3" t="str">
        <f aca="false">'1. Raw Data'!E620</f>
        <v>Business</v>
      </c>
      <c r="F621" s="3" t="n">
        <f aca="false">'1. Raw Data'!F620</f>
        <v>0</v>
      </c>
      <c r="G621" s="3" t="n">
        <f aca="false">IF('1. Raw Data'!G620="",ROUND(IFERROR(AVERAGEIFS('1. Raw Data'!G2:G1201,'1. Raw Data'!C2:C1201,'1. Raw Data'!C620,'1. Raw Data'!D2:D1201,'1. Raw Data'!D620),0),2),'1. Raw Data'!G620)</f>
        <v>3133.47</v>
      </c>
      <c r="H621" s="3" t="str">
        <f aca="false">PROPER('1. Raw Data'!H620)</f>
        <v>Yes</v>
      </c>
      <c r="I621" s="3" t="n">
        <f aca="false">'1. Raw Data'!I620</f>
        <v>1</v>
      </c>
      <c r="J621" s="3" t="n">
        <f aca="false">'1. Raw Data'!J620</f>
        <v>3</v>
      </c>
      <c r="K621" s="3" t="n">
        <f aca="false">'1. Raw Data'!K620</f>
        <v>16</v>
      </c>
      <c r="L621" s="3" t="n">
        <f aca="false">'1. Raw Data'!L620</f>
        <v>0</v>
      </c>
      <c r="M621" s="3" t="n">
        <f aca="false">'1. Raw Data'!M620</f>
        <v>5</v>
      </c>
      <c r="N621" s="3" t="str">
        <f aca="false">'1. Raw Data'!N620</f>
        <v>Yes</v>
      </c>
    </row>
    <row r="622" customFormat="false" ht="15" hidden="false" customHeight="false" outlineLevel="0" collapsed="false">
      <c r="A622" s="3" t="str">
        <f aca="false">'1. Raw Data'!A621</f>
        <v>EMP-0620</v>
      </c>
      <c r="B622" s="3" t="n">
        <f aca="false">'1. Raw Data'!B621</f>
        <v>26</v>
      </c>
      <c r="C622" s="3" t="str">
        <f aca="false">'1. Raw Data'!C621</f>
        <v>Customer Support</v>
      </c>
      <c r="D622" s="3" t="str">
        <f aca="false">'1. Raw Data'!D621</f>
        <v>Senior</v>
      </c>
      <c r="E622" s="3" t="str">
        <f aca="false">'1. Raw Data'!E621</f>
        <v>Technical</v>
      </c>
      <c r="F622" s="3" t="n">
        <f aca="false">'1. Raw Data'!F621</f>
        <v>1.2</v>
      </c>
      <c r="G622" s="3" t="n">
        <f aca="false">IF('1. Raw Data'!G621="",ROUND(IFERROR(AVERAGEIFS('1. Raw Data'!G2:G1201,'1. Raw Data'!C2:C1201,'1. Raw Data'!C621,'1. Raw Data'!D2:D1201,'1. Raw Data'!D621),0),2),'1. Raw Data'!G621)</f>
        <v>6751.07</v>
      </c>
      <c r="H622" s="3" t="str">
        <f aca="false">PROPER('1. Raw Data'!H621)</f>
        <v>Yes</v>
      </c>
      <c r="I622" s="3" t="n">
        <f aca="false">'1. Raw Data'!I621</f>
        <v>1</v>
      </c>
      <c r="J622" s="3" t="n">
        <f aca="false">'1. Raw Data'!J621</f>
        <v>2</v>
      </c>
      <c r="K622" s="3" t="n">
        <f aca="false">'1. Raw Data'!K621</f>
        <v>15</v>
      </c>
      <c r="L622" s="3" t="n">
        <f aca="false">'1. Raw Data'!L621</f>
        <v>1</v>
      </c>
      <c r="M622" s="3" t="n">
        <f aca="false">'1. Raw Data'!M621</f>
        <v>1</v>
      </c>
      <c r="N622" s="3" t="str">
        <f aca="false">'1. Raw Data'!N621</f>
        <v>No</v>
      </c>
    </row>
    <row r="623" customFormat="false" ht="15" hidden="false" customHeight="false" outlineLevel="0" collapsed="false">
      <c r="A623" s="3" t="str">
        <f aca="false">'1. Raw Data'!A622</f>
        <v>EMP-0621</v>
      </c>
      <c r="B623" s="3" t="n">
        <f aca="false">'1. Raw Data'!B622</f>
        <v>29</v>
      </c>
      <c r="C623" s="3" t="str">
        <f aca="false">'1. Raw Data'!C622</f>
        <v>Customer Support</v>
      </c>
      <c r="D623" s="3" t="str">
        <f aca="false">'1. Raw Data'!D622</f>
        <v>Senior</v>
      </c>
      <c r="E623" s="3" t="str">
        <f aca="false">'1. Raw Data'!E622</f>
        <v>Business</v>
      </c>
      <c r="F623" s="3" t="n">
        <f aca="false">'1. Raw Data'!F622</f>
        <v>8</v>
      </c>
      <c r="G623" s="3" t="n">
        <f aca="false">IF('1. Raw Data'!G622="",ROUND(IFERROR(AVERAGEIFS('1. Raw Data'!G2:G1201,'1. Raw Data'!C2:C1201,'1. Raw Data'!C622,'1. Raw Data'!D2:D1201,'1. Raw Data'!D622),0),2),'1. Raw Data'!G622)</f>
        <v>7234.02</v>
      </c>
      <c r="H623" s="3" t="str">
        <f aca="false">PROPER('1. Raw Data'!H622)</f>
        <v>No</v>
      </c>
      <c r="I623" s="3" t="n">
        <f aca="false">'1. Raw Data'!I622</f>
        <v>1</v>
      </c>
      <c r="J623" s="3" t="n">
        <f aca="false">'1. Raw Data'!J622</f>
        <v>4</v>
      </c>
      <c r="K623" s="3" t="n">
        <f aca="false">'1. Raw Data'!K622</f>
        <v>3</v>
      </c>
      <c r="L623" s="3" t="n">
        <f aca="false">'1. Raw Data'!L622</f>
        <v>2</v>
      </c>
      <c r="M623" s="3" t="n">
        <f aca="false">'1. Raw Data'!M622</f>
        <v>2</v>
      </c>
      <c r="N623" s="3" t="str">
        <f aca="false">'1. Raw Data'!N622</f>
        <v>No</v>
      </c>
    </row>
    <row r="624" customFormat="false" ht="15" hidden="false" customHeight="false" outlineLevel="0" collapsed="false">
      <c r="A624" s="3" t="str">
        <f aca="false">'1. Raw Data'!A623</f>
        <v>EMP-0622</v>
      </c>
      <c r="B624" s="3" t="n">
        <f aca="false">'1. Raw Data'!B623</f>
        <v>21</v>
      </c>
      <c r="C624" s="3" t="str">
        <f aca="false">'1. Raw Data'!C623</f>
        <v>Engineering</v>
      </c>
      <c r="D624" s="3" t="str">
        <f aca="false">'1. Raw Data'!D623</f>
        <v>Junior</v>
      </c>
      <c r="E624" s="3" t="str">
        <f aca="false">'1. Raw Data'!E623</f>
        <v>Marketing</v>
      </c>
      <c r="F624" s="3" t="n">
        <f aca="false">'1. Raw Data'!F623</f>
        <v>0</v>
      </c>
      <c r="G624" s="3" t="n">
        <f aca="false">IF('1. Raw Data'!G623="",ROUND(IFERROR(AVERAGEIFS('1. Raw Data'!G2:G1201,'1. Raw Data'!C2:C1201,'1. Raw Data'!C623,'1. Raw Data'!D2:D1201,'1. Raw Data'!D623),0),2),'1. Raw Data'!G623)</f>
        <v>3547.15</v>
      </c>
      <c r="H624" s="3" t="str">
        <f aca="false">PROPER('1. Raw Data'!H623)</f>
        <v>No</v>
      </c>
      <c r="I624" s="3" t="n">
        <f aca="false">'1. Raw Data'!I623</f>
        <v>3</v>
      </c>
      <c r="J624" s="3" t="n">
        <f aca="false">'1. Raw Data'!J623</f>
        <v>3</v>
      </c>
      <c r="K624" s="3" t="n">
        <f aca="false">'1. Raw Data'!K623</f>
        <v>2</v>
      </c>
      <c r="L624" s="3" t="n">
        <f aca="false">'1. Raw Data'!L623</f>
        <v>0</v>
      </c>
      <c r="M624" s="3" t="n">
        <f aca="false">'1. Raw Data'!M623</f>
        <v>4</v>
      </c>
      <c r="N624" s="3" t="str">
        <f aca="false">'1. Raw Data'!N623</f>
        <v>No</v>
      </c>
    </row>
    <row r="625" customFormat="false" ht="15" hidden="false" customHeight="false" outlineLevel="0" collapsed="false">
      <c r="A625" s="3" t="str">
        <f aca="false">'1. Raw Data'!A624</f>
        <v>EMP-0623</v>
      </c>
      <c r="B625" s="3" t="n">
        <f aca="false">'1. Raw Data'!B624</f>
        <v>37</v>
      </c>
      <c r="C625" s="3" t="str">
        <f aca="false">'1. Raw Data'!C624</f>
        <v>Engineering</v>
      </c>
      <c r="D625" s="3" t="str">
        <f aca="false">'1. Raw Data'!D624</f>
        <v>Junior</v>
      </c>
      <c r="E625" s="3" t="str">
        <f aca="false">'1. Raw Data'!E624</f>
        <v>Technical</v>
      </c>
      <c r="F625" s="3" t="n">
        <f aca="false">'1. Raw Data'!F624</f>
        <v>0.2</v>
      </c>
      <c r="G625" s="3" t="n">
        <f aca="false">IF('1. Raw Data'!G624="",ROUND(IFERROR(AVERAGEIFS('1. Raw Data'!G2:G1201,'1. Raw Data'!C2:C1201,'1. Raw Data'!C624,'1. Raw Data'!D2:D1201,'1. Raw Data'!D624),0),2),'1. Raw Data'!G624)</f>
        <v>3186.88</v>
      </c>
      <c r="H625" s="3" t="str">
        <f aca="false">PROPER('1. Raw Data'!H624)</f>
        <v>No</v>
      </c>
      <c r="I625" s="3" t="n">
        <f aca="false">'1. Raw Data'!I624</f>
        <v>3</v>
      </c>
      <c r="J625" s="3" t="n">
        <f aca="false">'1. Raw Data'!J624</f>
        <v>2</v>
      </c>
      <c r="K625" s="3" t="n">
        <f aca="false">'1. Raw Data'!K624</f>
        <v>2</v>
      </c>
      <c r="L625" s="3" t="n">
        <f aca="false">'1. Raw Data'!L624</f>
        <v>0</v>
      </c>
      <c r="M625" s="3" t="n">
        <f aca="false">'1. Raw Data'!M624</f>
        <v>2</v>
      </c>
      <c r="N625" s="3" t="str">
        <f aca="false">'1. Raw Data'!N624</f>
        <v>No</v>
      </c>
    </row>
    <row r="626" customFormat="false" ht="15" hidden="false" customHeight="false" outlineLevel="0" collapsed="false">
      <c r="A626" s="3" t="str">
        <f aca="false">'1. Raw Data'!A625</f>
        <v>EMP-0624</v>
      </c>
      <c r="B626" s="3" t="n">
        <f aca="false">'1. Raw Data'!B625</f>
        <v>31</v>
      </c>
      <c r="C626" s="3" t="str">
        <f aca="false">'1. Raw Data'!C625</f>
        <v>Marketing</v>
      </c>
      <c r="D626" s="3" t="str">
        <f aca="false">'1. Raw Data'!D625</f>
        <v>Junior</v>
      </c>
      <c r="E626" s="3" t="str">
        <f aca="false">'1. Raw Data'!E625</f>
        <v>Marketing</v>
      </c>
      <c r="F626" s="3" t="n">
        <f aca="false">'1. Raw Data'!F625</f>
        <v>8.6</v>
      </c>
      <c r="G626" s="3" t="n">
        <f aca="false">IF('1. Raw Data'!G625="",ROUND(IFERROR(AVERAGEIFS('1. Raw Data'!G2:G1201,'1. Raw Data'!C2:C1201,'1. Raw Data'!C625,'1. Raw Data'!D2:D1201,'1. Raw Data'!D625),0),2),'1. Raw Data'!G625)</f>
        <v>3158.72</v>
      </c>
      <c r="H626" s="3" t="str">
        <f aca="false">PROPER('1. Raw Data'!H625)</f>
        <v>No</v>
      </c>
      <c r="I626" s="3" t="n">
        <f aca="false">'1. Raw Data'!I625</f>
        <v>4</v>
      </c>
      <c r="J626" s="3" t="n">
        <f aca="false">'1. Raw Data'!J625</f>
        <v>1</v>
      </c>
      <c r="K626" s="3" t="n">
        <f aca="false">'1. Raw Data'!K625</f>
        <v>2</v>
      </c>
      <c r="L626" s="3" t="n">
        <f aca="false">'1. Raw Data'!L625</f>
        <v>6</v>
      </c>
      <c r="M626" s="3" t="n">
        <f aca="false">'1. Raw Data'!M625</f>
        <v>1</v>
      </c>
      <c r="N626" s="3" t="str">
        <f aca="false">'1. Raw Data'!N625</f>
        <v>Yes</v>
      </c>
    </row>
    <row r="627" customFormat="false" ht="15" hidden="false" customHeight="false" outlineLevel="0" collapsed="false">
      <c r="A627" s="3" t="str">
        <f aca="false">'1. Raw Data'!A626</f>
        <v>EMP-0625</v>
      </c>
      <c r="B627" s="3" t="n">
        <f aca="false">'1. Raw Data'!B626</f>
        <v>36</v>
      </c>
      <c r="C627" s="3" t="str">
        <f aca="false">'1. Raw Data'!C626</f>
        <v>Engineering</v>
      </c>
      <c r="D627" s="3" t="str">
        <f aca="false">'1. Raw Data'!D626</f>
        <v>Junior</v>
      </c>
      <c r="E627" s="3" t="str">
        <f aca="false">'1. Raw Data'!E626</f>
        <v>Marketing</v>
      </c>
      <c r="F627" s="3" t="n">
        <f aca="false">'1. Raw Data'!F626</f>
        <v>3</v>
      </c>
      <c r="G627" s="3" t="n">
        <f aca="false">IF('1. Raw Data'!G626="",ROUND(IFERROR(AVERAGEIFS('1. Raw Data'!G2:G1201,'1. Raw Data'!C2:C1201,'1. Raw Data'!C626,'1. Raw Data'!D2:D1201,'1. Raw Data'!D626),0),2),'1. Raw Data'!G626)</f>
        <v>3814.31</v>
      </c>
      <c r="H627" s="3" t="str">
        <f aca="false">PROPER('1. Raw Data'!H626)</f>
        <v>No</v>
      </c>
      <c r="I627" s="3" t="n">
        <f aca="false">'1. Raw Data'!I626</f>
        <v>3</v>
      </c>
      <c r="J627" s="3" t="n">
        <f aca="false">'1. Raw Data'!J626</f>
        <v>2</v>
      </c>
      <c r="K627" s="3" t="n">
        <f aca="false">'1. Raw Data'!K626</f>
        <v>26</v>
      </c>
      <c r="L627" s="3" t="n">
        <f aca="false">'1. Raw Data'!L626</f>
        <v>0</v>
      </c>
      <c r="M627" s="3" t="n">
        <f aca="false">'1. Raw Data'!M626</f>
        <v>4</v>
      </c>
      <c r="N627" s="3" t="str">
        <f aca="false">'1. Raw Data'!N626</f>
        <v>Yes</v>
      </c>
    </row>
    <row r="628" customFormat="false" ht="15" hidden="false" customHeight="false" outlineLevel="0" collapsed="false">
      <c r="A628" s="3" t="str">
        <f aca="false">'1. Raw Data'!A627</f>
        <v>EMP-0626</v>
      </c>
      <c r="B628" s="3" t="n">
        <f aca="false">'1. Raw Data'!B627</f>
        <v>31</v>
      </c>
      <c r="C628" s="3" t="str">
        <f aca="false">'1. Raw Data'!C627</f>
        <v>Sales</v>
      </c>
      <c r="D628" s="3" t="str">
        <f aca="false">'1. Raw Data'!D627</f>
        <v>Mid</v>
      </c>
      <c r="E628" s="3" t="str">
        <f aca="false">'1. Raw Data'!E627</f>
        <v>Other</v>
      </c>
      <c r="F628" s="3" t="n">
        <f aca="false">'1. Raw Data'!F627</f>
        <v>1.2</v>
      </c>
      <c r="G628" s="3" t="n">
        <f aca="false">IF('1. Raw Data'!G627="",ROUND(IFERROR(AVERAGEIFS('1. Raw Data'!G2:G1201,'1. Raw Data'!C2:C1201,'1. Raw Data'!C627,'1. Raw Data'!D2:D1201,'1. Raw Data'!D627),0),2),'1. Raw Data'!G627)</f>
        <v>4151.3</v>
      </c>
      <c r="H628" s="3" t="str">
        <f aca="false">PROPER('1. Raw Data'!H627)</f>
        <v>No</v>
      </c>
      <c r="I628" s="3" t="n">
        <f aca="false">'1. Raw Data'!I627</f>
        <v>3</v>
      </c>
      <c r="J628" s="3" t="n">
        <f aca="false">'1. Raw Data'!J627</f>
        <v>3</v>
      </c>
      <c r="K628" s="3" t="n">
        <f aca="false">'1. Raw Data'!K627</f>
        <v>9</v>
      </c>
      <c r="L628" s="3" t="n">
        <f aca="false">'1. Raw Data'!L627</f>
        <v>0</v>
      </c>
      <c r="M628" s="3" t="n">
        <f aca="false">'1. Raw Data'!M627</f>
        <v>1</v>
      </c>
      <c r="N628" s="3" t="str">
        <f aca="false">'1. Raw Data'!N627</f>
        <v>No</v>
      </c>
    </row>
    <row r="629" customFormat="false" ht="15" hidden="false" customHeight="false" outlineLevel="0" collapsed="false">
      <c r="A629" s="3" t="str">
        <f aca="false">'1. Raw Data'!A628</f>
        <v>EMP-0627</v>
      </c>
      <c r="B629" s="3" t="n">
        <f aca="false">'1. Raw Data'!B628</f>
        <v>38</v>
      </c>
      <c r="C629" s="3" t="str">
        <f aca="false">'1. Raw Data'!C628</f>
        <v>Finance</v>
      </c>
      <c r="D629" s="3" t="str">
        <f aca="false">'1. Raw Data'!D628</f>
        <v>Junior</v>
      </c>
      <c r="E629" s="3" t="str">
        <f aca="false">'1. Raw Data'!E628</f>
        <v>Technical</v>
      </c>
      <c r="F629" s="3" t="n">
        <f aca="false">'1. Raw Data'!F628</f>
        <v>0.9</v>
      </c>
      <c r="G629" s="3" t="n">
        <f aca="false">IF('1. Raw Data'!G628="",ROUND(IFERROR(AVERAGEIFS('1. Raw Data'!G2:G1201,'1. Raw Data'!C2:C1201,'1. Raw Data'!C628,'1. Raw Data'!D2:D1201,'1. Raw Data'!D628),0),2),'1. Raw Data'!G628)</f>
        <v>3032.24</v>
      </c>
      <c r="H629" s="3" t="str">
        <f aca="false">PROPER('1. Raw Data'!H628)</f>
        <v>No</v>
      </c>
      <c r="I629" s="3" t="n">
        <f aca="false">'1. Raw Data'!I628</f>
        <v>4</v>
      </c>
      <c r="J629" s="3" t="n">
        <f aca="false">'1. Raw Data'!J628</f>
        <v>1</v>
      </c>
      <c r="K629" s="3" t="n">
        <f aca="false">'1. Raw Data'!K628</f>
        <v>3</v>
      </c>
      <c r="L629" s="3" t="n">
        <f aca="false">'1. Raw Data'!L628</f>
        <v>0</v>
      </c>
      <c r="M629" s="3" t="n">
        <f aca="false">'1. Raw Data'!M628</f>
        <v>2</v>
      </c>
      <c r="N629" s="3" t="str">
        <f aca="false">'1. Raw Data'!N628</f>
        <v>No</v>
      </c>
    </row>
    <row r="630" customFormat="false" ht="15" hidden="false" customHeight="false" outlineLevel="0" collapsed="false">
      <c r="A630" s="3" t="str">
        <f aca="false">'1. Raw Data'!A629</f>
        <v>EMP-0628</v>
      </c>
      <c r="B630" s="3" t="n">
        <f aca="false">'1. Raw Data'!B629</f>
        <v>41</v>
      </c>
      <c r="C630" s="3" t="str">
        <f aca="false">'1. Raw Data'!C629</f>
        <v>Engineering</v>
      </c>
      <c r="D630" s="3" t="str">
        <f aca="false">'1. Raw Data'!D629</f>
        <v>Senior</v>
      </c>
      <c r="E630" s="3" t="str">
        <f aca="false">'1. Raw Data'!E629</f>
        <v>Marketing</v>
      </c>
      <c r="F630" s="3" t="n">
        <f aca="false">'1. Raw Data'!F629</f>
        <v>0.2</v>
      </c>
      <c r="G630" s="3" t="n">
        <f aca="false">IF('1. Raw Data'!G629="",ROUND(IFERROR(AVERAGEIFS('1. Raw Data'!G2:G1201,'1. Raw Data'!C2:C1201,'1. Raw Data'!C629,'1. Raw Data'!D2:D1201,'1. Raw Data'!D629),0),2),'1. Raw Data'!G629)</f>
        <v>8431.76</v>
      </c>
      <c r="H630" s="3" t="str">
        <f aca="false">PROPER('1. Raw Data'!H629)</f>
        <v>Yes</v>
      </c>
      <c r="I630" s="3" t="n">
        <f aca="false">'1. Raw Data'!I629</f>
        <v>3</v>
      </c>
      <c r="J630" s="3" t="n">
        <f aca="false">'1. Raw Data'!J629</f>
        <v>4</v>
      </c>
      <c r="K630" s="3" t="n">
        <f aca="false">'1. Raw Data'!K629</f>
        <v>11</v>
      </c>
      <c r="L630" s="3" t="n">
        <f aca="false">'1. Raw Data'!L629</f>
        <v>0</v>
      </c>
      <c r="M630" s="3" t="n">
        <f aca="false">'1. Raw Data'!M629</f>
        <v>3</v>
      </c>
      <c r="N630" s="3" t="str">
        <f aca="false">'1. Raw Data'!N629</f>
        <v>No</v>
      </c>
    </row>
    <row r="631" customFormat="false" ht="15" hidden="false" customHeight="false" outlineLevel="0" collapsed="false">
      <c r="A631" s="3" t="str">
        <f aca="false">'1. Raw Data'!A630</f>
        <v>EMP-0629</v>
      </c>
      <c r="B631" s="3" t="n">
        <f aca="false">'1. Raw Data'!B630</f>
        <v>25</v>
      </c>
      <c r="C631" s="3" t="str">
        <f aca="false">'1. Raw Data'!C630</f>
        <v>Sales</v>
      </c>
      <c r="D631" s="3" t="str">
        <f aca="false">'1. Raw Data'!D630</f>
        <v>Mid</v>
      </c>
      <c r="E631" s="3" t="str">
        <f aca="false">'1. Raw Data'!E630</f>
        <v>Other</v>
      </c>
      <c r="F631" s="3" t="n">
        <f aca="false">'1. Raw Data'!F630</f>
        <v>4</v>
      </c>
      <c r="G631" s="3" t="n">
        <f aca="false">IF('1. Raw Data'!G630="",ROUND(IFERROR(AVERAGEIFS('1. Raw Data'!G2:G1201,'1. Raw Data'!C2:C1201,'1. Raw Data'!C630,'1. Raw Data'!D2:D1201,'1. Raw Data'!D630),0),2),'1. Raw Data'!G630)</f>
        <v>4591.65</v>
      </c>
      <c r="H631" s="3" t="str">
        <f aca="false">PROPER('1. Raw Data'!H630)</f>
        <v>No</v>
      </c>
      <c r="I631" s="3" t="n">
        <f aca="false">'1. Raw Data'!I630</f>
        <v>2</v>
      </c>
      <c r="J631" s="3" t="n">
        <f aca="false">'1. Raw Data'!J630</f>
        <v>2</v>
      </c>
      <c r="K631" s="3" t="n">
        <f aca="false">'1. Raw Data'!K630</f>
        <v>1</v>
      </c>
      <c r="L631" s="3" t="n">
        <f aca="false">'1. Raw Data'!L630</f>
        <v>4</v>
      </c>
      <c r="M631" s="3" t="n">
        <f aca="false">'1. Raw Data'!M630</f>
        <v>1</v>
      </c>
      <c r="N631" s="3" t="str">
        <f aca="false">'1. Raw Data'!N630</f>
        <v>Yes</v>
      </c>
    </row>
    <row r="632" customFormat="false" ht="15" hidden="false" customHeight="false" outlineLevel="0" collapsed="false">
      <c r="A632" s="3" t="str">
        <f aca="false">'1. Raw Data'!A631</f>
        <v>EMP-0630</v>
      </c>
      <c r="B632" s="3" t="n">
        <f aca="false">'1. Raw Data'!B631</f>
        <v>21</v>
      </c>
      <c r="C632" s="3" t="str">
        <f aca="false">'1. Raw Data'!C631</f>
        <v>Sales</v>
      </c>
      <c r="D632" s="3" t="str">
        <f aca="false">'1. Raw Data'!D631</f>
        <v>Mid</v>
      </c>
      <c r="E632" s="3" t="str">
        <f aca="false">'1. Raw Data'!E631</f>
        <v>Technical</v>
      </c>
      <c r="F632" s="3" t="n">
        <f aca="false">'1. Raw Data'!F631</f>
        <v>0</v>
      </c>
      <c r="G632" s="3" t="n">
        <f aca="false">IF('1. Raw Data'!G631="",ROUND(IFERROR(AVERAGEIFS('1. Raw Data'!G2:G1201,'1. Raw Data'!C2:C1201,'1. Raw Data'!C631,'1. Raw Data'!D2:D1201,'1. Raw Data'!D631),0),2),'1. Raw Data'!G631)</f>
        <v>5468.27</v>
      </c>
      <c r="H632" s="3" t="str">
        <f aca="false">PROPER('1. Raw Data'!H631)</f>
        <v>No</v>
      </c>
      <c r="I632" s="3" t="n">
        <f aca="false">'1. Raw Data'!I631</f>
        <v>1</v>
      </c>
      <c r="J632" s="3" t="n">
        <f aca="false">'1. Raw Data'!J631</f>
        <v>3</v>
      </c>
      <c r="K632" s="3" t="n">
        <f aca="false">'1. Raw Data'!K631</f>
        <v>11</v>
      </c>
      <c r="L632" s="3" t="n">
        <f aca="false">'1. Raw Data'!L631</f>
        <v>0</v>
      </c>
      <c r="M632" s="3" t="n">
        <f aca="false">'1. Raw Data'!M631</f>
        <v>2</v>
      </c>
      <c r="N632" s="3" t="str">
        <f aca="false">'1. Raw Data'!N631</f>
        <v>No</v>
      </c>
    </row>
    <row r="633" customFormat="false" ht="15" hidden="false" customHeight="false" outlineLevel="0" collapsed="false">
      <c r="A633" s="3" t="str">
        <f aca="false">'1. Raw Data'!A632</f>
        <v>EMP-0631</v>
      </c>
      <c r="B633" s="3" t="n">
        <f aca="false">'1. Raw Data'!B632</f>
        <v>41</v>
      </c>
      <c r="C633" s="3" t="str">
        <f aca="false">'1. Raw Data'!C632</f>
        <v>Finance</v>
      </c>
      <c r="D633" s="3" t="str">
        <f aca="false">'1. Raw Data'!D632</f>
        <v>Mid</v>
      </c>
      <c r="E633" s="3" t="str">
        <f aca="false">'1. Raw Data'!E632</f>
        <v>Technical</v>
      </c>
      <c r="F633" s="3" t="n">
        <f aca="false">'1. Raw Data'!F632</f>
        <v>4</v>
      </c>
      <c r="G633" s="3" t="n">
        <f aca="false">IF('1. Raw Data'!G632="",ROUND(IFERROR(AVERAGEIFS('1. Raw Data'!G2:G1201,'1. Raw Data'!C2:C1201,'1. Raw Data'!C632,'1. Raw Data'!D2:D1201,'1. Raw Data'!D632),0),2),'1. Raw Data'!G632)</f>
        <v>5583.62</v>
      </c>
      <c r="H633" s="3" t="str">
        <f aca="false">PROPER('1. Raw Data'!H632)</f>
        <v>No</v>
      </c>
      <c r="I633" s="3" t="n">
        <f aca="false">'1. Raw Data'!I632</f>
        <v>4</v>
      </c>
      <c r="J633" s="3" t="n">
        <f aca="false">'1. Raw Data'!J632</f>
        <v>4</v>
      </c>
      <c r="K633" s="3" t="n">
        <f aca="false">'1. Raw Data'!K632</f>
        <v>1</v>
      </c>
      <c r="L633" s="3" t="n">
        <f aca="false">'1. Raw Data'!L632</f>
        <v>0</v>
      </c>
      <c r="M633" s="3" t="n">
        <f aca="false">'1. Raw Data'!M632</f>
        <v>3</v>
      </c>
      <c r="N633" s="3" t="str">
        <f aca="false">'1. Raw Data'!N632</f>
        <v>No</v>
      </c>
    </row>
    <row r="634" customFormat="false" ht="15" hidden="false" customHeight="false" outlineLevel="0" collapsed="false">
      <c r="A634" s="3" t="str">
        <f aca="false">'1. Raw Data'!A633</f>
        <v>EMP-0632</v>
      </c>
      <c r="B634" s="3" t="n">
        <f aca="false">'1. Raw Data'!B633</f>
        <v>27</v>
      </c>
      <c r="C634" s="3" t="str">
        <f aca="false">'1. Raw Data'!C633</f>
        <v>HR</v>
      </c>
      <c r="D634" s="3" t="str">
        <f aca="false">'1. Raw Data'!D633</f>
        <v>Junior</v>
      </c>
      <c r="E634" s="3" t="str">
        <f aca="false">'1. Raw Data'!E633</f>
        <v>Business</v>
      </c>
      <c r="F634" s="3" t="n">
        <f aca="false">'1. Raw Data'!F633</f>
        <v>1</v>
      </c>
      <c r="G634" s="3" t="n">
        <f aca="false">IF('1. Raw Data'!G633="",ROUND(IFERROR(AVERAGEIFS('1. Raw Data'!G2:G1201,'1. Raw Data'!C2:C1201,'1. Raw Data'!C633,'1. Raw Data'!D2:D1201,'1. Raw Data'!D633),0),2),'1. Raw Data'!G633)</f>
        <v>3400.75</v>
      </c>
      <c r="H634" s="3" t="str">
        <f aca="false">PROPER('1. Raw Data'!H633)</f>
        <v>No</v>
      </c>
      <c r="I634" s="3" t="n">
        <f aca="false">'1. Raw Data'!I633</f>
        <v>4</v>
      </c>
      <c r="J634" s="3" t="n">
        <f aca="false">'1. Raw Data'!J633</f>
        <v>1</v>
      </c>
      <c r="K634" s="3" t="n">
        <f aca="false">'1. Raw Data'!K633</f>
        <v>7</v>
      </c>
      <c r="L634" s="3" t="n">
        <f aca="false">'1. Raw Data'!L633</f>
        <v>1</v>
      </c>
      <c r="M634" s="3" t="n">
        <f aca="false">'1. Raw Data'!M633</f>
        <v>4</v>
      </c>
      <c r="N634" s="3" t="str">
        <f aca="false">'1. Raw Data'!N633</f>
        <v>No</v>
      </c>
    </row>
    <row r="635" customFormat="false" ht="15" hidden="false" customHeight="false" outlineLevel="0" collapsed="false">
      <c r="A635" s="3" t="str">
        <f aca="false">'1. Raw Data'!A634</f>
        <v>EMP-0633</v>
      </c>
      <c r="B635" s="3" t="n">
        <f aca="false">'1. Raw Data'!B634</f>
        <v>27</v>
      </c>
      <c r="C635" s="3" t="str">
        <f aca="false">'1. Raw Data'!C634</f>
        <v>Finance</v>
      </c>
      <c r="D635" s="3" t="str">
        <f aca="false">'1. Raw Data'!D634</f>
        <v>Senior</v>
      </c>
      <c r="E635" s="3" t="str">
        <f aca="false">'1. Raw Data'!E634</f>
        <v>Other</v>
      </c>
      <c r="F635" s="3" t="n">
        <f aca="false">'1. Raw Data'!F634</f>
        <v>0.9</v>
      </c>
      <c r="G635" s="3" t="n">
        <f aca="false">IF('1. Raw Data'!G634="",ROUND(IFERROR(AVERAGEIFS('1. Raw Data'!G2:G1201,'1. Raw Data'!C2:C1201,'1. Raw Data'!C634,'1. Raw Data'!D2:D1201,'1. Raw Data'!D634),0),2),'1. Raw Data'!G634)</f>
        <v>6745.59</v>
      </c>
      <c r="H635" s="3" t="str">
        <f aca="false">PROPER('1. Raw Data'!H634)</f>
        <v>Yes</v>
      </c>
      <c r="I635" s="3" t="n">
        <f aca="false">'1. Raw Data'!I634</f>
        <v>3</v>
      </c>
      <c r="J635" s="3" t="n">
        <f aca="false">'1. Raw Data'!J634</f>
        <v>3</v>
      </c>
      <c r="K635" s="3" t="n">
        <f aca="false">'1. Raw Data'!K634</f>
        <v>2</v>
      </c>
      <c r="L635" s="3" t="n">
        <f aca="false">'1. Raw Data'!L634</f>
        <v>0</v>
      </c>
      <c r="M635" s="3" t="n">
        <f aca="false">'1. Raw Data'!M634</f>
        <v>0</v>
      </c>
      <c r="N635" s="3" t="str">
        <f aca="false">'1. Raw Data'!N634</f>
        <v>No</v>
      </c>
    </row>
    <row r="636" customFormat="false" ht="15" hidden="false" customHeight="false" outlineLevel="0" collapsed="false">
      <c r="A636" s="3" t="str">
        <f aca="false">'1. Raw Data'!A635</f>
        <v>EMP-0634</v>
      </c>
      <c r="B636" s="3" t="n">
        <f aca="false">'1. Raw Data'!B635</f>
        <v>22</v>
      </c>
      <c r="C636" s="3" t="str">
        <f aca="false">'1. Raw Data'!C635</f>
        <v>Finance</v>
      </c>
      <c r="D636" s="3" t="str">
        <f aca="false">'1. Raw Data'!D635</f>
        <v>Junior</v>
      </c>
      <c r="E636" s="3" t="str">
        <f aca="false">'1. Raw Data'!E635</f>
        <v>Technical</v>
      </c>
      <c r="F636" s="3" t="n">
        <f aca="false">'1. Raw Data'!F635</f>
        <v>1</v>
      </c>
      <c r="G636" s="3" t="n">
        <f aca="false">IF('1. Raw Data'!G635="",ROUND(IFERROR(AVERAGEIFS('1. Raw Data'!G2:G1201,'1. Raw Data'!C2:C1201,'1. Raw Data'!C635,'1. Raw Data'!D2:D1201,'1. Raw Data'!D635),0),2),'1. Raw Data'!G635)</f>
        <v>3026.46</v>
      </c>
      <c r="H636" s="3" t="str">
        <f aca="false">PROPER('1. Raw Data'!H635)</f>
        <v>No</v>
      </c>
      <c r="I636" s="3" t="n">
        <f aca="false">'1. Raw Data'!I635</f>
        <v>3</v>
      </c>
      <c r="J636" s="3" t="n">
        <f aca="false">'1. Raw Data'!J635</f>
        <v>2</v>
      </c>
      <c r="K636" s="3" t="n">
        <f aca="false">'1. Raw Data'!K635</f>
        <v>4</v>
      </c>
      <c r="L636" s="3" t="n">
        <f aca="false">'1. Raw Data'!L635</f>
        <v>1</v>
      </c>
      <c r="M636" s="3" t="n">
        <f aca="false">'1. Raw Data'!M635</f>
        <v>1</v>
      </c>
      <c r="N636" s="3" t="str">
        <f aca="false">'1. Raw Data'!N635</f>
        <v>No</v>
      </c>
    </row>
    <row r="637" customFormat="false" ht="15" hidden="false" customHeight="false" outlineLevel="0" collapsed="false">
      <c r="A637" s="3" t="str">
        <f aca="false">'1. Raw Data'!A636</f>
        <v>EMP-0635</v>
      </c>
      <c r="B637" s="3" t="n">
        <f aca="false">'1. Raw Data'!B636</f>
        <v>32</v>
      </c>
      <c r="C637" s="3" t="str">
        <f aca="false">'1. Raw Data'!C636</f>
        <v>Customer Support</v>
      </c>
      <c r="D637" s="3" t="str">
        <f aca="false">'1. Raw Data'!D636</f>
        <v>Senior</v>
      </c>
      <c r="E637" s="3" t="str">
        <f aca="false">'1. Raw Data'!E636</f>
        <v>Technical</v>
      </c>
      <c r="F637" s="3" t="n">
        <f aca="false">'1. Raw Data'!F636</f>
        <v>1.6</v>
      </c>
      <c r="G637" s="3" t="n">
        <f aca="false">IF('1. Raw Data'!G636="",ROUND(IFERROR(AVERAGEIFS('1. Raw Data'!G2:G1201,'1. Raw Data'!C2:C1201,'1. Raw Data'!C636,'1. Raw Data'!D2:D1201,'1. Raw Data'!D636),0),2),'1. Raw Data'!G636)</f>
        <v>8156.92</v>
      </c>
      <c r="H637" s="3" t="str">
        <f aca="false">PROPER('1. Raw Data'!H636)</f>
        <v>No</v>
      </c>
      <c r="I637" s="3" t="n">
        <f aca="false">'1. Raw Data'!I636</f>
        <v>3</v>
      </c>
      <c r="J637" s="3" t="n">
        <f aca="false">'1. Raw Data'!J636</f>
        <v>4</v>
      </c>
      <c r="K637" s="3" t="n">
        <f aca="false">'1. Raw Data'!K636</f>
        <v>2</v>
      </c>
      <c r="L637" s="3" t="n">
        <f aca="false">'1. Raw Data'!L636</f>
        <v>1</v>
      </c>
      <c r="M637" s="3" t="n">
        <f aca="false">'1. Raw Data'!M636</f>
        <v>1</v>
      </c>
      <c r="N637" s="3" t="str">
        <f aca="false">'1. Raw Data'!N636</f>
        <v>No</v>
      </c>
    </row>
    <row r="638" customFormat="false" ht="15" hidden="false" customHeight="false" outlineLevel="0" collapsed="false">
      <c r="A638" s="3" t="str">
        <f aca="false">'1. Raw Data'!A637</f>
        <v>EMP-0636</v>
      </c>
      <c r="B638" s="3" t="n">
        <f aca="false">'1. Raw Data'!B637</f>
        <v>25</v>
      </c>
      <c r="C638" s="3" t="str">
        <f aca="false">'1. Raw Data'!C637</f>
        <v>Customer Support</v>
      </c>
      <c r="D638" s="3" t="str">
        <f aca="false">'1. Raw Data'!D637</f>
        <v>Junior</v>
      </c>
      <c r="E638" s="3" t="str">
        <f aca="false">'1. Raw Data'!E637</f>
        <v>Business</v>
      </c>
      <c r="F638" s="3" t="n">
        <f aca="false">'1. Raw Data'!F637</f>
        <v>4</v>
      </c>
      <c r="G638" s="3" t="n">
        <f aca="false">IF('1. Raw Data'!G637="",ROUND(IFERROR(AVERAGEIFS('1. Raw Data'!G2:G1201,'1. Raw Data'!C2:C1201,'1. Raw Data'!C637,'1. Raw Data'!D2:D1201,'1. Raw Data'!D637),0),2),'1. Raw Data'!G637)</f>
        <v>2764.83</v>
      </c>
      <c r="H638" s="3" t="str">
        <f aca="false">PROPER('1. Raw Data'!H637)</f>
        <v>No</v>
      </c>
      <c r="I638" s="3" t="n">
        <f aca="false">'1. Raw Data'!I637</f>
        <v>3</v>
      </c>
      <c r="J638" s="3" t="n">
        <f aca="false">'1. Raw Data'!J637</f>
        <v>4</v>
      </c>
      <c r="K638" s="3" t="n">
        <f aca="false">'1. Raw Data'!K637</f>
        <v>1</v>
      </c>
      <c r="L638" s="3" t="n">
        <f aca="false">'1. Raw Data'!L637</f>
        <v>1</v>
      </c>
      <c r="M638" s="3" t="n">
        <f aca="false">'1. Raw Data'!M637</f>
        <v>2</v>
      </c>
      <c r="N638" s="3" t="str">
        <f aca="false">'1. Raw Data'!N637</f>
        <v>No</v>
      </c>
    </row>
    <row r="639" customFormat="false" ht="15" hidden="false" customHeight="false" outlineLevel="0" collapsed="false">
      <c r="A639" s="3" t="str">
        <f aca="false">'1. Raw Data'!A638</f>
        <v>EMP-0637</v>
      </c>
      <c r="B639" s="3" t="n">
        <f aca="false">'1. Raw Data'!B638</f>
        <v>38</v>
      </c>
      <c r="C639" s="3" t="str">
        <f aca="false">'1. Raw Data'!C638</f>
        <v>HR</v>
      </c>
      <c r="D639" s="3" t="str">
        <f aca="false">'1. Raw Data'!D638</f>
        <v>Mid</v>
      </c>
      <c r="E639" s="3" t="str">
        <f aca="false">'1. Raw Data'!E638</f>
        <v>Business</v>
      </c>
      <c r="F639" s="3" t="n">
        <f aca="false">'1. Raw Data'!F638</f>
        <v>1.7</v>
      </c>
      <c r="G639" s="3" t="n">
        <f aca="false">IF('1. Raw Data'!G638="",ROUND(IFERROR(AVERAGEIFS('1. Raw Data'!G2:G1201,'1. Raw Data'!C2:C1201,'1. Raw Data'!C638,'1. Raw Data'!D2:D1201,'1. Raw Data'!D638),0),2),'1. Raw Data'!G638)</f>
        <v>4834.84</v>
      </c>
      <c r="H639" s="3" t="str">
        <f aca="false">PROPER('1. Raw Data'!H638)</f>
        <v>No</v>
      </c>
      <c r="I639" s="3" t="n">
        <f aca="false">'1. Raw Data'!I638</f>
        <v>3</v>
      </c>
      <c r="J639" s="3" t="n">
        <f aca="false">'1. Raw Data'!J638</f>
        <v>3</v>
      </c>
      <c r="K639" s="3" t="n">
        <f aca="false">'1. Raw Data'!K638</f>
        <v>2</v>
      </c>
      <c r="L639" s="3" t="n">
        <f aca="false">'1. Raw Data'!L638</f>
        <v>0</v>
      </c>
      <c r="M639" s="3" t="n">
        <f aca="false">'1. Raw Data'!M638</f>
        <v>2</v>
      </c>
      <c r="N639" s="3" t="str">
        <f aca="false">'1. Raw Data'!N638</f>
        <v>No</v>
      </c>
    </row>
    <row r="640" customFormat="false" ht="15" hidden="false" customHeight="false" outlineLevel="0" collapsed="false">
      <c r="A640" s="3" t="str">
        <f aca="false">'1. Raw Data'!A639</f>
        <v>EMP-0638</v>
      </c>
      <c r="B640" s="3" t="n">
        <f aca="false">'1. Raw Data'!B639</f>
        <v>32</v>
      </c>
      <c r="C640" s="3" t="str">
        <f aca="false">'1. Raw Data'!C639</f>
        <v>Customer Support</v>
      </c>
      <c r="D640" s="3" t="str">
        <f aca="false">'1. Raw Data'!D639</f>
        <v>Junior</v>
      </c>
      <c r="E640" s="3" t="str">
        <f aca="false">'1. Raw Data'!E639</f>
        <v>Marketing</v>
      </c>
      <c r="F640" s="3" t="n">
        <f aca="false">'1. Raw Data'!F639</f>
        <v>6.2</v>
      </c>
      <c r="G640" s="3" t="n">
        <f aca="false">IF('1. Raw Data'!G639="",ROUND(IFERROR(AVERAGEIFS('1. Raw Data'!G2:G1201,'1. Raw Data'!C2:C1201,'1. Raw Data'!C639,'1. Raw Data'!D2:D1201,'1. Raw Data'!D639),0),2),'1. Raw Data'!G639)</f>
        <v>3036.59</v>
      </c>
      <c r="H640" s="3" t="str">
        <f aca="false">PROPER('1. Raw Data'!H639)</f>
        <v>Yes</v>
      </c>
      <c r="I640" s="3" t="n">
        <f aca="false">'1. Raw Data'!I639</f>
        <v>3</v>
      </c>
      <c r="J640" s="3" t="n">
        <f aca="false">'1. Raw Data'!J639</f>
        <v>4</v>
      </c>
      <c r="K640" s="3" t="n">
        <f aca="false">'1. Raw Data'!K639</f>
        <v>4</v>
      </c>
      <c r="L640" s="3" t="n">
        <f aca="false">'1. Raw Data'!L639</f>
        <v>1</v>
      </c>
      <c r="M640" s="3" t="n">
        <f aca="false">'1. Raw Data'!M639</f>
        <v>2</v>
      </c>
      <c r="N640" s="3" t="str">
        <f aca="false">'1. Raw Data'!N639</f>
        <v>Yes</v>
      </c>
    </row>
    <row r="641" customFormat="false" ht="15" hidden="false" customHeight="false" outlineLevel="0" collapsed="false">
      <c r="A641" s="3" t="str">
        <f aca="false">'1. Raw Data'!A640</f>
        <v>EMP-0639</v>
      </c>
      <c r="B641" s="3" t="n">
        <f aca="false">'1. Raw Data'!B640</f>
        <v>22</v>
      </c>
      <c r="C641" s="3" t="str">
        <f aca="false">'1. Raw Data'!C640</f>
        <v>Finance</v>
      </c>
      <c r="D641" s="3" t="str">
        <f aca="false">'1. Raw Data'!D640</f>
        <v>Senior</v>
      </c>
      <c r="E641" s="3" t="str">
        <f aca="false">'1. Raw Data'!E640</f>
        <v>Other</v>
      </c>
      <c r="F641" s="3" t="n">
        <f aca="false">'1. Raw Data'!F640</f>
        <v>1</v>
      </c>
      <c r="G641" s="3" t="n">
        <f aca="false">IF('1. Raw Data'!G640="",ROUND(IFERROR(AVERAGEIFS('1. Raw Data'!G2:G1201,'1. Raw Data'!C2:C1201,'1. Raw Data'!C640,'1. Raw Data'!D2:D1201,'1. Raw Data'!D640),0),2),'1. Raw Data'!G640)</f>
        <v>8358.16</v>
      </c>
      <c r="H641" s="3" t="str">
        <f aca="false">PROPER('1. Raw Data'!H640)</f>
        <v>No</v>
      </c>
      <c r="I641" s="3" t="n">
        <f aca="false">'1. Raw Data'!I640</f>
        <v>4</v>
      </c>
      <c r="J641" s="3" t="n">
        <f aca="false">'1. Raw Data'!J640</f>
        <v>3</v>
      </c>
      <c r="K641" s="3" t="n">
        <f aca="false">'1. Raw Data'!K640</f>
        <v>3</v>
      </c>
      <c r="L641" s="3" t="n">
        <f aca="false">'1. Raw Data'!L640</f>
        <v>1</v>
      </c>
      <c r="M641" s="3" t="n">
        <f aca="false">'1. Raw Data'!M640</f>
        <v>1</v>
      </c>
      <c r="N641" s="3" t="str">
        <f aca="false">'1. Raw Data'!N640</f>
        <v>No</v>
      </c>
    </row>
    <row r="642" customFormat="false" ht="15" hidden="false" customHeight="false" outlineLevel="0" collapsed="false">
      <c r="A642" s="3" t="str">
        <f aca="false">'1. Raw Data'!A641</f>
        <v>EMP-0640</v>
      </c>
      <c r="B642" s="3" t="n">
        <f aca="false">'1. Raw Data'!B641</f>
        <v>32</v>
      </c>
      <c r="C642" s="3" t="str">
        <f aca="false">'1. Raw Data'!C641</f>
        <v>Sales</v>
      </c>
      <c r="D642" s="3" t="str">
        <f aca="false">'1. Raw Data'!D641</f>
        <v>Mid</v>
      </c>
      <c r="E642" s="3" t="str">
        <f aca="false">'1. Raw Data'!E641</f>
        <v>Other</v>
      </c>
      <c r="F642" s="3" t="n">
        <f aca="false">'1. Raw Data'!F641</f>
        <v>2.1</v>
      </c>
      <c r="G642" s="3" t="n">
        <f aca="false">IF('1. Raw Data'!G641="",ROUND(IFERROR(AVERAGEIFS('1. Raw Data'!G2:G1201,'1. Raw Data'!C2:C1201,'1. Raw Data'!C641,'1. Raw Data'!D2:D1201,'1. Raw Data'!D641),0),2),'1. Raw Data'!G641)</f>
        <v>5537.8</v>
      </c>
      <c r="H642" s="3" t="str">
        <f aca="false">PROPER('1. Raw Data'!H641)</f>
        <v>Yes</v>
      </c>
      <c r="I642" s="3" t="n">
        <f aca="false">'1. Raw Data'!I641</f>
        <v>1</v>
      </c>
      <c r="J642" s="3" t="n">
        <f aca="false">'1. Raw Data'!J641</f>
        <v>4</v>
      </c>
      <c r="K642" s="3" t="n">
        <f aca="false">'1. Raw Data'!K641</f>
        <v>8</v>
      </c>
      <c r="L642" s="3" t="n">
        <f aca="false">'1. Raw Data'!L641</f>
        <v>0</v>
      </c>
      <c r="M642" s="3" t="n">
        <f aca="false">'1. Raw Data'!M641</f>
        <v>2</v>
      </c>
      <c r="N642" s="3" t="str">
        <f aca="false">'1. Raw Data'!N641</f>
        <v>No</v>
      </c>
    </row>
    <row r="643" customFormat="false" ht="15" hidden="false" customHeight="false" outlineLevel="0" collapsed="false">
      <c r="A643" s="3" t="str">
        <f aca="false">'1. Raw Data'!A642</f>
        <v>EMP-0641</v>
      </c>
      <c r="B643" s="3" t="n">
        <f aca="false">'1. Raw Data'!B642</f>
        <v>21</v>
      </c>
      <c r="C643" s="3" t="str">
        <f aca="false">'1. Raw Data'!C642</f>
        <v>Sales</v>
      </c>
      <c r="D643" s="3" t="str">
        <f aca="false">'1. Raw Data'!D642</f>
        <v>Mid</v>
      </c>
      <c r="E643" s="3" t="str">
        <f aca="false">'1. Raw Data'!E642</f>
        <v>Technical</v>
      </c>
      <c r="F643" s="3" t="n">
        <f aca="false">'1. Raw Data'!F642</f>
        <v>0</v>
      </c>
      <c r="G643" s="3" t="n">
        <f aca="false">IF('1. Raw Data'!G642="",ROUND(IFERROR(AVERAGEIFS('1. Raw Data'!G2:G1201,'1. Raw Data'!C2:C1201,'1. Raw Data'!C642,'1. Raw Data'!D2:D1201,'1. Raw Data'!D642),0),2),'1. Raw Data'!G642)</f>
        <v>5660.88</v>
      </c>
      <c r="H643" s="3" t="str">
        <f aca="false">PROPER('1. Raw Data'!H642)</f>
        <v>Yes</v>
      </c>
      <c r="I643" s="3" t="n">
        <f aca="false">'1. Raw Data'!I642</f>
        <v>1</v>
      </c>
      <c r="J643" s="3" t="n">
        <f aca="false">'1. Raw Data'!J642</f>
        <v>2</v>
      </c>
      <c r="K643" s="3" t="n">
        <f aca="false">'1. Raw Data'!K642</f>
        <v>10</v>
      </c>
      <c r="L643" s="3" t="n">
        <f aca="false">'1. Raw Data'!L642</f>
        <v>0</v>
      </c>
      <c r="M643" s="3" t="n">
        <f aca="false">'1. Raw Data'!M642</f>
        <v>0</v>
      </c>
      <c r="N643" s="3" t="str">
        <f aca="false">'1. Raw Data'!N642</f>
        <v>Yes</v>
      </c>
    </row>
    <row r="644" customFormat="false" ht="15" hidden="false" customHeight="false" outlineLevel="0" collapsed="false">
      <c r="A644" s="3" t="str">
        <f aca="false">'1. Raw Data'!A643</f>
        <v>EMP-0642</v>
      </c>
      <c r="B644" s="3" t="n">
        <f aca="false">'1. Raw Data'!B643</f>
        <v>29</v>
      </c>
      <c r="C644" s="3" t="str">
        <f aca="false">'1. Raw Data'!C643</f>
        <v>Sales</v>
      </c>
      <c r="D644" s="3" t="str">
        <f aca="false">'1. Raw Data'!D643</f>
        <v>Senior</v>
      </c>
      <c r="E644" s="3" t="str">
        <f aca="false">'1. Raw Data'!E643</f>
        <v>Marketing</v>
      </c>
      <c r="F644" s="3" t="n">
        <f aca="false">'1. Raw Data'!F643</f>
        <v>8</v>
      </c>
      <c r="G644" s="3" t="n">
        <f aca="false">IF('1. Raw Data'!G643="",ROUND(IFERROR(AVERAGEIFS('1. Raw Data'!G2:G1201,'1. Raw Data'!C2:C1201,'1. Raw Data'!C643,'1. Raw Data'!D2:D1201,'1. Raw Data'!D643),0),2),'1. Raw Data'!G643)</f>
        <v>6896.76</v>
      </c>
      <c r="H644" s="3" t="str">
        <f aca="false">PROPER('1. Raw Data'!H643)</f>
        <v>No</v>
      </c>
      <c r="I644" s="3" t="n">
        <f aca="false">'1. Raw Data'!I643</f>
        <v>4</v>
      </c>
      <c r="J644" s="3" t="n">
        <f aca="false">'1. Raw Data'!J643</f>
        <v>2</v>
      </c>
      <c r="K644" s="3" t="n">
        <f aca="false">'1. Raw Data'!K643</f>
        <v>1</v>
      </c>
      <c r="L644" s="3" t="n">
        <f aca="false">'1. Raw Data'!L643</f>
        <v>4</v>
      </c>
      <c r="M644" s="3" t="n">
        <f aca="false">'1. Raw Data'!M643</f>
        <v>2</v>
      </c>
      <c r="N644" s="3" t="str">
        <f aca="false">'1. Raw Data'!N643</f>
        <v>No</v>
      </c>
    </row>
    <row r="645" customFormat="false" ht="15" hidden="false" customHeight="false" outlineLevel="0" collapsed="false">
      <c r="A645" s="3" t="str">
        <f aca="false">'1. Raw Data'!A644</f>
        <v>EMP-0643</v>
      </c>
      <c r="B645" s="3" t="n">
        <f aca="false">'1. Raw Data'!B644</f>
        <v>23</v>
      </c>
      <c r="C645" s="3" t="str">
        <f aca="false">'1. Raw Data'!C644</f>
        <v>Sales</v>
      </c>
      <c r="D645" s="3" t="str">
        <f aca="false">'1. Raw Data'!D644</f>
        <v>Senior</v>
      </c>
      <c r="E645" s="3" t="str">
        <f aca="false">'1. Raw Data'!E644</f>
        <v>Business</v>
      </c>
      <c r="F645" s="3" t="n">
        <f aca="false">'1. Raw Data'!F644</f>
        <v>2</v>
      </c>
      <c r="G645" s="3" t="n">
        <f aca="false">IF('1. Raw Data'!G644="",ROUND(IFERROR(AVERAGEIFS('1. Raw Data'!G2:G1201,'1. Raw Data'!C2:C1201,'1. Raw Data'!C644,'1. Raw Data'!D2:D1201,'1. Raw Data'!D644),0),2),'1. Raw Data'!G644)</f>
        <v>8181.37</v>
      </c>
      <c r="H645" s="3" t="str">
        <f aca="false">PROPER('1. Raw Data'!H644)</f>
        <v>No</v>
      </c>
      <c r="I645" s="3" t="n">
        <f aca="false">'1. Raw Data'!I644</f>
        <v>1</v>
      </c>
      <c r="J645" s="3" t="n">
        <f aca="false">'1. Raw Data'!J644</f>
        <v>4</v>
      </c>
      <c r="K645" s="3" t="n">
        <f aca="false">'1. Raw Data'!K644</f>
        <v>4</v>
      </c>
      <c r="L645" s="3" t="n">
        <f aca="false">'1. Raw Data'!L644</f>
        <v>2</v>
      </c>
      <c r="M645" s="3" t="n">
        <f aca="false">'1. Raw Data'!M644</f>
        <v>2</v>
      </c>
      <c r="N645" s="3" t="str">
        <f aca="false">'1. Raw Data'!N644</f>
        <v>No</v>
      </c>
    </row>
    <row r="646" customFormat="false" ht="15" hidden="false" customHeight="false" outlineLevel="0" collapsed="false">
      <c r="A646" s="3" t="str">
        <f aca="false">'1. Raw Data'!A645</f>
        <v>EMP-0644</v>
      </c>
      <c r="B646" s="3" t="n">
        <f aca="false">'1. Raw Data'!B645</f>
        <v>41</v>
      </c>
      <c r="C646" s="3" t="str">
        <f aca="false">'1. Raw Data'!C645</f>
        <v>Engineering</v>
      </c>
      <c r="D646" s="3" t="str">
        <f aca="false">'1. Raw Data'!D645</f>
        <v>Lead</v>
      </c>
      <c r="E646" s="3" t="str">
        <f aca="false">'1. Raw Data'!E645</f>
        <v>Business</v>
      </c>
      <c r="F646" s="3" t="n">
        <f aca="false">'1. Raw Data'!F645</f>
        <v>0.8</v>
      </c>
      <c r="G646" s="3" t="n">
        <f aca="false">IF('1. Raw Data'!G645="",ROUND(IFERROR(AVERAGEIFS('1. Raw Data'!G2:G1201,'1. Raw Data'!C2:C1201,'1. Raw Data'!C645,'1. Raw Data'!D2:D1201,'1. Raw Data'!D645),0),2),'1. Raw Data'!G645)</f>
        <v>9172.38</v>
      </c>
      <c r="H646" s="3" t="str">
        <f aca="false">PROPER('1. Raw Data'!H645)</f>
        <v>No</v>
      </c>
      <c r="I646" s="3" t="n">
        <f aca="false">'1. Raw Data'!I645</f>
        <v>2</v>
      </c>
      <c r="J646" s="3" t="n">
        <f aca="false">'1. Raw Data'!J645</f>
        <v>4</v>
      </c>
      <c r="K646" s="3" t="n">
        <f aca="false">'1. Raw Data'!K645</f>
        <v>1</v>
      </c>
      <c r="L646" s="3" t="n">
        <f aca="false">'1. Raw Data'!L645</f>
        <v>0</v>
      </c>
      <c r="M646" s="3" t="n">
        <f aca="false">'1. Raw Data'!M645</f>
        <v>1</v>
      </c>
      <c r="N646" s="3" t="str">
        <f aca="false">'1. Raw Data'!N645</f>
        <v>No</v>
      </c>
    </row>
    <row r="647" customFormat="false" ht="15" hidden="false" customHeight="false" outlineLevel="0" collapsed="false">
      <c r="A647" s="3" t="str">
        <f aca="false">'1. Raw Data'!A646</f>
        <v>EMP-0645</v>
      </c>
      <c r="B647" s="3" t="n">
        <f aca="false">'1. Raw Data'!B646</f>
        <v>27</v>
      </c>
      <c r="C647" s="3" t="str">
        <f aca="false">'1. Raw Data'!C646</f>
        <v>Sales</v>
      </c>
      <c r="D647" s="3" t="str">
        <f aca="false">'1. Raw Data'!D646</f>
        <v>Senior</v>
      </c>
      <c r="E647" s="3" t="str">
        <f aca="false">'1. Raw Data'!E646</f>
        <v>Marketing</v>
      </c>
      <c r="F647" s="3" t="n">
        <f aca="false">'1. Raw Data'!F646</f>
        <v>0.6</v>
      </c>
      <c r="G647" s="3" t="n">
        <f aca="false">IF('1. Raw Data'!G646="",ROUND(IFERROR(AVERAGEIFS('1. Raw Data'!G2:G1201,'1. Raw Data'!C2:C1201,'1. Raw Data'!C646,'1. Raw Data'!D2:D1201,'1. Raw Data'!D646),0),2),'1. Raw Data'!G646)</f>
        <v>8148.11</v>
      </c>
      <c r="H647" s="3" t="str">
        <f aca="false">PROPER('1. Raw Data'!H646)</f>
        <v>Yes</v>
      </c>
      <c r="I647" s="3" t="n">
        <f aca="false">'1. Raw Data'!I646</f>
        <v>3</v>
      </c>
      <c r="J647" s="3" t="n">
        <f aca="false">'1. Raw Data'!J646</f>
        <v>3</v>
      </c>
      <c r="K647" s="3" t="n">
        <f aca="false">'1. Raw Data'!K646</f>
        <v>20</v>
      </c>
      <c r="L647" s="3" t="n">
        <f aca="false">'1. Raw Data'!L646</f>
        <v>0</v>
      </c>
      <c r="M647" s="3" t="n">
        <f aca="false">'1. Raw Data'!M646</f>
        <v>1</v>
      </c>
      <c r="N647" s="3" t="str">
        <f aca="false">'1. Raw Data'!N646</f>
        <v>No</v>
      </c>
    </row>
    <row r="648" customFormat="false" ht="15" hidden="false" customHeight="false" outlineLevel="0" collapsed="false">
      <c r="A648" s="3" t="str">
        <f aca="false">'1. Raw Data'!A647</f>
        <v>EMP-0646</v>
      </c>
      <c r="B648" s="3" t="n">
        <f aca="false">'1. Raw Data'!B647</f>
        <v>29</v>
      </c>
      <c r="C648" s="3" t="str">
        <f aca="false">'1. Raw Data'!C647</f>
        <v>Finance</v>
      </c>
      <c r="D648" s="3" t="str">
        <f aca="false">'1. Raw Data'!D647</f>
        <v>Senior</v>
      </c>
      <c r="E648" s="3" t="str">
        <f aca="false">'1. Raw Data'!E647</f>
        <v>Business</v>
      </c>
      <c r="F648" s="3" t="n">
        <f aca="false">'1. Raw Data'!F647</f>
        <v>3</v>
      </c>
      <c r="G648" s="3" t="n">
        <f aca="false">IF('1. Raw Data'!G647="",ROUND(IFERROR(AVERAGEIFS('1. Raw Data'!G2:G1201,'1. Raw Data'!C2:C1201,'1. Raw Data'!C647,'1. Raw Data'!D2:D1201,'1. Raw Data'!D647),0),2),'1. Raw Data'!G647)</f>
        <v>8167.73</v>
      </c>
      <c r="H648" s="3" t="str">
        <f aca="false">PROPER('1. Raw Data'!H647)</f>
        <v>Yes</v>
      </c>
      <c r="I648" s="3" t="n">
        <f aca="false">'1. Raw Data'!I647</f>
        <v>2</v>
      </c>
      <c r="J648" s="3" t="n">
        <f aca="false">'1. Raw Data'!J647</f>
        <v>3</v>
      </c>
      <c r="K648" s="3" t="n">
        <f aca="false">'1. Raw Data'!K647</f>
        <v>8</v>
      </c>
      <c r="L648" s="3" t="n">
        <f aca="false">'1. Raw Data'!L647</f>
        <v>2</v>
      </c>
      <c r="M648" s="3" t="n">
        <f aca="false">'1. Raw Data'!M647</f>
        <v>2</v>
      </c>
      <c r="N648" s="3" t="str">
        <f aca="false">'1. Raw Data'!N647</f>
        <v>Yes</v>
      </c>
    </row>
    <row r="649" customFormat="false" ht="15" hidden="false" customHeight="false" outlineLevel="0" collapsed="false">
      <c r="A649" s="3" t="str">
        <f aca="false">'1. Raw Data'!A648</f>
        <v>EMP-0647</v>
      </c>
      <c r="B649" s="3" t="n">
        <f aca="false">'1. Raw Data'!B648</f>
        <v>34</v>
      </c>
      <c r="C649" s="3" t="str">
        <f aca="false">'1. Raw Data'!C648</f>
        <v>Engineering</v>
      </c>
      <c r="D649" s="3" t="str">
        <f aca="false">'1. Raw Data'!D648</f>
        <v>Junior</v>
      </c>
      <c r="E649" s="3" t="str">
        <f aca="false">'1. Raw Data'!E648</f>
        <v>Other</v>
      </c>
      <c r="F649" s="3" t="n">
        <f aca="false">'1. Raw Data'!F648</f>
        <v>7.7</v>
      </c>
      <c r="G649" s="3" t="n">
        <f aca="false">IF('1. Raw Data'!G648="",ROUND(IFERROR(AVERAGEIFS('1. Raw Data'!G2:G1201,'1. Raw Data'!C2:C1201,'1. Raw Data'!C648,'1. Raw Data'!D2:D1201,'1. Raw Data'!D648),0),2),'1. Raw Data'!G648)</f>
        <v>3370.9</v>
      </c>
      <c r="H649" s="3" t="str">
        <f aca="false">PROPER('1. Raw Data'!H648)</f>
        <v>No</v>
      </c>
      <c r="I649" s="3" t="n">
        <f aca="false">'1. Raw Data'!I648</f>
        <v>4</v>
      </c>
      <c r="J649" s="3" t="n">
        <f aca="false">'1. Raw Data'!J648</f>
        <v>2</v>
      </c>
      <c r="K649" s="3" t="n">
        <f aca="false">'1. Raw Data'!K648</f>
        <v>24</v>
      </c>
      <c r="L649" s="3" t="n">
        <f aca="false">'1. Raw Data'!L648</f>
        <v>1</v>
      </c>
      <c r="M649" s="3" t="n">
        <f aca="false">'1. Raw Data'!M648</f>
        <v>4</v>
      </c>
      <c r="N649" s="3" t="str">
        <f aca="false">'1. Raw Data'!N648</f>
        <v>No</v>
      </c>
    </row>
    <row r="650" customFormat="false" ht="15" hidden="false" customHeight="false" outlineLevel="0" collapsed="false">
      <c r="A650" s="3" t="str">
        <f aca="false">'1. Raw Data'!A649</f>
        <v>EMP-0648</v>
      </c>
      <c r="B650" s="3" t="n">
        <f aca="false">'1. Raw Data'!B649</f>
        <v>38</v>
      </c>
      <c r="C650" s="3" t="str">
        <f aca="false">'1. Raw Data'!C649</f>
        <v>Engineering</v>
      </c>
      <c r="D650" s="3" t="str">
        <f aca="false">'1. Raw Data'!D649</f>
        <v>Junior</v>
      </c>
      <c r="E650" s="3" t="str">
        <f aca="false">'1. Raw Data'!E649</f>
        <v>Technical</v>
      </c>
      <c r="F650" s="3" t="n">
        <f aca="false">'1. Raw Data'!F649</f>
        <v>1.7</v>
      </c>
      <c r="G650" s="3" t="n">
        <f aca="false">IF('1. Raw Data'!G649="",ROUND(IFERROR(AVERAGEIFS('1. Raw Data'!G2:G1201,'1. Raw Data'!C2:C1201,'1. Raw Data'!C649,'1. Raw Data'!D2:D1201,'1. Raw Data'!D649),0),2),'1. Raw Data'!G649)</f>
        <v>3217.93</v>
      </c>
      <c r="H650" s="3" t="str">
        <f aca="false">PROPER('1. Raw Data'!H649)</f>
        <v>No</v>
      </c>
      <c r="I650" s="3" t="n">
        <f aca="false">'1. Raw Data'!I649</f>
        <v>3</v>
      </c>
      <c r="J650" s="3" t="n">
        <f aca="false">'1. Raw Data'!J649</f>
        <v>3</v>
      </c>
      <c r="K650" s="3" t="n">
        <f aca="false">'1. Raw Data'!K649</f>
        <v>2</v>
      </c>
      <c r="L650" s="3" t="n">
        <f aca="false">'1. Raw Data'!L649</f>
        <v>0</v>
      </c>
      <c r="M650" s="3" t="n">
        <f aca="false">'1. Raw Data'!M649</f>
        <v>2</v>
      </c>
      <c r="N650" s="3" t="str">
        <f aca="false">'1. Raw Data'!N649</f>
        <v>No</v>
      </c>
    </row>
    <row r="651" customFormat="false" ht="15" hidden="false" customHeight="false" outlineLevel="0" collapsed="false">
      <c r="A651" s="3" t="str">
        <f aca="false">'1. Raw Data'!A650</f>
        <v>EMP-0649</v>
      </c>
      <c r="B651" s="3" t="n">
        <f aca="false">'1. Raw Data'!B650</f>
        <v>27</v>
      </c>
      <c r="C651" s="3" t="str">
        <f aca="false">'1. Raw Data'!C650</f>
        <v>Sales</v>
      </c>
      <c r="D651" s="3" t="str">
        <f aca="false">'1. Raw Data'!D650</f>
        <v>Lead</v>
      </c>
      <c r="E651" s="3" t="str">
        <f aca="false">'1. Raw Data'!E650</f>
        <v>Technical</v>
      </c>
      <c r="F651" s="3" t="n">
        <f aca="false">'1. Raw Data'!F650</f>
        <v>0.8</v>
      </c>
      <c r="G651" s="3" t="n">
        <f aca="false">IF('1. Raw Data'!G650="",ROUND(IFERROR(AVERAGEIFS('1. Raw Data'!G2:G1201,'1. Raw Data'!C2:C1201,'1. Raw Data'!C650,'1. Raw Data'!D2:D1201,'1. Raw Data'!D650),0),2),'1. Raw Data'!G650)</f>
        <v>11216.93</v>
      </c>
      <c r="H651" s="3" t="str">
        <f aca="false">PROPER('1. Raw Data'!H650)</f>
        <v>Yes</v>
      </c>
      <c r="I651" s="3" t="n">
        <f aca="false">'1. Raw Data'!I650</f>
        <v>4</v>
      </c>
      <c r="J651" s="3" t="n">
        <f aca="false">'1. Raw Data'!J650</f>
        <v>2</v>
      </c>
      <c r="K651" s="3" t="n">
        <f aca="false">'1. Raw Data'!K650</f>
        <v>1</v>
      </c>
      <c r="L651" s="3" t="n">
        <f aca="false">'1. Raw Data'!L650</f>
        <v>0</v>
      </c>
      <c r="M651" s="3" t="n">
        <f aca="false">'1. Raw Data'!M650</f>
        <v>3</v>
      </c>
      <c r="N651" s="3" t="str">
        <f aca="false">'1. Raw Data'!N650</f>
        <v>No</v>
      </c>
    </row>
    <row r="652" customFormat="false" ht="15" hidden="false" customHeight="false" outlineLevel="0" collapsed="false">
      <c r="A652" s="3" t="str">
        <f aca="false">'1. Raw Data'!A651</f>
        <v>EMP-0650</v>
      </c>
      <c r="B652" s="3" t="n">
        <f aca="false">'1. Raw Data'!B651</f>
        <v>21</v>
      </c>
      <c r="C652" s="3" t="str">
        <f aca="false">'1. Raw Data'!C651</f>
        <v>Customer Support</v>
      </c>
      <c r="D652" s="3" t="str">
        <f aca="false">'1. Raw Data'!D651</f>
        <v>Junior</v>
      </c>
      <c r="E652" s="3" t="str">
        <f aca="false">'1. Raw Data'!E651</f>
        <v>Marketing</v>
      </c>
      <c r="F652" s="3" t="n">
        <f aca="false">'1. Raw Data'!F651</f>
        <v>0</v>
      </c>
      <c r="G652" s="3" t="n">
        <f aca="false">IF('1. Raw Data'!G651="",ROUND(IFERROR(AVERAGEIFS('1. Raw Data'!G2:G1201,'1. Raw Data'!C2:C1201,'1. Raw Data'!C651,'1. Raw Data'!D2:D1201,'1. Raw Data'!D651),0),2),'1. Raw Data'!G651)</f>
        <v>3193.41</v>
      </c>
      <c r="H652" s="3" t="str">
        <f aca="false">PROPER('1. Raw Data'!H651)</f>
        <v>No</v>
      </c>
      <c r="I652" s="3" t="n">
        <f aca="false">'1. Raw Data'!I651</f>
        <v>3</v>
      </c>
      <c r="J652" s="3" t="n">
        <f aca="false">'1. Raw Data'!J651</f>
        <v>2</v>
      </c>
      <c r="K652" s="3" t="n">
        <f aca="false">'1. Raw Data'!K651</f>
        <v>9</v>
      </c>
      <c r="L652" s="3" t="n">
        <f aca="false">'1. Raw Data'!L651</f>
        <v>0</v>
      </c>
      <c r="M652" s="3" t="n">
        <f aca="false">'1. Raw Data'!M651</f>
        <v>2</v>
      </c>
      <c r="N652" s="3" t="str">
        <f aca="false">'1. Raw Data'!N651</f>
        <v>No</v>
      </c>
    </row>
    <row r="653" customFormat="false" ht="15" hidden="false" customHeight="false" outlineLevel="0" collapsed="false">
      <c r="A653" s="3" t="str">
        <f aca="false">'1. Raw Data'!A652</f>
        <v>EMP-0651</v>
      </c>
      <c r="B653" s="3" t="n">
        <f aca="false">'1. Raw Data'!B652</f>
        <v>43</v>
      </c>
      <c r="C653" s="3" t="str">
        <f aca="false">'1. Raw Data'!C652</f>
        <v>Engineering</v>
      </c>
      <c r="D653" s="3" t="str">
        <f aca="false">'1. Raw Data'!D652</f>
        <v>Senior</v>
      </c>
      <c r="E653" s="3" t="str">
        <f aca="false">'1. Raw Data'!E652</f>
        <v>Business</v>
      </c>
      <c r="F653" s="3" t="n">
        <f aca="false">'1. Raw Data'!F652</f>
        <v>5.3</v>
      </c>
      <c r="G653" s="3" t="n">
        <f aca="false">IF('1. Raw Data'!G652="",ROUND(IFERROR(AVERAGEIFS('1. Raw Data'!G2:G1201,'1. Raw Data'!C2:C1201,'1. Raw Data'!C652,'1. Raw Data'!D2:D1201,'1. Raw Data'!D652),0),2),'1. Raw Data'!G652)</f>
        <v>7517.01</v>
      </c>
      <c r="H653" s="3" t="str">
        <f aca="false">PROPER('1. Raw Data'!H652)</f>
        <v>No</v>
      </c>
      <c r="I653" s="3" t="n">
        <f aca="false">'1. Raw Data'!I652</f>
        <v>4</v>
      </c>
      <c r="J653" s="3" t="n">
        <f aca="false">'1. Raw Data'!J652</f>
        <v>2</v>
      </c>
      <c r="K653" s="3" t="n">
        <f aca="false">'1. Raw Data'!K652</f>
        <v>1</v>
      </c>
      <c r="L653" s="3" t="n">
        <f aca="false">'1. Raw Data'!L652</f>
        <v>1</v>
      </c>
      <c r="M653" s="3" t="n">
        <f aca="false">'1. Raw Data'!M652</f>
        <v>0</v>
      </c>
      <c r="N653" s="3" t="str">
        <f aca="false">'1. Raw Data'!N652</f>
        <v>No</v>
      </c>
    </row>
    <row r="654" customFormat="false" ht="15" hidden="false" customHeight="false" outlineLevel="0" collapsed="false">
      <c r="A654" s="3" t="str">
        <f aca="false">'1. Raw Data'!A653</f>
        <v>EMP-0652</v>
      </c>
      <c r="B654" s="3" t="n">
        <f aca="false">'1. Raw Data'!B653</f>
        <v>25</v>
      </c>
      <c r="C654" s="3" t="str">
        <f aca="false">'1. Raw Data'!C653</f>
        <v>Sales</v>
      </c>
      <c r="D654" s="3" t="str">
        <f aca="false">'1. Raw Data'!D653</f>
        <v>Lead</v>
      </c>
      <c r="E654" s="3" t="str">
        <f aca="false">'1. Raw Data'!E653</f>
        <v>Technical</v>
      </c>
      <c r="F654" s="3" t="n">
        <f aca="false">'1. Raw Data'!F653</f>
        <v>1.5</v>
      </c>
      <c r="G654" s="3" t="n">
        <f aca="false">IF('1. Raw Data'!G653="",ROUND(IFERROR(AVERAGEIFS('1. Raw Data'!G2:G1201,'1. Raw Data'!C2:C1201,'1. Raw Data'!C653,'1. Raw Data'!D2:D1201,'1. Raw Data'!D653),0),2),'1. Raw Data'!G653)</f>
        <v>9882.1</v>
      </c>
      <c r="H654" s="3" t="str">
        <f aca="false">PROPER('1. Raw Data'!H653)</f>
        <v>Yes</v>
      </c>
      <c r="I654" s="3" t="n">
        <f aca="false">'1. Raw Data'!I653</f>
        <v>3</v>
      </c>
      <c r="J654" s="3" t="n">
        <f aca="false">'1. Raw Data'!J653</f>
        <v>4</v>
      </c>
      <c r="K654" s="3" t="n">
        <f aca="false">'1. Raw Data'!K653</f>
        <v>3</v>
      </c>
      <c r="L654" s="3" t="n">
        <f aca="false">'1. Raw Data'!L653</f>
        <v>1</v>
      </c>
      <c r="M654" s="3" t="n">
        <f aca="false">'1. Raw Data'!M653</f>
        <v>2</v>
      </c>
      <c r="N654" s="3" t="str">
        <f aca="false">'1. Raw Data'!N653</f>
        <v>No</v>
      </c>
    </row>
    <row r="655" customFormat="false" ht="15" hidden="false" customHeight="false" outlineLevel="0" collapsed="false">
      <c r="A655" s="3" t="str">
        <f aca="false">'1. Raw Data'!A654</f>
        <v>EMP-0653</v>
      </c>
      <c r="B655" s="3" t="n">
        <f aca="false">'1. Raw Data'!B654</f>
        <v>31</v>
      </c>
      <c r="C655" s="3" t="str">
        <f aca="false">'1. Raw Data'!C654</f>
        <v>Engineering</v>
      </c>
      <c r="D655" s="3" t="str">
        <f aca="false">'1. Raw Data'!D654</f>
        <v>Senior</v>
      </c>
      <c r="E655" s="3" t="str">
        <f aca="false">'1. Raw Data'!E654</f>
        <v>Other</v>
      </c>
      <c r="F655" s="3" t="n">
        <f aca="false">'1. Raw Data'!F654</f>
        <v>1.4</v>
      </c>
      <c r="G655" s="3" t="n">
        <f aca="false">IF('1. Raw Data'!G654="",ROUND(IFERROR(AVERAGEIFS('1. Raw Data'!G2:G1201,'1. Raw Data'!C2:C1201,'1. Raw Data'!C654,'1. Raw Data'!D2:D1201,'1. Raw Data'!D654),0),2),'1. Raw Data'!G654)</f>
        <v>8012.48</v>
      </c>
      <c r="H655" s="3" t="str">
        <f aca="false">PROPER('1. Raw Data'!H654)</f>
        <v>Yes</v>
      </c>
      <c r="I655" s="3" t="n">
        <f aca="false">'1. Raw Data'!I654</f>
        <v>2</v>
      </c>
      <c r="J655" s="3" t="n">
        <f aca="false">'1. Raw Data'!J654</f>
        <v>2</v>
      </c>
      <c r="K655" s="3" t="n">
        <f aca="false">'1. Raw Data'!K654</f>
        <v>1</v>
      </c>
      <c r="L655" s="3" t="n">
        <f aca="false">'1. Raw Data'!L654</f>
        <v>1</v>
      </c>
      <c r="M655" s="3" t="n">
        <f aca="false">'1. Raw Data'!M654</f>
        <v>3</v>
      </c>
      <c r="N655" s="3" t="str">
        <f aca="false">'1. Raw Data'!N654</f>
        <v>Yes</v>
      </c>
    </row>
    <row r="656" customFormat="false" ht="15" hidden="false" customHeight="false" outlineLevel="0" collapsed="false">
      <c r="A656" s="3" t="str">
        <f aca="false">'1. Raw Data'!A655</f>
        <v>EMP-0654</v>
      </c>
      <c r="B656" s="3" t="n">
        <f aca="false">'1. Raw Data'!B655</f>
        <v>27</v>
      </c>
      <c r="C656" s="3" t="str">
        <f aca="false">'1. Raw Data'!C655</f>
        <v>Customer Support</v>
      </c>
      <c r="D656" s="3" t="str">
        <f aca="false">'1. Raw Data'!D655</f>
        <v>Senior</v>
      </c>
      <c r="E656" s="3" t="str">
        <f aca="false">'1. Raw Data'!E655</f>
        <v>Business</v>
      </c>
      <c r="F656" s="3" t="n">
        <f aca="false">'1. Raw Data'!F655</f>
        <v>2.1</v>
      </c>
      <c r="G656" s="3" t="n">
        <f aca="false">IF('1. Raw Data'!G655="",ROUND(IFERROR(AVERAGEIFS('1. Raw Data'!G2:G1201,'1. Raw Data'!C2:C1201,'1. Raw Data'!C655,'1. Raw Data'!D2:D1201,'1. Raw Data'!D655),0),2),'1. Raw Data'!G655)</f>
        <v>6854.02</v>
      </c>
      <c r="H656" s="3" t="str">
        <f aca="false">PROPER('1. Raw Data'!H655)</f>
        <v>Yes</v>
      </c>
      <c r="I656" s="3" t="n">
        <f aca="false">'1. Raw Data'!I655</f>
        <v>4</v>
      </c>
      <c r="J656" s="3" t="n">
        <f aca="false">'1. Raw Data'!J655</f>
        <v>2</v>
      </c>
      <c r="K656" s="3" t="n">
        <f aca="false">'1. Raw Data'!K655</f>
        <v>19</v>
      </c>
      <c r="L656" s="3" t="n">
        <f aca="false">'1. Raw Data'!L655</f>
        <v>2</v>
      </c>
      <c r="M656" s="3" t="n">
        <f aca="false">'1. Raw Data'!M655</f>
        <v>1</v>
      </c>
      <c r="N656" s="3" t="str">
        <f aca="false">'1. Raw Data'!N655</f>
        <v>Yes</v>
      </c>
    </row>
    <row r="657" customFormat="false" ht="15" hidden="false" customHeight="false" outlineLevel="0" collapsed="false">
      <c r="A657" s="3" t="str">
        <f aca="false">'1. Raw Data'!A656</f>
        <v>EMP-0655</v>
      </c>
      <c r="B657" s="3" t="n">
        <f aca="false">'1. Raw Data'!B656</f>
        <v>40</v>
      </c>
      <c r="C657" s="3" t="str">
        <f aca="false">'1. Raw Data'!C656</f>
        <v>Engineering</v>
      </c>
      <c r="D657" s="3" t="str">
        <f aca="false">'1. Raw Data'!D656</f>
        <v>Junior</v>
      </c>
      <c r="E657" s="3" t="str">
        <f aca="false">'1. Raw Data'!E656</f>
        <v>Technical</v>
      </c>
      <c r="F657" s="3" t="n">
        <f aca="false">'1. Raw Data'!F656</f>
        <v>2.3</v>
      </c>
      <c r="G657" s="3" t="n">
        <f aca="false">IF('1. Raw Data'!G656="",ROUND(IFERROR(AVERAGEIFS('1. Raw Data'!G2:G1201,'1. Raw Data'!C2:C1201,'1. Raw Data'!C656,'1. Raw Data'!D2:D1201,'1. Raw Data'!D656),0),2),'1. Raw Data'!G656)</f>
        <v>3575.69</v>
      </c>
      <c r="H657" s="3" t="str">
        <f aca="false">PROPER('1. Raw Data'!H656)</f>
        <v>No</v>
      </c>
      <c r="I657" s="3" t="n">
        <f aca="false">'1. Raw Data'!I656</f>
        <v>4</v>
      </c>
      <c r="J657" s="3" t="n">
        <f aca="false">'1. Raw Data'!J656</f>
        <v>1</v>
      </c>
      <c r="K657" s="3" t="n">
        <f aca="false">'1. Raw Data'!K656</f>
        <v>7</v>
      </c>
      <c r="L657" s="3" t="n">
        <f aca="false">'1. Raw Data'!L656</f>
        <v>0</v>
      </c>
      <c r="M657" s="3" t="n">
        <f aca="false">'1. Raw Data'!M656</f>
        <v>1</v>
      </c>
      <c r="N657" s="3" t="str">
        <f aca="false">'1. Raw Data'!N656</f>
        <v>Yes</v>
      </c>
    </row>
    <row r="658" customFormat="false" ht="15" hidden="false" customHeight="false" outlineLevel="0" collapsed="false">
      <c r="A658" s="3" t="str">
        <f aca="false">'1. Raw Data'!A657</f>
        <v>EMP-0656</v>
      </c>
      <c r="B658" s="3" t="n">
        <f aca="false">'1. Raw Data'!B657</f>
        <v>35</v>
      </c>
      <c r="C658" s="3" t="str">
        <f aca="false">'1. Raw Data'!C657</f>
        <v>Sales</v>
      </c>
      <c r="D658" s="3" t="str">
        <f aca="false">'1. Raw Data'!D657</f>
        <v>Junior</v>
      </c>
      <c r="E658" s="3" t="str">
        <f aca="false">'1. Raw Data'!E657</f>
        <v>Other</v>
      </c>
      <c r="F658" s="3" t="n">
        <f aca="false">'1. Raw Data'!F657</f>
        <v>6.4</v>
      </c>
      <c r="G658" s="3" t="n">
        <f aca="false">IF('1. Raw Data'!G657="",ROUND(IFERROR(AVERAGEIFS('1. Raw Data'!G2:G1201,'1. Raw Data'!C2:C1201,'1. Raw Data'!C657,'1. Raw Data'!D2:D1201,'1. Raw Data'!D657),0),2),'1. Raw Data'!G657)</f>
        <v>2918.09</v>
      </c>
      <c r="H658" s="3" t="str">
        <f aca="false">PROPER('1. Raw Data'!H657)</f>
        <v>No</v>
      </c>
      <c r="I658" s="3" t="n">
        <f aca="false">'1. Raw Data'!I657</f>
        <v>4</v>
      </c>
      <c r="J658" s="3" t="n">
        <f aca="false">'1. Raw Data'!J657</f>
        <v>3</v>
      </c>
      <c r="K658" s="3" t="n">
        <f aca="false">'1. Raw Data'!K657</f>
        <v>4</v>
      </c>
      <c r="L658" s="3" t="n">
        <f aca="false">'1. Raw Data'!L657</f>
        <v>1</v>
      </c>
      <c r="M658" s="3" t="n">
        <f aca="false">'1. Raw Data'!M657</f>
        <v>1</v>
      </c>
      <c r="N658" s="3" t="str">
        <f aca="false">'1. Raw Data'!N657</f>
        <v>No</v>
      </c>
    </row>
    <row r="659" customFormat="false" ht="15" hidden="false" customHeight="false" outlineLevel="0" collapsed="false">
      <c r="A659" s="3" t="str">
        <f aca="false">'1. Raw Data'!A658</f>
        <v>EMP-0657</v>
      </c>
      <c r="B659" s="3" t="n">
        <f aca="false">'1. Raw Data'!B658</f>
        <v>40</v>
      </c>
      <c r="C659" s="3" t="str">
        <f aca="false">'1. Raw Data'!C658</f>
        <v>Customer Support</v>
      </c>
      <c r="D659" s="3" t="str">
        <f aca="false">'1. Raw Data'!D658</f>
        <v>Senior</v>
      </c>
      <c r="E659" s="3" t="str">
        <f aca="false">'1. Raw Data'!E658</f>
        <v>Business</v>
      </c>
      <c r="F659" s="3" t="n">
        <f aca="false">'1. Raw Data'!F658</f>
        <v>3.6</v>
      </c>
      <c r="G659" s="3" t="n">
        <f aca="false">IF('1. Raw Data'!G658="",ROUND(IFERROR(AVERAGEIFS('1. Raw Data'!G2:G1201,'1. Raw Data'!C2:C1201,'1. Raw Data'!C658,'1. Raw Data'!D2:D1201,'1. Raw Data'!D658),0),2),'1. Raw Data'!G658)</f>
        <v>7262.86</v>
      </c>
      <c r="H659" s="3" t="str">
        <f aca="false">PROPER('1. Raw Data'!H658)</f>
        <v>No</v>
      </c>
      <c r="I659" s="3" t="n">
        <f aca="false">'1. Raw Data'!I658</f>
        <v>4</v>
      </c>
      <c r="J659" s="3" t="n">
        <f aca="false">'1. Raw Data'!J658</f>
        <v>1</v>
      </c>
      <c r="K659" s="3" t="n">
        <f aca="false">'1. Raw Data'!K658</f>
        <v>3</v>
      </c>
      <c r="L659" s="3" t="n">
        <f aca="false">'1. Raw Data'!L658</f>
        <v>3</v>
      </c>
      <c r="M659" s="3" t="n">
        <f aca="false">'1. Raw Data'!M658</f>
        <v>3</v>
      </c>
      <c r="N659" s="3" t="str">
        <f aca="false">'1. Raw Data'!N658</f>
        <v>No</v>
      </c>
    </row>
    <row r="660" customFormat="false" ht="15" hidden="false" customHeight="false" outlineLevel="0" collapsed="false">
      <c r="A660" s="3" t="str">
        <f aca="false">'1. Raw Data'!A659</f>
        <v>EMP-0658</v>
      </c>
      <c r="B660" s="3" t="n">
        <f aca="false">'1. Raw Data'!B659</f>
        <v>36</v>
      </c>
      <c r="C660" s="3" t="str">
        <f aca="false">'1. Raw Data'!C659</f>
        <v>Sales</v>
      </c>
      <c r="D660" s="3" t="str">
        <f aca="false">'1. Raw Data'!D659</f>
        <v>Mid</v>
      </c>
      <c r="E660" s="3" t="str">
        <f aca="false">'1. Raw Data'!E659</f>
        <v>Technical</v>
      </c>
      <c r="F660" s="3" t="n">
        <f aca="false">'1. Raw Data'!F659</f>
        <v>4.5</v>
      </c>
      <c r="G660" s="3" t="n">
        <f aca="false">IF('1. Raw Data'!G659="",ROUND(IFERROR(AVERAGEIFS('1. Raw Data'!G2:G1201,'1. Raw Data'!C2:C1201,'1. Raw Data'!C659,'1. Raw Data'!D2:D1201,'1. Raw Data'!D659),0),2),'1. Raw Data'!G659)</f>
        <v>5602.1</v>
      </c>
      <c r="H660" s="3" t="str">
        <f aca="false">PROPER('1. Raw Data'!H659)</f>
        <v>No</v>
      </c>
      <c r="I660" s="3" t="n">
        <f aca="false">'1. Raw Data'!I659</f>
        <v>1</v>
      </c>
      <c r="J660" s="3" t="n">
        <f aca="false">'1. Raw Data'!J659</f>
        <v>3</v>
      </c>
      <c r="K660" s="3" t="n">
        <f aca="false">'1. Raw Data'!K659</f>
        <v>1</v>
      </c>
      <c r="L660" s="3" t="n">
        <f aca="false">'1. Raw Data'!L659</f>
        <v>2</v>
      </c>
      <c r="M660" s="3" t="n">
        <f aca="false">'1. Raw Data'!M659</f>
        <v>1</v>
      </c>
      <c r="N660" s="3" t="str">
        <f aca="false">'1. Raw Data'!N659</f>
        <v>No</v>
      </c>
    </row>
    <row r="661" customFormat="false" ht="15" hidden="false" customHeight="false" outlineLevel="0" collapsed="false">
      <c r="A661" s="3" t="str">
        <f aca="false">'1. Raw Data'!A660</f>
        <v>EMP-0659</v>
      </c>
      <c r="B661" s="3" t="n">
        <f aca="false">'1. Raw Data'!B660</f>
        <v>35</v>
      </c>
      <c r="C661" s="3" t="str">
        <f aca="false">'1. Raw Data'!C660</f>
        <v>Customer Support</v>
      </c>
      <c r="D661" s="3" t="str">
        <f aca="false">'1. Raw Data'!D660</f>
        <v>Junior</v>
      </c>
      <c r="E661" s="3" t="str">
        <f aca="false">'1. Raw Data'!E660</f>
        <v>Technical</v>
      </c>
      <c r="F661" s="3" t="n">
        <f aca="false">'1. Raw Data'!F660</f>
        <v>1.1</v>
      </c>
      <c r="G661" s="3" t="n">
        <f aca="false">IF('1. Raw Data'!G660="",ROUND(IFERROR(AVERAGEIFS('1. Raw Data'!G2:G1201,'1. Raw Data'!C2:C1201,'1. Raw Data'!C660,'1. Raw Data'!D2:D1201,'1. Raw Data'!D660),0),2),'1. Raw Data'!G660)</f>
        <v>3576.74</v>
      </c>
      <c r="H661" s="3" t="str">
        <f aca="false">PROPER('1. Raw Data'!H660)</f>
        <v>Yes</v>
      </c>
      <c r="I661" s="3" t="n">
        <f aca="false">'1. Raw Data'!I660</f>
        <v>3</v>
      </c>
      <c r="J661" s="3" t="n">
        <f aca="false">'1. Raw Data'!J660</f>
        <v>3</v>
      </c>
      <c r="K661" s="3" t="n">
        <f aca="false">'1. Raw Data'!K660</f>
        <v>4</v>
      </c>
      <c r="L661" s="3" t="n">
        <f aca="false">'1. Raw Data'!L660</f>
        <v>1</v>
      </c>
      <c r="M661" s="3" t="n">
        <f aca="false">'1. Raw Data'!M660</f>
        <v>1</v>
      </c>
      <c r="N661" s="3" t="str">
        <f aca="false">'1. Raw Data'!N660</f>
        <v>No</v>
      </c>
    </row>
    <row r="662" customFormat="false" ht="15" hidden="false" customHeight="false" outlineLevel="0" collapsed="false">
      <c r="A662" s="3" t="str">
        <f aca="false">'1. Raw Data'!A661</f>
        <v>EMP-0660</v>
      </c>
      <c r="B662" s="3" t="n">
        <f aca="false">'1. Raw Data'!B661</f>
        <v>27</v>
      </c>
      <c r="C662" s="3" t="str">
        <f aca="false">'1. Raw Data'!C661</f>
        <v>Sales</v>
      </c>
      <c r="D662" s="3" t="str">
        <f aca="false">'1. Raw Data'!D661</f>
        <v>Mid</v>
      </c>
      <c r="E662" s="3" t="str">
        <f aca="false">'1. Raw Data'!E661</f>
        <v>Other</v>
      </c>
      <c r="F662" s="3" t="n">
        <f aca="false">'1. Raw Data'!F661</f>
        <v>1.1</v>
      </c>
      <c r="G662" s="3" t="n">
        <f aca="false">IF('1. Raw Data'!G661="",ROUND(IFERROR(AVERAGEIFS('1. Raw Data'!G2:G1201,'1. Raw Data'!C2:C1201,'1. Raw Data'!C661,'1. Raw Data'!D2:D1201,'1. Raw Data'!D661),0),2),'1. Raw Data'!G661)</f>
        <v>4768.16</v>
      </c>
      <c r="H662" s="3" t="str">
        <f aca="false">PROPER('1. Raw Data'!H661)</f>
        <v>Yes</v>
      </c>
      <c r="I662" s="3" t="n">
        <f aca="false">'1. Raw Data'!I661</f>
        <v>4</v>
      </c>
      <c r="J662" s="3" t="n">
        <f aca="false">'1. Raw Data'!J661</f>
        <v>4</v>
      </c>
      <c r="K662" s="3" t="n">
        <f aca="false">'1. Raw Data'!K661</f>
        <v>1</v>
      </c>
      <c r="L662" s="3" t="n">
        <f aca="false">'1. Raw Data'!L661</f>
        <v>1</v>
      </c>
      <c r="M662" s="3" t="n">
        <f aca="false">'1. Raw Data'!M661</f>
        <v>1</v>
      </c>
      <c r="N662" s="3" t="str">
        <f aca="false">'1. Raw Data'!N661</f>
        <v>Yes</v>
      </c>
    </row>
    <row r="663" customFormat="false" ht="15" hidden="false" customHeight="false" outlineLevel="0" collapsed="false">
      <c r="A663" s="3" t="str">
        <f aca="false">'1. Raw Data'!A662</f>
        <v>EMP-0661</v>
      </c>
      <c r="B663" s="3" t="n">
        <f aca="false">'1. Raw Data'!B662</f>
        <v>33</v>
      </c>
      <c r="C663" s="3" t="str">
        <f aca="false">'1. Raw Data'!C662</f>
        <v>Sales</v>
      </c>
      <c r="D663" s="3" t="str">
        <f aca="false">'1. Raw Data'!D662</f>
        <v>Senior</v>
      </c>
      <c r="E663" s="3" t="str">
        <f aca="false">'1. Raw Data'!E662</f>
        <v>Other</v>
      </c>
      <c r="F663" s="3" t="n">
        <f aca="false">'1. Raw Data'!F662</f>
        <v>2.7</v>
      </c>
      <c r="G663" s="3" t="n">
        <f aca="false">IF('1. Raw Data'!G662="",ROUND(IFERROR(AVERAGEIFS('1. Raw Data'!G2:G1201,'1. Raw Data'!C2:C1201,'1. Raw Data'!C662,'1. Raw Data'!D2:D1201,'1. Raw Data'!D662),0),2),'1. Raw Data'!G662)</f>
        <v>8362.55</v>
      </c>
      <c r="H663" s="3" t="str">
        <f aca="false">PROPER('1. Raw Data'!H662)</f>
        <v>No</v>
      </c>
      <c r="I663" s="3" t="n">
        <f aca="false">'1. Raw Data'!I662</f>
        <v>4</v>
      </c>
      <c r="J663" s="3" t="n">
        <f aca="false">'1. Raw Data'!J662</f>
        <v>1</v>
      </c>
      <c r="K663" s="3" t="n">
        <f aca="false">'1. Raw Data'!K662</f>
        <v>6</v>
      </c>
      <c r="L663" s="3" t="n">
        <f aca="false">'1. Raw Data'!L662</f>
        <v>1</v>
      </c>
      <c r="M663" s="3" t="n">
        <f aca="false">'1. Raw Data'!M662</f>
        <v>5</v>
      </c>
      <c r="N663" s="3" t="str">
        <f aca="false">'1. Raw Data'!N662</f>
        <v>Yes</v>
      </c>
    </row>
    <row r="664" customFormat="false" ht="15" hidden="false" customHeight="false" outlineLevel="0" collapsed="false">
      <c r="A664" s="3" t="str">
        <f aca="false">'1. Raw Data'!A663</f>
        <v>EMP-0662</v>
      </c>
      <c r="B664" s="3" t="n">
        <f aca="false">'1. Raw Data'!B663</f>
        <v>26</v>
      </c>
      <c r="C664" s="3" t="str">
        <f aca="false">'1. Raw Data'!C663</f>
        <v>HR</v>
      </c>
      <c r="D664" s="3" t="str">
        <f aca="false">'1. Raw Data'!D663</f>
        <v>Mid</v>
      </c>
      <c r="E664" s="3" t="str">
        <f aca="false">'1. Raw Data'!E663</f>
        <v>Business</v>
      </c>
      <c r="F664" s="3" t="n">
        <f aca="false">'1. Raw Data'!F663</f>
        <v>5</v>
      </c>
      <c r="G664" s="3" t="n">
        <f aca="false">IF('1. Raw Data'!G663="",ROUND(IFERROR(AVERAGEIFS('1. Raw Data'!G2:G1201,'1. Raw Data'!C2:C1201,'1. Raw Data'!C663,'1. Raw Data'!D2:D1201,'1. Raw Data'!D663),0),2),'1. Raw Data'!G663)</f>
        <v>4264.29</v>
      </c>
      <c r="H664" s="3" t="str">
        <f aca="false">PROPER('1. Raw Data'!H663)</f>
        <v>No</v>
      </c>
      <c r="I664" s="3" t="n">
        <f aca="false">'1. Raw Data'!I663</f>
        <v>4</v>
      </c>
      <c r="J664" s="3" t="n">
        <f aca="false">'1. Raw Data'!J663</f>
        <v>2</v>
      </c>
      <c r="K664" s="3" t="n">
        <f aca="false">'1. Raw Data'!K663</f>
        <v>6</v>
      </c>
      <c r="L664" s="3" t="n">
        <f aca="false">'1. Raw Data'!L663</f>
        <v>5</v>
      </c>
      <c r="M664" s="3" t="n">
        <f aca="false">'1. Raw Data'!M663</f>
        <v>1</v>
      </c>
      <c r="N664" s="3" t="str">
        <f aca="false">'1. Raw Data'!N663</f>
        <v>Yes</v>
      </c>
    </row>
    <row r="665" customFormat="false" ht="15" hidden="false" customHeight="false" outlineLevel="0" collapsed="false">
      <c r="A665" s="3" t="str">
        <f aca="false">'1. Raw Data'!A664</f>
        <v>EMP-0663</v>
      </c>
      <c r="B665" s="3" t="n">
        <f aca="false">'1. Raw Data'!B664</f>
        <v>21</v>
      </c>
      <c r="C665" s="3" t="str">
        <f aca="false">'1. Raw Data'!C664</f>
        <v>Engineering</v>
      </c>
      <c r="D665" s="3" t="str">
        <f aca="false">'1. Raw Data'!D664</f>
        <v>Lead</v>
      </c>
      <c r="E665" s="3" t="str">
        <f aca="false">'1. Raw Data'!E664</f>
        <v>Marketing</v>
      </c>
      <c r="F665" s="3" t="n">
        <f aca="false">'1. Raw Data'!F664</f>
        <v>0</v>
      </c>
      <c r="G665" s="3" t="n">
        <f aca="false">IF('1. Raw Data'!G664="",ROUND(IFERROR(AVERAGEIFS('1. Raw Data'!G2:G1201,'1. Raw Data'!C2:C1201,'1. Raw Data'!C664,'1. Raw Data'!D2:D1201,'1. Raw Data'!D664),0),2),'1. Raw Data'!G664)</f>
        <v>10546.56</v>
      </c>
      <c r="H665" s="3" t="str">
        <f aca="false">PROPER('1. Raw Data'!H664)</f>
        <v>No</v>
      </c>
      <c r="I665" s="3" t="n">
        <f aca="false">'1. Raw Data'!I664</f>
        <v>4</v>
      </c>
      <c r="J665" s="3" t="n">
        <f aca="false">'1. Raw Data'!J664</f>
        <v>2</v>
      </c>
      <c r="K665" s="3" t="n">
        <f aca="false">'1. Raw Data'!K664</f>
        <v>3</v>
      </c>
      <c r="L665" s="3" t="n">
        <f aca="false">'1. Raw Data'!L664</f>
        <v>0</v>
      </c>
      <c r="M665" s="3" t="n">
        <f aca="false">'1. Raw Data'!M664</f>
        <v>0</v>
      </c>
      <c r="N665" s="3" t="str">
        <f aca="false">'1. Raw Data'!N664</f>
        <v>No</v>
      </c>
    </row>
    <row r="666" customFormat="false" ht="15" hidden="false" customHeight="false" outlineLevel="0" collapsed="false">
      <c r="A666" s="3" t="str">
        <f aca="false">'1. Raw Data'!A665</f>
        <v>EMP-0664</v>
      </c>
      <c r="B666" s="3" t="n">
        <f aca="false">'1. Raw Data'!B665</f>
        <v>31</v>
      </c>
      <c r="C666" s="3" t="str">
        <f aca="false">'1. Raw Data'!C665</f>
        <v>Engineering</v>
      </c>
      <c r="D666" s="3" t="str">
        <f aca="false">'1. Raw Data'!D665</f>
        <v>Junior</v>
      </c>
      <c r="E666" s="3" t="str">
        <f aca="false">'1. Raw Data'!E665</f>
        <v>Marketing</v>
      </c>
      <c r="F666" s="3" t="n">
        <f aca="false">'1. Raw Data'!F665</f>
        <v>0</v>
      </c>
      <c r="G666" s="3" t="n">
        <f aca="false">IF('1. Raw Data'!G665="",ROUND(IFERROR(AVERAGEIFS('1. Raw Data'!G2:G1201,'1. Raw Data'!C2:C1201,'1. Raw Data'!C665,'1. Raw Data'!D2:D1201,'1. Raw Data'!D665),0),2),'1. Raw Data'!G665)</f>
        <v>3835.08</v>
      </c>
      <c r="H666" s="3" t="str">
        <f aca="false">PROPER('1. Raw Data'!H665)</f>
        <v>No</v>
      </c>
      <c r="I666" s="3" t="n">
        <f aca="false">'1. Raw Data'!I665</f>
        <v>4</v>
      </c>
      <c r="J666" s="3" t="n">
        <f aca="false">'1. Raw Data'!J665</f>
        <v>3</v>
      </c>
      <c r="K666" s="3" t="n">
        <f aca="false">'1. Raw Data'!K665</f>
        <v>1</v>
      </c>
      <c r="L666" s="3" t="n">
        <f aca="false">'1. Raw Data'!L665</f>
        <v>0</v>
      </c>
      <c r="M666" s="3" t="n">
        <f aca="false">'1. Raw Data'!M665</f>
        <v>4</v>
      </c>
      <c r="N666" s="3" t="str">
        <f aca="false">'1. Raw Data'!N665</f>
        <v>No</v>
      </c>
    </row>
    <row r="667" customFormat="false" ht="15" hidden="false" customHeight="false" outlineLevel="0" collapsed="false">
      <c r="A667" s="3" t="str">
        <f aca="false">'1. Raw Data'!A666</f>
        <v>EMP-0665</v>
      </c>
      <c r="B667" s="3" t="n">
        <f aca="false">'1. Raw Data'!B666</f>
        <v>47</v>
      </c>
      <c r="C667" s="3" t="str">
        <f aca="false">'1. Raw Data'!C666</f>
        <v>HR</v>
      </c>
      <c r="D667" s="3" t="str">
        <f aca="false">'1. Raw Data'!D666</f>
        <v>Senior</v>
      </c>
      <c r="E667" s="3" t="str">
        <f aca="false">'1. Raw Data'!E666</f>
        <v>Marketing</v>
      </c>
      <c r="F667" s="3" t="n">
        <f aca="false">'1. Raw Data'!F666</f>
        <v>11.5</v>
      </c>
      <c r="G667" s="3" t="n">
        <f aca="false">IF('1. Raw Data'!G666="",ROUND(IFERROR(AVERAGEIFS('1. Raw Data'!G2:G1201,'1. Raw Data'!C2:C1201,'1. Raw Data'!C666,'1. Raw Data'!D2:D1201,'1. Raw Data'!D666),0),2),'1. Raw Data'!G666)</f>
        <v>7521.47</v>
      </c>
      <c r="H667" s="3" t="str">
        <f aca="false">PROPER('1. Raw Data'!H666)</f>
        <v>No</v>
      </c>
      <c r="I667" s="3" t="n">
        <f aca="false">'1. Raw Data'!I666</f>
        <v>3</v>
      </c>
      <c r="J667" s="3" t="n">
        <f aca="false">'1. Raw Data'!J666</f>
        <v>4</v>
      </c>
      <c r="K667" s="3" t="n">
        <f aca="false">'1. Raw Data'!K666</f>
        <v>2</v>
      </c>
      <c r="L667" s="3" t="n">
        <f aca="false">'1. Raw Data'!L666</f>
        <v>1</v>
      </c>
      <c r="M667" s="3" t="n">
        <f aca="false">'1. Raw Data'!M666</f>
        <v>2</v>
      </c>
      <c r="N667" s="3" t="str">
        <f aca="false">'1. Raw Data'!N666</f>
        <v>No</v>
      </c>
    </row>
    <row r="668" customFormat="false" ht="15" hidden="false" customHeight="false" outlineLevel="0" collapsed="false">
      <c r="A668" s="3" t="str">
        <f aca="false">'1. Raw Data'!A667</f>
        <v>EMP-0666</v>
      </c>
      <c r="B668" s="3" t="n">
        <f aca="false">'1. Raw Data'!B667</f>
        <v>21</v>
      </c>
      <c r="C668" s="3" t="str">
        <f aca="false">'1. Raw Data'!C667</f>
        <v>Finance</v>
      </c>
      <c r="D668" s="3" t="str">
        <f aca="false">'1. Raw Data'!D667</f>
        <v>Senior</v>
      </c>
      <c r="E668" s="3" t="str">
        <f aca="false">'1. Raw Data'!E667</f>
        <v>Business</v>
      </c>
      <c r="F668" s="3" t="n">
        <f aca="false">'1. Raw Data'!F667</f>
        <v>0</v>
      </c>
      <c r="G668" s="3" t="n">
        <f aca="false">IF('1. Raw Data'!G667="",ROUND(IFERROR(AVERAGEIFS('1. Raw Data'!G2:G1201,'1. Raw Data'!C2:C1201,'1. Raw Data'!C667,'1. Raw Data'!D2:D1201,'1. Raw Data'!D667),0),2),'1. Raw Data'!G667)</f>
        <v>8443.15</v>
      </c>
      <c r="H668" s="3" t="str">
        <f aca="false">PROPER('1. Raw Data'!H667)</f>
        <v>No</v>
      </c>
      <c r="I668" s="3" t="n">
        <f aca="false">'1. Raw Data'!I667</f>
        <v>3</v>
      </c>
      <c r="J668" s="3" t="n">
        <f aca="false">'1. Raw Data'!J667</f>
        <v>2</v>
      </c>
      <c r="K668" s="3" t="n">
        <f aca="false">'1. Raw Data'!K667</f>
        <v>25</v>
      </c>
      <c r="L668" s="3" t="n">
        <f aca="false">'1. Raw Data'!L667</f>
        <v>0</v>
      </c>
      <c r="M668" s="3" t="n">
        <f aca="false">'1. Raw Data'!M667</f>
        <v>2</v>
      </c>
      <c r="N668" s="3" t="str">
        <f aca="false">'1. Raw Data'!N667</f>
        <v>No</v>
      </c>
    </row>
    <row r="669" customFormat="false" ht="15" hidden="false" customHeight="false" outlineLevel="0" collapsed="false">
      <c r="A669" s="3" t="str">
        <f aca="false">'1. Raw Data'!A668</f>
        <v>EMP-0667</v>
      </c>
      <c r="B669" s="3" t="n">
        <f aca="false">'1. Raw Data'!B668</f>
        <v>37</v>
      </c>
      <c r="C669" s="3" t="str">
        <f aca="false">'1. Raw Data'!C668</f>
        <v>Engineering</v>
      </c>
      <c r="D669" s="3" t="str">
        <f aca="false">'1. Raw Data'!D668</f>
        <v>Junior</v>
      </c>
      <c r="E669" s="3" t="str">
        <f aca="false">'1. Raw Data'!E668</f>
        <v>Marketing</v>
      </c>
      <c r="F669" s="3" t="n">
        <f aca="false">'1. Raw Data'!F668</f>
        <v>0.6</v>
      </c>
      <c r="G669" s="3" t="n">
        <f aca="false">IF('1. Raw Data'!G668="",ROUND(IFERROR(AVERAGEIFS('1. Raw Data'!G2:G1201,'1. Raw Data'!C2:C1201,'1. Raw Data'!C668,'1. Raw Data'!D2:D1201,'1. Raw Data'!D668),0),2),'1. Raw Data'!G668)</f>
        <v>3153.44</v>
      </c>
      <c r="H669" s="3" t="str">
        <f aca="false">PROPER('1. Raw Data'!H668)</f>
        <v>No</v>
      </c>
      <c r="I669" s="3" t="n">
        <f aca="false">'1. Raw Data'!I668</f>
        <v>1</v>
      </c>
      <c r="J669" s="3" t="n">
        <f aca="false">'1. Raw Data'!J668</f>
        <v>2</v>
      </c>
      <c r="K669" s="3" t="n">
        <f aca="false">'1. Raw Data'!K668</f>
        <v>21</v>
      </c>
      <c r="L669" s="3" t="n">
        <f aca="false">'1. Raw Data'!L668</f>
        <v>0</v>
      </c>
      <c r="M669" s="3" t="n">
        <f aca="false">'1. Raw Data'!M668</f>
        <v>1</v>
      </c>
      <c r="N669" s="3" t="str">
        <f aca="false">'1. Raw Data'!N668</f>
        <v>Yes</v>
      </c>
    </row>
    <row r="670" customFormat="false" ht="15" hidden="false" customHeight="false" outlineLevel="0" collapsed="false">
      <c r="A670" s="3" t="str">
        <f aca="false">'1. Raw Data'!A669</f>
        <v>EMP-0668</v>
      </c>
      <c r="B670" s="3" t="n">
        <f aca="false">'1. Raw Data'!B669</f>
        <v>30</v>
      </c>
      <c r="C670" s="3" t="str">
        <f aca="false">'1. Raw Data'!C669</f>
        <v>Sales</v>
      </c>
      <c r="D670" s="3" t="str">
        <f aca="false">'1. Raw Data'!D669</f>
        <v>Mid</v>
      </c>
      <c r="E670" s="3" t="str">
        <f aca="false">'1. Raw Data'!E669</f>
        <v>Business</v>
      </c>
      <c r="F670" s="3" t="n">
        <f aca="false">'1. Raw Data'!F669</f>
        <v>0</v>
      </c>
      <c r="G670" s="3" t="n">
        <f aca="false">IF('1. Raw Data'!G669="",ROUND(IFERROR(AVERAGEIFS('1. Raw Data'!G2:G1201,'1. Raw Data'!C2:C1201,'1. Raw Data'!C669,'1. Raw Data'!D2:D1201,'1. Raw Data'!D669),0),2),'1. Raw Data'!G669)</f>
        <v>5083.94</v>
      </c>
      <c r="H670" s="3" t="str">
        <f aca="false">PROPER('1. Raw Data'!H669)</f>
        <v>No</v>
      </c>
      <c r="I670" s="3" t="n">
        <f aca="false">'1. Raw Data'!I669</f>
        <v>2</v>
      </c>
      <c r="J670" s="3" t="n">
        <f aca="false">'1. Raw Data'!J669</f>
        <v>1</v>
      </c>
      <c r="K670" s="3" t="n">
        <f aca="false">'1. Raw Data'!K669</f>
        <v>6</v>
      </c>
      <c r="L670" s="3" t="n">
        <f aca="false">'1. Raw Data'!L669</f>
        <v>0</v>
      </c>
      <c r="M670" s="3" t="n">
        <f aca="false">'1. Raw Data'!M669</f>
        <v>2</v>
      </c>
      <c r="N670" s="3" t="str">
        <f aca="false">'1. Raw Data'!N669</f>
        <v>No</v>
      </c>
    </row>
    <row r="671" customFormat="false" ht="15" hidden="false" customHeight="false" outlineLevel="0" collapsed="false">
      <c r="A671" s="3" t="str">
        <f aca="false">'1. Raw Data'!A670</f>
        <v>EMP-0669</v>
      </c>
      <c r="B671" s="3" t="n">
        <f aca="false">'1. Raw Data'!B670</f>
        <v>52</v>
      </c>
      <c r="C671" s="3" t="str">
        <f aca="false">'1. Raw Data'!C670</f>
        <v>Engineering</v>
      </c>
      <c r="D671" s="3" t="str">
        <f aca="false">'1. Raw Data'!D670</f>
        <v>Mid</v>
      </c>
      <c r="E671" s="3" t="str">
        <f aca="false">'1. Raw Data'!E670</f>
        <v>Business</v>
      </c>
      <c r="F671" s="3" t="n">
        <f aca="false">'1. Raw Data'!F670</f>
        <v>2.4</v>
      </c>
      <c r="G671" s="3" t="n">
        <f aca="false">IF('1. Raw Data'!G670="",ROUND(IFERROR(AVERAGEIFS('1. Raw Data'!G2:G1201,'1. Raw Data'!C2:C1201,'1. Raw Data'!C670,'1. Raw Data'!D2:D1201,'1. Raw Data'!D670),0),2),'1. Raw Data'!G670)</f>
        <v>4880.87</v>
      </c>
      <c r="H671" s="3" t="str">
        <f aca="false">PROPER('1. Raw Data'!H670)</f>
        <v>Yes</v>
      </c>
      <c r="I671" s="3" t="n">
        <f aca="false">'1. Raw Data'!I670</f>
        <v>2</v>
      </c>
      <c r="J671" s="3" t="n">
        <f aca="false">'1. Raw Data'!J670</f>
        <v>2</v>
      </c>
      <c r="K671" s="3" t="n">
        <f aca="false">'1. Raw Data'!K670</f>
        <v>1</v>
      </c>
      <c r="L671" s="3" t="n">
        <f aca="false">'1. Raw Data'!L670</f>
        <v>1</v>
      </c>
      <c r="M671" s="3" t="n">
        <f aca="false">'1. Raw Data'!M670</f>
        <v>2</v>
      </c>
      <c r="N671" s="3" t="str">
        <f aca="false">'1. Raw Data'!N670</f>
        <v>No</v>
      </c>
    </row>
    <row r="672" customFormat="false" ht="15" hidden="false" customHeight="false" outlineLevel="0" collapsed="false">
      <c r="A672" s="3" t="str">
        <f aca="false">'1. Raw Data'!A671</f>
        <v>EMP-0670</v>
      </c>
      <c r="B672" s="3" t="n">
        <f aca="false">'1. Raw Data'!B671</f>
        <v>40</v>
      </c>
      <c r="C672" s="3" t="str">
        <f aca="false">'1. Raw Data'!C671</f>
        <v>Engineering</v>
      </c>
      <c r="D672" s="3" t="str">
        <f aca="false">'1. Raw Data'!D671</f>
        <v>Junior</v>
      </c>
      <c r="E672" s="3" t="str">
        <f aca="false">'1. Raw Data'!E671</f>
        <v>Business</v>
      </c>
      <c r="F672" s="3" t="n">
        <f aca="false">'1. Raw Data'!F671</f>
        <v>1</v>
      </c>
      <c r="G672" s="3" t="n">
        <f aca="false">IF('1. Raw Data'!G671="",ROUND(IFERROR(AVERAGEIFS('1. Raw Data'!G2:G1201,'1. Raw Data'!C2:C1201,'1. Raw Data'!C671,'1. Raw Data'!D2:D1201,'1. Raw Data'!D671),0),2),'1. Raw Data'!G671)</f>
        <v>3469.55</v>
      </c>
      <c r="H672" s="3" t="str">
        <f aca="false">PROPER('1. Raw Data'!H671)</f>
        <v>No</v>
      </c>
      <c r="I672" s="3" t="n">
        <f aca="false">'1. Raw Data'!I671</f>
        <v>3</v>
      </c>
      <c r="J672" s="3" t="n">
        <f aca="false">'1. Raw Data'!J671</f>
        <v>3</v>
      </c>
      <c r="K672" s="3" t="n">
        <f aca="false">'1. Raw Data'!K671</f>
        <v>17</v>
      </c>
      <c r="L672" s="3" t="n">
        <f aca="false">'1. Raw Data'!L671</f>
        <v>1</v>
      </c>
      <c r="M672" s="3" t="n">
        <f aca="false">'1. Raw Data'!M671</f>
        <v>5</v>
      </c>
      <c r="N672" s="3" t="str">
        <f aca="false">'1. Raw Data'!N671</f>
        <v>No</v>
      </c>
    </row>
    <row r="673" customFormat="false" ht="15" hidden="false" customHeight="false" outlineLevel="0" collapsed="false">
      <c r="A673" s="3" t="str">
        <f aca="false">'1. Raw Data'!A672</f>
        <v>EMP-0671</v>
      </c>
      <c r="B673" s="3" t="n">
        <f aca="false">'1. Raw Data'!B672</f>
        <v>40</v>
      </c>
      <c r="C673" s="3" t="str">
        <f aca="false">'1. Raw Data'!C672</f>
        <v>Sales</v>
      </c>
      <c r="D673" s="3" t="str">
        <f aca="false">'1. Raw Data'!D672</f>
        <v>Mid</v>
      </c>
      <c r="E673" s="3" t="str">
        <f aca="false">'1. Raw Data'!E672</f>
        <v>Other</v>
      </c>
      <c r="F673" s="3" t="n">
        <f aca="false">'1. Raw Data'!F672</f>
        <v>0.6</v>
      </c>
      <c r="G673" s="3" t="n">
        <f aca="false">IF('1. Raw Data'!G672="",ROUND(IFERROR(AVERAGEIFS('1. Raw Data'!G2:G1201,'1. Raw Data'!C2:C1201,'1. Raw Data'!C672,'1. Raw Data'!D2:D1201,'1. Raw Data'!D672),0),2),'1. Raw Data'!G672)</f>
        <v>5482.11</v>
      </c>
      <c r="H673" s="3" t="str">
        <f aca="false">PROPER('1. Raw Data'!H672)</f>
        <v>No</v>
      </c>
      <c r="I673" s="3" t="n">
        <f aca="false">'1. Raw Data'!I672</f>
        <v>3</v>
      </c>
      <c r="J673" s="3" t="n">
        <f aca="false">'1. Raw Data'!J672</f>
        <v>4</v>
      </c>
      <c r="K673" s="3" t="n">
        <f aca="false">'1. Raw Data'!K672</f>
        <v>1</v>
      </c>
      <c r="L673" s="3" t="n">
        <f aca="false">'1. Raw Data'!L672</f>
        <v>0</v>
      </c>
      <c r="M673" s="3" t="n">
        <f aca="false">'1. Raw Data'!M672</f>
        <v>4</v>
      </c>
      <c r="N673" s="3" t="str">
        <f aca="false">'1. Raw Data'!N672</f>
        <v>Yes</v>
      </c>
    </row>
    <row r="674" customFormat="false" ht="15" hidden="false" customHeight="false" outlineLevel="0" collapsed="false">
      <c r="A674" s="3" t="str">
        <f aca="false">'1. Raw Data'!A673</f>
        <v>EMP-0672</v>
      </c>
      <c r="B674" s="3" t="n">
        <f aca="false">'1. Raw Data'!B673</f>
        <v>36</v>
      </c>
      <c r="C674" s="3" t="str">
        <f aca="false">'1. Raw Data'!C673</f>
        <v>Finance</v>
      </c>
      <c r="D674" s="3" t="str">
        <f aca="false">'1. Raw Data'!D673</f>
        <v>Lead</v>
      </c>
      <c r="E674" s="3" t="str">
        <f aca="false">'1. Raw Data'!E673</f>
        <v>Business</v>
      </c>
      <c r="F674" s="3" t="n">
        <f aca="false">'1. Raw Data'!F673</f>
        <v>1.5</v>
      </c>
      <c r="G674" s="3" t="n">
        <f aca="false">IF('1. Raw Data'!G673="",ROUND(IFERROR(AVERAGEIFS('1. Raw Data'!G2:G1201,'1. Raw Data'!C2:C1201,'1. Raw Data'!C673,'1. Raw Data'!D2:D1201,'1. Raw Data'!D673),0),2),'1. Raw Data'!G673)</f>
        <v>9216.41</v>
      </c>
      <c r="H674" s="3" t="str">
        <f aca="false">PROPER('1. Raw Data'!H673)</f>
        <v>No</v>
      </c>
      <c r="I674" s="3" t="n">
        <f aca="false">'1. Raw Data'!I673</f>
        <v>4</v>
      </c>
      <c r="J674" s="3" t="n">
        <f aca="false">'1. Raw Data'!J673</f>
        <v>4</v>
      </c>
      <c r="K674" s="3" t="n">
        <f aca="false">'1. Raw Data'!K673</f>
        <v>8</v>
      </c>
      <c r="L674" s="3" t="n">
        <f aca="false">'1. Raw Data'!L673</f>
        <v>0</v>
      </c>
      <c r="M674" s="3" t="n">
        <f aca="false">'1. Raw Data'!M673</f>
        <v>1</v>
      </c>
      <c r="N674" s="3" t="str">
        <f aca="false">'1. Raw Data'!N673</f>
        <v>Yes</v>
      </c>
    </row>
    <row r="675" customFormat="false" ht="15" hidden="false" customHeight="false" outlineLevel="0" collapsed="false">
      <c r="A675" s="3" t="str">
        <f aca="false">'1. Raw Data'!A674</f>
        <v>EMP-0673</v>
      </c>
      <c r="B675" s="3" t="n">
        <f aca="false">'1. Raw Data'!B674</f>
        <v>41</v>
      </c>
      <c r="C675" s="3" t="str">
        <f aca="false">'1. Raw Data'!C674</f>
        <v>Finance</v>
      </c>
      <c r="D675" s="3" t="str">
        <f aca="false">'1. Raw Data'!D674</f>
        <v>Senior</v>
      </c>
      <c r="E675" s="3" t="str">
        <f aca="false">'1. Raw Data'!E674</f>
        <v>Business</v>
      </c>
      <c r="F675" s="3" t="n">
        <f aca="false">'1. Raw Data'!F674</f>
        <v>7.9</v>
      </c>
      <c r="G675" s="3" t="n">
        <f aca="false">IF('1. Raw Data'!G674="",ROUND(IFERROR(AVERAGEIFS('1. Raw Data'!G2:G1201,'1. Raw Data'!C2:C1201,'1. Raw Data'!C674,'1. Raw Data'!D2:D1201,'1. Raw Data'!D674),0),2),'1. Raw Data'!G674)</f>
        <v>8069.24</v>
      </c>
      <c r="H675" s="3" t="str">
        <f aca="false">PROPER('1. Raw Data'!H674)</f>
        <v>Yes</v>
      </c>
      <c r="I675" s="3" t="n">
        <f aca="false">'1. Raw Data'!I674</f>
        <v>2</v>
      </c>
      <c r="J675" s="3" t="n">
        <f aca="false">'1. Raw Data'!J674</f>
        <v>3</v>
      </c>
      <c r="K675" s="3" t="n">
        <f aca="false">'1. Raw Data'!K674</f>
        <v>2</v>
      </c>
      <c r="L675" s="3" t="n">
        <f aca="false">'1. Raw Data'!L674</f>
        <v>1</v>
      </c>
      <c r="M675" s="3" t="n">
        <f aca="false">'1. Raw Data'!M674</f>
        <v>1</v>
      </c>
      <c r="N675" s="3" t="str">
        <f aca="false">'1. Raw Data'!N674</f>
        <v>No</v>
      </c>
    </row>
    <row r="676" customFormat="false" ht="15" hidden="false" customHeight="false" outlineLevel="0" collapsed="false">
      <c r="A676" s="3" t="str">
        <f aca="false">'1. Raw Data'!A675</f>
        <v>EMP-0674</v>
      </c>
      <c r="B676" s="3" t="n">
        <f aca="false">'1. Raw Data'!B675</f>
        <v>33</v>
      </c>
      <c r="C676" s="3" t="str">
        <f aca="false">'1. Raw Data'!C675</f>
        <v>Sales</v>
      </c>
      <c r="D676" s="3" t="str">
        <f aca="false">'1. Raw Data'!D675</f>
        <v>Mid</v>
      </c>
      <c r="E676" s="3" t="str">
        <f aca="false">'1. Raw Data'!E675</f>
        <v>Marketing</v>
      </c>
      <c r="F676" s="3" t="n">
        <f aca="false">'1. Raw Data'!F675</f>
        <v>1.6</v>
      </c>
      <c r="G676" s="3" t="n">
        <f aca="false">IF('1. Raw Data'!G675="",ROUND(IFERROR(AVERAGEIFS('1. Raw Data'!G2:G1201,'1. Raw Data'!C2:C1201,'1. Raw Data'!C675,'1. Raw Data'!D2:D1201,'1. Raw Data'!D675),0),2),'1. Raw Data'!G675)</f>
        <v>5542.56</v>
      </c>
      <c r="H676" s="3" t="str">
        <f aca="false">PROPER('1. Raw Data'!H675)</f>
        <v>No</v>
      </c>
      <c r="I676" s="3" t="n">
        <f aca="false">'1. Raw Data'!I675</f>
        <v>3</v>
      </c>
      <c r="J676" s="3" t="n">
        <f aca="false">'1. Raw Data'!J675</f>
        <v>1</v>
      </c>
      <c r="K676" s="3" t="n">
        <f aca="false">'1. Raw Data'!K675</f>
        <v>8</v>
      </c>
      <c r="L676" s="3" t="n">
        <f aca="false">'1. Raw Data'!L675</f>
        <v>0</v>
      </c>
      <c r="M676" s="3" t="n">
        <f aca="false">'1. Raw Data'!M675</f>
        <v>1</v>
      </c>
      <c r="N676" s="3" t="str">
        <f aca="false">'1. Raw Data'!N675</f>
        <v>Yes</v>
      </c>
    </row>
    <row r="677" customFormat="false" ht="15" hidden="false" customHeight="false" outlineLevel="0" collapsed="false">
      <c r="A677" s="3" t="str">
        <f aca="false">'1. Raw Data'!A676</f>
        <v>EMP-0675</v>
      </c>
      <c r="B677" s="3" t="n">
        <f aca="false">'1. Raw Data'!B676</f>
        <v>38</v>
      </c>
      <c r="C677" s="3" t="str">
        <f aca="false">'1. Raw Data'!C676</f>
        <v>Marketing</v>
      </c>
      <c r="D677" s="3" t="str">
        <f aca="false">'1. Raw Data'!D676</f>
        <v>Mid</v>
      </c>
      <c r="E677" s="3" t="str">
        <f aca="false">'1. Raw Data'!E676</f>
        <v>Business</v>
      </c>
      <c r="F677" s="3" t="n">
        <f aca="false">'1. Raw Data'!F676</f>
        <v>2.8</v>
      </c>
      <c r="G677" s="3" t="n">
        <f aca="false">IF('1. Raw Data'!G676="",ROUND(IFERROR(AVERAGEIFS('1. Raw Data'!G2:G1201,'1. Raw Data'!C2:C1201,'1. Raw Data'!C676,'1. Raw Data'!D2:D1201,'1. Raw Data'!D676),0),2),'1. Raw Data'!G676)</f>
        <v>5345.55</v>
      </c>
      <c r="H677" s="3" t="str">
        <f aca="false">PROPER('1. Raw Data'!H676)</f>
        <v>No</v>
      </c>
      <c r="I677" s="3" t="n">
        <f aca="false">'1. Raw Data'!I676</f>
        <v>2</v>
      </c>
      <c r="J677" s="3" t="n">
        <f aca="false">'1. Raw Data'!J676</f>
        <v>4</v>
      </c>
      <c r="K677" s="3" t="n">
        <f aca="false">'1. Raw Data'!K676</f>
        <v>1</v>
      </c>
      <c r="L677" s="3" t="n">
        <f aca="false">'1. Raw Data'!L676</f>
        <v>0</v>
      </c>
      <c r="M677" s="3" t="n">
        <f aca="false">'1. Raw Data'!M676</f>
        <v>1</v>
      </c>
      <c r="N677" s="3" t="str">
        <f aca="false">'1. Raw Data'!N676</f>
        <v>No</v>
      </c>
    </row>
    <row r="678" customFormat="false" ht="15" hidden="false" customHeight="false" outlineLevel="0" collapsed="false">
      <c r="A678" s="3" t="str">
        <f aca="false">'1. Raw Data'!A677</f>
        <v>EMP-0676</v>
      </c>
      <c r="B678" s="3" t="n">
        <f aca="false">'1. Raw Data'!B677</f>
        <v>48</v>
      </c>
      <c r="C678" s="3" t="str">
        <f aca="false">'1. Raw Data'!C677</f>
        <v>Customer Support</v>
      </c>
      <c r="D678" s="3" t="str">
        <f aca="false">'1. Raw Data'!D677</f>
        <v>Junior</v>
      </c>
      <c r="E678" s="3" t="str">
        <f aca="false">'1. Raw Data'!E677</f>
        <v>Business</v>
      </c>
      <c r="F678" s="3" t="n">
        <f aca="false">'1. Raw Data'!F677</f>
        <v>0.1</v>
      </c>
      <c r="G678" s="3" t="n">
        <f aca="false">IF('1. Raw Data'!G677="",ROUND(IFERROR(AVERAGEIFS('1. Raw Data'!G2:G1201,'1. Raw Data'!C2:C1201,'1. Raw Data'!C677,'1. Raw Data'!D2:D1201,'1. Raw Data'!D677),0),2),'1. Raw Data'!G677)</f>
        <v>2852.41</v>
      </c>
      <c r="H678" s="3" t="str">
        <f aca="false">PROPER('1. Raw Data'!H677)</f>
        <v>Yes</v>
      </c>
      <c r="I678" s="3" t="n">
        <f aca="false">'1. Raw Data'!I677</f>
        <v>3</v>
      </c>
      <c r="J678" s="3" t="n">
        <f aca="false">'1. Raw Data'!J677</f>
        <v>3</v>
      </c>
      <c r="K678" s="3" t="n">
        <f aca="false">'1. Raw Data'!K677</f>
        <v>6</v>
      </c>
      <c r="L678" s="3" t="n">
        <f aca="false">'1. Raw Data'!L677</f>
        <v>0</v>
      </c>
      <c r="M678" s="3" t="n">
        <f aca="false">'1. Raw Data'!M677</f>
        <v>1</v>
      </c>
      <c r="N678" s="3" t="str">
        <f aca="false">'1. Raw Data'!N677</f>
        <v>Yes</v>
      </c>
    </row>
    <row r="679" customFormat="false" ht="15" hidden="false" customHeight="false" outlineLevel="0" collapsed="false">
      <c r="A679" s="3" t="str">
        <f aca="false">'1. Raw Data'!A678</f>
        <v>EMP-0677</v>
      </c>
      <c r="B679" s="3" t="n">
        <f aca="false">'1. Raw Data'!B678</f>
        <v>21</v>
      </c>
      <c r="C679" s="3" t="str">
        <f aca="false">'1. Raw Data'!C678</f>
        <v>Engineering</v>
      </c>
      <c r="D679" s="3" t="str">
        <f aca="false">'1. Raw Data'!D678</f>
        <v>Lead</v>
      </c>
      <c r="E679" s="3" t="str">
        <f aca="false">'1. Raw Data'!E678</f>
        <v>Marketing</v>
      </c>
      <c r="F679" s="3" t="n">
        <f aca="false">'1. Raw Data'!F678</f>
        <v>0</v>
      </c>
      <c r="G679" s="3" t="n">
        <f aca="false">IF('1. Raw Data'!G678="",ROUND(IFERROR(AVERAGEIFS('1. Raw Data'!G2:G1201,'1. Raw Data'!C2:C1201,'1. Raw Data'!C678,'1. Raw Data'!D2:D1201,'1. Raw Data'!D678),0),2),'1. Raw Data'!G678)</f>
        <v>8876.83</v>
      </c>
      <c r="H679" s="3" t="str">
        <f aca="false">PROPER('1. Raw Data'!H678)</f>
        <v>No</v>
      </c>
      <c r="I679" s="3" t="n">
        <f aca="false">'1. Raw Data'!I678</f>
        <v>3</v>
      </c>
      <c r="J679" s="3" t="n">
        <f aca="false">'1. Raw Data'!J678</f>
        <v>2</v>
      </c>
      <c r="K679" s="3" t="n">
        <f aca="false">'1. Raw Data'!K678</f>
        <v>11</v>
      </c>
      <c r="L679" s="3" t="n">
        <f aca="false">'1. Raw Data'!L678</f>
        <v>0</v>
      </c>
      <c r="M679" s="3" t="n">
        <f aca="false">'1. Raw Data'!M678</f>
        <v>2</v>
      </c>
      <c r="N679" s="3" t="str">
        <f aca="false">'1. Raw Data'!N678</f>
        <v>No</v>
      </c>
    </row>
    <row r="680" customFormat="false" ht="15" hidden="false" customHeight="false" outlineLevel="0" collapsed="false">
      <c r="A680" s="3" t="str">
        <f aca="false">'1. Raw Data'!A679</f>
        <v>EMP-0678</v>
      </c>
      <c r="B680" s="3" t="n">
        <f aca="false">'1. Raw Data'!B679</f>
        <v>29</v>
      </c>
      <c r="C680" s="3" t="str">
        <f aca="false">'1. Raw Data'!C679</f>
        <v>Sales</v>
      </c>
      <c r="D680" s="3" t="str">
        <f aca="false">'1. Raw Data'!D679</f>
        <v>Junior</v>
      </c>
      <c r="E680" s="3" t="str">
        <f aca="false">'1. Raw Data'!E679</f>
        <v>Technical</v>
      </c>
      <c r="F680" s="3" t="n">
        <f aca="false">'1. Raw Data'!F679</f>
        <v>0.1</v>
      </c>
      <c r="G680" s="3" t="n">
        <f aca="false">IF('1. Raw Data'!G679="",ROUND(IFERROR(AVERAGEIFS('1. Raw Data'!G2:G1201,'1. Raw Data'!C2:C1201,'1. Raw Data'!C679,'1. Raw Data'!D2:D1201,'1. Raw Data'!D679),0),2),'1. Raw Data'!G679)</f>
        <v>2785.21</v>
      </c>
      <c r="H680" s="3" t="str">
        <f aca="false">PROPER('1. Raw Data'!H679)</f>
        <v>Yes</v>
      </c>
      <c r="I680" s="3" t="n">
        <f aca="false">'1. Raw Data'!I679</f>
        <v>3</v>
      </c>
      <c r="J680" s="3" t="n">
        <f aca="false">'1. Raw Data'!J679</f>
        <v>3</v>
      </c>
      <c r="K680" s="3" t="n">
        <f aca="false">'1. Raw Data'!K679</f>
        <v>14</v>
      </c>
      <c r="L680" s="3" t="n">
        <f aca="false">'1. Raw Data'!L679</f>
        <v>0</v>
      </c>
      <c r="M680" s="3" t="n">
        <f aca="false">'1. Raw Data'!M679</f>
        <v>1</v>
      </c>
      <c r="N680" s="3" t="str">
        <f aca="false">'1. Raw Data'!N679</f>
        <v>Yes</v>
      </c>
    </row>
    <row r="681" customFormat="false" ht="15" hidden="false" customHeight="false" outlineLevel="0" collapsed="false">
      <c r="A681" s="3" t="str">
        <f aca="false">'1. Raw Data'!A680</f>
        <v>EMP-0679</v>
      </c>
      <c r="B681" s="3" t="n">
        <f aca="false">'1. Raw Data'!B680</f>
        <v>38</v>
      </c>
      <c r="C681" s="3" t="str">
        <f aca="false">'1. Raw Data'!C680</f>
        <v>Sales</v>
      </c>
      <c r="D681" s="3" t="str">
        <f aca="false">'1. Raw Data'!D680</f>
        <v>Mid</v>
      </c>
      <c r="E681" s="3" t="str">
        <f aca="false">'1. Raw Data'!E680</f>
        <v>Marketing</v>
      </c>
      <c r="F681" s="3" t="n">
        <f aca="false">'1. Raw Data'!F680</f>
        <v>3.3</v>
      </c>
      <c r="G681" s="3" t="n">
        <f aca="false">IF('1. Raw Data'!G680="",ROUND(IFERROR(AVERAGEIFS('1. Raw Data'!G2:G1201,'1. Raw Data'!C2:C1201,'1. Raw Data'!C680,'1. Raw Data'!D2:D1201,'1. Raw Data'!D680),0),2),'1. Raw Data'!G680)</f>
        <v>5394.27</v>
      </c>
      <c r="H681" s="3" t="str">
        <f aca="false">PROPER('1. Raw Data'!H680)</f>
        <v>Yes</v>
      </c>
      <c r="I681" s="3" t="n">
        <f aca="false">'1. Raw Data'!I680</f>
        <v>2</v>
      </c>
      <c r="J681" s="3" t="n">
        <f aca="false">'1. Raw Data'!J680</f>
        <v>3</v>
      </c>
      <c r="K681" s="3" t="n">
        <f aca="false">'1. Raw Data'!K680</f>
        <v>2</v>
      </c>
      <c r="L681" s="3" t="n">
        <f aca="false">'1. Raw Data'!L680</f>
        <v>2</v>
      </c>
      <c r="M681" s="3" t="n">
        <f aca="false">'1. Raw Data'!M680</f>
        <v>1</v>
      </c>
      <c r="N681" s="3" t="str">
        <f aca="false">'1. Raw Data'!N680</f>
        <v>Yes</v>
      </c>
    </row>
    <row r="682" customFormat="false" ht="15" hidden="false" customHeight="false" outlineLevel="0" collapsed="false">
      <c r="A682" s="3" t="str">
        <f aca="false">'1. Raw Data'!A681</f>
        <v>EMP-0680</v>
      </c>
      <c r="B682" s="3" t="n">
        <f aca="false">'1. Raw Data'!B681</f>
        <v>34</v>
      </c>
      <c r="C682" s="3" t="str">
        <f aca="false">'1. Raw Data'!C681</f>
        <v>Sales</v>
      </c>
      <c r="D682" s="3" t="str">
        <f aca="false">'1. Raw Data'!D681</f>
        <v>Mid</v>
      </c>
      <c r="E682" s="3" t="str">
        <f aca="false">'1. Raw Data'!E681</f>
        <v>Technical</v>
      </c>
      <c r="F682" s="3" t="n">
        <f aca="false">'1. Raw Data'!F681</f>
        <v>6.9</v>
      </c>
      <c r="G682" s="3" t="n">
        <f aca="false">IF('1. Raw Data'!G681="",ROUND(IFERROR(AVERAGEIFS('1. Raw Data'!G2:G1201,'1. Raw Data'!C2:C1201,'1. Raw Data'!C681,'1. Raw Data'!D2:D1201,'1. Raw Data'!D681),0),2),'1. Raw Data'!G681)</f>
        <v>5625.05</v>
      </c>
      <c r="H682" s="3" t="str">
        <f aca="false">PROPER('1. Raw Data'!H681)</f>
        <v>Yes</v>
      </c>
      <c r="I682" s="3" t="n">
        <f aca="false">'1. Raw Data'!I681</f>
        <v>1</v>
      </c>
      <c r="J682" s="3" t="n">
        <f aca="false">'1. Raw Data'!J681</f>
        <v>4</v>
      </c>
      <c r="K682" s="3" t="n">
        <f aca="false">'1. Raw Data'!K681</f>
        <v>17</v>
      </c>
      <c r="L682" s="3" t="n">
        <f aca="false">'1. Raw Data'!L681</f>
        <v>4</v>
      </c>
      <c r="M682" s="3" t="n">
        <f aca="false">'1. Raw Data'!M681</f>
        <v>1</v>
      </c>
      <c r="N682" s="3" t="str">
        <f aca="false">'1. Raw Data'!N681</f>
        <v>No</v>
      </c>
    </row>
    <row r="683" customFormat="false" ht="15" hidden="false" customHeight="false" outlineLevel="0" collapsed="false">
      <c r="A683" s="3" t="str">
        <f aca="false">'1. Raw Data'!A682</f>
        <v>EMP-0681</v>
      </c>
      <c r="B683" s="3" t="n">
        <f aca="false">'1. Raw Data'!B682</f>
        <v>40</v>
      </c>
      <c r="C683" s="3" t="str">
        <f aca="false">'1. Raw Data'!C682</f>
        <v>Engineering</v>
      </c>
      <c r="D683" s="3" t="str">
        <f aca="false">'1. Raw Data'!D682</f>
        <v>Mid</v>
      </c>
      <c r="E683" s="3" t="str">
        <f aca="false">'1. Raw Data'!E682</f>
        <v>Marketing</v>
      </c>
      <c r="F683" s="3" t="n">
        <f aca="false">'1. Raw Data'!F682</f>
        <v>1.8</v>
      </c>
      <c r="G683" s="3" t="n">
        <f aca="false">IF('1. Raw Data'!G682="",ROUND(IFERROR(AVERAGEIFS('1. Raw Data'!G2:G1201,'1. Raw Data'!C2:C1201,'1. Raw Data'!C682,'1. Raw Data'!D2:D1201,'1. Raw Data'!D682),0),2),'1. Raw Data'!G682)</f>
        <v>5302.31</v>
      </c>
      <c r="H683" s="3" t="str">
        <f aca="false">PROPER('1. Raw Data'!H682)</f>
        <v>No</v>
      </c>
      <c r="I683" s="3" t="n">
        <f aca="false">'1. Raw Data'!I682</f>
        <v>3</v>
      </c>
      <c r="J683" s="3" t="n">
        <f aca="false">'1. Raw Data'!J682</f>
        <v>4</v>
      </c>
      <c r="K683" s="3" t="n">
        <f aca="false">'1. Raw Data'!K682</f>
        <v>12</v>
      </c>
      <c r="L683" s="3" t="n">
        <f aca="false">'1. Raw Data'!L682</f>
        <v>0</v>
      </c>
      <c r="M683" s="3" t="n">
        <f aca="false">'1. Raw Data'!M682</f>
        <v>2</v>
      </c>
      <c r="N683" s="3" t="str">
        <f aca="false">'1. Raw Data'!N682</f>
        <v>No</v>
      </c>
    </row>
    <row r="684" customFormat="false" ht="15" hidden="false" customHeight="false" outlineLevel="0" collapsed="false">
      <c r="A684" s="3" t="str">
        <f aca="false">'1. Raw Data'!A683</f>
        <v>EMP-0682</v>
      </c>
      <c r="B684" s="3" t="n">
        <f aca="false">'1. Raw Data'!B683</f>
        <v>46</v>
      </c>
      <c r="C684" s="3" t="str">
        <f aca="false">'1. Raw Data'!C683</f>
        <v>Marketing</v>
      </c>
      <c r="D684" s="3" t="str">
        <f aca="false">'1. Raw Data'!D683</f>
        <v>Mid</v>
      </c>
      <c r="E684" s="3" t="str">
        <f aca="false">'1. Raw Data'!E683</f>
        <v>Marketing</v>
      </c>
      <c r="F684" s="3" t="n">
        <f aca="false">'1. Raw Data'!F683</f>
        <v>2</v>
      </c>
      <c r="G684" s="3" t="n">
        <f aca="false">IF('1. Raw Data'!G683="",ROUND(IFERROR(AVERAGEIFS('1. Raw Data'!G2:G1201,'1. Raw Data'!C2:C1201,'1. Raw Data'!C683,'1. Raw Data'!D2:D1201,'1. Raw Data'!D683),0),2),'1. Raw Data'!G683)</f>
        <v>4147.99</v>
      </c>
      <c r="H684" s="3" t="str">
        <f aca="false">PROPER('1. Raw Data'!H683)</f>
        <v>No</v>
      </c>
      <c r="I684" s="3" t="n">
        <f aca="false">'1. Raw Data'!I683</f>
        <v>3</v>
      </c>
      <c r="J684" s="3" t="n">
        <f aca="false">'1. Raw Data'!J683</f>
        <v>3</v>
      </c>
      <c r="K684" s="3" t="n">
        <f aca="false">'1. Raw Data'!K683</f>
        <v>1</v>
      </c>
      <c r="L684" s="3" t="n">
        <f aca="false">'1. Raw Data'!L683</f>
        <v>2</v>
      </c>
      <c r="M684" s="3" t="n">
        <f aca="false">'1. Raw Data'!M683</f>
        <v>2</v>
      </c>
      <c r="N684" s="3" t="str">
        <f aca="false">'1. Raw Data'!N683</f>
        <v>No</v>
      </c>
    </row>
    <row r="685" customFormat="false" ht="15" hidden="false" customHeight="false" outlineLevel="0" collapsed="false">
      <c r="A685" s="3" t="str">
        <f aca="false">'1. Raw Data'!A684</f>
        <v>EMP-0683</v>
      </c>
      <c r="B685" s="3" t="n">
        <f aca="false">'1. Raw Data'!B684</f>
        <v>36</v>
      </c>
      <c r="C685" s="3" t="str">
        <f aca="false">'1. Raw Data'!C684</f>
        <v>Sales</v>
      </c>
      <c r="D685" s="3" t="str">
        <f aca="false">'1. Raw Data'!D684</f>
        <v>Junior</v>
      </c>
      <c r="E685" s="3" t="str">
        <f aca="false">'1. Raw Data'!E684</f>
        <v>Marketing</v>
      </c>
      <c r="F685" s="3" t="n">
        <f aca="false">'1. Raw Data'!F684</f>
        <v>0.7</v>
      </c>
      <c r="G685" s="3" t="n">
        <f aca="false">IF('1. Raw Data'!G684="",ROUND(IFERROR(AVERAGEIFS('1. Raw Data'!G2:G1201,'1. Raw Data'!C2:C1201,'1. Raw Data'!C684,'1. Raw Data'!D2:D1201,'1. Raw Data'!D684),0),2),'1. Raw Data'!G684)</f>
        <v>2987.13</v>
      </c>
      <c r="H685" s="3" t="str">
        <f aca="false">PROPER('1. Raw Data'!H684)</f>
        <v>No</v>
      </c>
      <c r="I685" s="3" t="n">
        <f aca="false">'1. Raw Data'!I684</f>
        <v>1</v>
      </c>
      <c r="J685" s="3" t="n">
        <f aca="false">'1. Raw Data'!J684</f>
        <v>4</v>
      </c>
      <c r="K685" s="3" t="n">
        <f aca="false">'1. Raw Data'!K684</f>
        <v>32</v>
      </c>
      <c r="L685" s="3" t="n">
        <f aca="false">'1. Raw Data'!L684</f>
        <v>0</v>
      </c>
      <c r="M685" s="3" t="n">
        <f aca="false">'1. Raw Data'!M684</f>
        <v>1</v>
      </c>
      <c r="N685" s="3" t="str">
        <f aca="false">'1. Raw Data'!N684</f>
        <v>Yes</v>
      </c>
    </row>
    <row r="686" customFormat="false" ht="15" hidden="false" customHeight="false" outlineLevel="0" collapsed="false">
      <c r="A686" s="3" t="str">
        <f aca="false">'1. Raw Data'!A685</f>
        <v>EMP-0684</v>
      </c>
      <c r="B686" s="3" t="n">
        <f aca="false">'1. Raw Data'!B685</f>
        <v>35</v>
      </c>
      <c r="C686" s="3" t="str">
        <f aca="false">'1. Raw Data'!C685</f>
        <v>Finance</v>
      </c>
      <c r="D686" s="3" t="str">
        <f aca="false">'1. Raw Data'!D685</f>
        <v>Mid</v>
      </c>
      <c r="E686" s="3" t="str">
        <f aca="false">'1. Raw Data'!E685</f>
        <v>Technical</v>
      </c>
      <c r="F686" s="3" t="n">
        <f aca="false">'1. Raw Data'!F685</f>
        <v>0.3</v>
      </c>
      <c r="G686" s="3" t="n">
        <f aca="false">IF('1. Raw Data'!G685="",ROUND(IFERROR(AVERAGEIFS('1. Raw Data'!G2:G1201,'1. Raw Data'!C2:C1201,'1. Raw Data'!C685,'1. Raw Data'!D2:D1201,'1. Raw Data'!D685),0),2),'1. Raw Data'!G685)</f>
        <v>4757.62</v>
      </c>
      <c r="H686" s="3" t="str">
        <f aca="false">PROPER('1. Raw Data'!H685)</f>
        <v>No</v>
      </c>
      <c r="I686" s="3" t="n">
        <f aca="false">'1. Raw Data'!I685</f>
        <v>3</v>
      </c>
      <c r="J686" s="3" t="n">
        <f aca="false">'1. Raw Data'!J685</f>
        <v>3</v>
      </c>
      <c r="K686" s="3" t="n">
        <f aca="false">'1. Raw Data'!K685</f>
        <v>8</v>
      </c>
      <c r="L686" s="3" t="n">
        <f aca="false">'1. Raw Data'!L685</f>
        <v>0</v>
      </c>
      <c r="M686" s="3" t="n">
        <f aca="false">'1. Raw Data'!M685</f>
        <v>2</v>
      </c>
      <c r="N686" s="3" t="str">
        <f aca="false">'1. Raw Data'!N685</f>
        <v>Yes</v>
      </c>
    </row>
    <row r="687" customFormat="false" ht="15" hidden="false" customHeight="false" outlineLevel="0" collapsed="false">
      <c r="A687" s="3" t="str">
        <f aca="false">'1. Raw Data'!A686</f>
        <v>EMP-0685</v>
      </c>
      <c r="B687" s="3" t="n">
        <f aca="false">'1. Raw Data'!B686</f>
        <v>28</v>
      </c>
      <c r="C687" s="3" t="str">
        <f aca="false">'1. Raw Data'!C686</f>
        <v>Customer Support</v>
      </c>
      <c r="D687" s="3" t="str">
        <f aca="false">'1. Raw Data'!D686</f>
        <v>Junior</v>
      </c>
      <c r="E687" s="3" t="str">
        <f aca="false">'1. Raw Data'!E686</f>
        <v>Marketing</v>
      </c>
      <c r="F687" s="3" t="n">
        <f aca="false">'1. Raw Data'!F686</f>
        <v>0.5</v>
      </c>
      <c r="G687" s="3" t="n">
        <f aca="false">IF('1. Raw Data'!G686="",ROUND(IFERROR(AVERAGEIFS('1. Raw Data'!G2:G1201,'1. Raw Data'!C2:C1201,'1. Raw Data'!C686,'1. Raw Data'!D2:D1201,'1. Raw Data'!D686),0),2),'1. Raw Data'!G686)</f>
        <v>2798.52</v>
      </c>
      <c r="H687" s="3" t="str">
        <f aca="false">PROPER('1. Raw Data'!H686)</f>
        <v>No</v>
      </c>
      <c r="I687" s="3" t="n">
        <f aca="false">'1. Raw Data'!I686</f>
        <v>2</v>
      </c>
      <c r="J687" s="3" t="n">
        <f aca="false">'1. Raw Data'!J686</f>
        <v>3</v>
      </c>
      <c r="K687" s="3" t="n">
        <f aca="false">'1. Raw Data'!K686</f>
        <v>1</v>
      </c>
      <c r="L687" s="3" t="n">
        <f aca="false">'1. Raw Data'!L686</f>
        <v>0</v>
      </c>
      <c r="M687" s="3" t="n">
        <f aca="false">'1. Raw Data'!M686</f>
        <v>2</v>
      </c>
      <c r="N687" s="3" t="str">
        <f aca="false">'1. Raw Data'!N686</f>
        <v>No</v>
      </c>
    </row>
    <row r="688" customFormat="false" ht="15" hidden="false" customHeight="false" outlineLevel="0" collapsed="false">
      <c r="A688" s="3" t="str">
        <f aca="false">'1. Raw Data'!A687</f>
        <v>EMP-0686</v>
      </c>
      <c r="B688" s="3" t="n">
        <f aca="false">'1. Raw Data'!B687</f>
        <v>31</v>
      </c>
      <c r="C688" s="3" t="str">
        <f aca="false">'1. Raw Data'!C687</f>
        <v>Engineering</v>
      </c>
      <c r="D688" s="3" t="str">
        <f aca="false">'1. Raw Data'!D687</f>
        <v>Mid</v>
      </c>
      <c r="E688" s="3" t="str">
        <f aca="false">'1. Raw Data'!E687</f>
        <v>Other</v>
      </c>
      <c r="F688" s="3" t="n">
        <f aca="false">'1. Raw Data'!F687</f>
        <v>0.5</v>
      </c>
      <c r="G688" s="3" t="n">
        <f aca="false">IF('1. Raw Data'!G687="",ROUND(IFERROR(AVERAGEIFS('1. Raw Data'!G2:G1201,'1. Raw Data'!C2:C1201,'1. Raw Data'!C687,'1. Raw Data'!D2:D1201,'1. Raw Data'!D687),0),2),'1. Raw Data'!G687)</f>
        <v>5175.58</v>
      </c>
      <c r="H688" s="3" t="str">
        <f aca="false">PROPER('1. Raw Data'!H687)</f>
        <v>No</v>
      </c>
      <c r="I688" s="3" t="n">
        <f aca="false">'1. Raw Data'!I687</f>
        <v>1</v>
      </c>
      <c r="J688" s="3" t="n">
        <f aca="false">'1. Raw Data'!J687</f>
        <v>2</v>
      </c>
      <c r="K688" s="3" t="n">
        <f aca="false">'1. Raw Data'!K687</f>
        <v>1</v>
      </c>
      <c r="L688" s="3" t="n">
        <f aca="false">'1. Raw Data'!L687</f>
        <v>0</v>
      </c>
      <c r="M688" s="3" t="n">
        <f aca="false">'1. Raw Data'!M687</f>
        <v>1</v>
      </c>
      <c r="N688" s="3" t="str">
        <f aca="false">'1. Raw Data'!N687</f>
        <v>Yes</v>
      </c>
    </row>
    <row r="689" customFormat="false" ht="15" hidden="false" customHeight="false" outlineLevel="0" collapsed="false">
      <c r="A689" s="3" t="str">
        <f aca="false">'1. Raw Data'!A688</f>
        <v>EMP-0687</v>
      </c>
      <c r="B689" s="3" t="n">
        <f aca="false">'1. Raw Data'!B688</f>
        <v>36</v>
      </c>
      <c r="C689" s="3" t="str">
        <f aca="false">'1. Raw Data'!C688</f>
        <v>Engineering</v>
      </c>
      <c r="D689" s="3" t="str">
        <f aca="false">'1. Raw Data'!D688</f>
        <v>Junior</v>
      </c>
      <c r="E689" s="3" t="str">
        <f aca="false">'1. Raw Data'!E688</f>
        <v>Technical</v>
      </c>
      <c r="F689" s="3" t="n">
        <f aca="false">'1. Raw Data'!F688</f>
        <v>2.7</v>
      </c>
      <c r="G689" s="3" t="n">
        <f aca="false">IF('1. Raw Data'!G688="",ROUND(IFERROR(AVERAGEIFS('1. Raw Data'!G2:G1201,'1. Raw Data'!C2:C1201,'1. Raw Data'!C688,'1. Raw Data'!D2:D1201,'1. Raw Data'!D688),0),2),'1. Raw Data'!G688)</f>
        <v>3560.98</v>
      </c>
      <c r="H689" s="3" t="str">
        <f aca="false">PROPER('1. Raw Data'!H688)</f>
        <v>No</v>
      </c>
      <c r="I689" s="3" t="n">
        <f aca="false">'1. Raw Data'!I688</f>
        <v>2</v>
      </c>
      <c r="J689" s="3" t="n">
        <f aca="false">'1. Raw Data'!J688</f>
        <v>2</v>
      </c>
      <c r="K689" s="3" t="n">
        <f aca="false">'1. Raw Data'!K688</f>
        <v>13</v>
      </c>
      <c r="L689" s="3" t="n">
        <f aca="false">'1. Raw Data'!L688</f>
        <v>2</v>
      </c>
      <c r="M689" s="3" t="n">
        <f aca="false">'1. Raw Data'!M688</f>
        <v>3</v>
      </c>
      <c r="N689" s="3" t="str">
        <f aca="false">'1. Raw Data'!N688</f>
        <v>No</v>
      </c>
    </row>
    <row r="690" customFormat="false" ht="15" hidden="false" customHeight="false" outlineLevel="0" collapsed="false">
      <c r="A690" s="3" t="str">
        <f aca="false">'1. Raw Data'!A689</f>
        <v>EMP-0688</v>
      </c>
      <c r="B690" s="3" t="n">
        <f aca="false">'1. Raw Data'!B689</f>
        <v>36</v>
      </c>
      <c r="C690" s="3" t="str">
        <f aca="false">'1. Raw Data'!C689</f>
        <v>Engineering</v>
      </c>
      <c r="D690" s="3" t="str">
        <f aca="false">'1. Raw Data'!D689</f>
        <v>Junior</v>
      </c>
      <c r="E690" s="3" t="str">
        <f aca="false">'1. Raw Data'!E689</f>
        <v>Other</v>
      </c>
      <c r="F690" s="3" t="n">
        <f aca="false">'1. Raw Data'!F689</f>
        <v>1.4</v>
      </c>
      <c r="G690" s="3" t="n">
        <f aca="false">IF('1. Raw Data'!G689="",ROUND(IFERROR(AVERAGEIFS('1. Raw Data'!G2:G1201,'1. Raw Data'!C2:C1201,'1. Raw Data'!C689,'1. Raw Data'!D2:D1201,'1. Raw Data'!D689),0),2),'1. Raw Data'!G689)</f>
        <v>3416.43</v>
      </c>
      <c r="H690" s="3" t="str">
        <f aca="false">PROPER('1. Raw Data'!H689)</f>
        <v>Yes</v>
      </c>
      <c r="I690" s="3" t="n">
        <f aca="false">'1. Raw Data'!I689</f>
        <v>1</v>
      </c>
      <c r="J690" s="3" t="n">
        <f aca="false">'1. Raw Data'!J689</f>
        <v>4</v>
      </c>
      <c r="K690" s="3" t="n">
        <f aca="false">'1. Raw Data'!K689</f>
        <v>1</v>
      </c>
      <c r="L690" s="3" t="n">
        <f aca="false">'1. Raw Data'!L689</f>
        <v>1</v>
      </c>
      <c r="M690" s="3" t="n">
        <f aca="false">'1. Raw Data'!M689</f>
        <v>1</v>
      </c>
      <c r="N690" s="3" t="str">
        <f aca="false">'1. Raw Data'!N689</f>
        <v>Yes</v>
      </c>
    </row>
    <row r="691" customFormat="false" ht="15" hidden="false" customHeight="false" outlineLevel="0" collapsed="false">
      <c r="A691" s="3" t="str">
        <f aca="false">'1. Raw Data'!A690</f>
        <v>EMP-0689</v>
      </c>
      <c r="B691" s="3" t="n">
        <f aca="false">'1. Raw Data'!B690</f>
        <v>27</v>
      </c>
      <c r="C691" s="3" t="str">
        <f aca="false">'1. Raw Data'!C690</f>
        <v>Marketing</v>
      </c>
      <c r="D691" s="3" t="str">
        <f aca="false">'1. Raw Data'!D690</f>
        <v>Mid</v>
      </c>
      <c r="E691" s="3" t="str">
        <f aca="false">'1. Raw Data'!E690</f>
        <v>Marketing</v>
      </c>
      <c r="F691" s="3" t="n">
        <f aca="false">'1. Raw Data'!F690</f>
        <v>4.4</v>
      </c>
      <c r="G691" s="3" t="n">
        <f aca="false">IF('1. Raw Data'!G690="",ROUND(IFERROR(AVERAGEIFS('1. Raw Data'!G2:G1201,'1. Raw Data'!C2:C1201,'1. Raw Data'!C690,'1. Raw Data'!D2:D1201,'1. Raw Data'!D690),0),2),'1. Raw Data'!G690)</f>
        <v>4510.76</v>
      </c>
      <c r="H691" s="3" t="str">
        <f aca="false">PROPER('1. Raw Data'!H690)</f>
        <v>No</v>
      </c>
      <c r="I691" s="3" t="n">
        <f aca="false">'1. Raw Data'!I690</f>
        <v>4</v>
      </c>
      <c r="J691" s="3" t="n">
        <f aca="false">'1. Raw Data'!J690</f>
        <v>2</v>
      </c>
      <c r="K691" s="3" t="n">
        <f aca="false">'1. Raw Data'!K690</f>
        <v>1</v>
      </c>
      <c r="L691" s="3" t="n">
        <f aca="false">'1. Raw Data'!L690</f>
        <v>0</v>
      </c>
      <c r="M691" s="3" t="n">
        <f aca="false">'1. Raw Data'!M690</f>
        <v>4</v>
      </c>
      <c r="N691" s="3" t="str">
        <f aca="false">'1. Raw Data'!N690</f>
        <v>No</v>
      </c>
    </row>
    <row r="692" customFormat="false" ht="15" hidden="false" customHeight="false" outlineLevel="0" collapsed="false">
      <c r="A692" s="3" t="str">
        <f aca="false">'1. Raw Data'!A691</f>
        <v>EMP-0690</v>
      </c>
      <c r="B692" s="3" t="n">
        <f aca="false">'1. Raw Data'!B691</f>
        <v>35</v>
      </c>
      <c r="C692" s="3" t="str">
        <f aca="false">'1. Raw Data'!C691</f>
        <v>Sales</v>
      </c>
      <c r="D692" s="3" t="str">
        <f aca="false">'1. Raw Data'!D691</f>
        <v>Lead</v>
      </c>
      <c r="E692" s="3" t="str">
        <f aca="false">'1. Raw Data'!E691</f>
        <v>Marketing</v>
      </c>
      <c r="F692" s="3" t="n">
        <f aca="false">'1. Raw Data'!F691</f>
        <v>1.6</v>
      </c>
      <c r="G692" s="3" t="n">
        <f aca="false">IF('1. Raw Data'!G691="",ROUND(IFERROR(AVERAGEIFS('1. Raw Data'!G2:G1201,'1. Raw Data'!C2:C1201,'1. Raw Data'!C691,'1. Raw Data'!D2:D1201,'1. Raw Data'!D691),0),2),'1. Raw Data'!G691)</f>
        <v>11325.24</v>
      </c>
      <c r="H692" s="3" t="str">
        <f aca="false">PROPER('1. Raw Data'!H691)</f>
        <v>Yes</v>
      </c>
      <c r="I692" s="3" t="n">
        <f aca="false">'1. Raw Data'!I691</f>
        <v>3</v>
      </c>
      <c r="J692" s="3" t="n">
        <f aca="false">'1. Raw Data'!J691</f>
        <v>4</v>
      </c>
      <c r="K692" s="3" t="n">
        <f aca="false">'1. Raw Data'!K691</f>
        <v>9</v>
      </c>
      <c r="L692" s="3" t="n">
        <f aca="false">'1. Raw Data'!L691</f>
        <v>1</v>
      </c>
      <c r="M692" s="3" t="n">
        <f aca="false">'1. Raw Data'!M691</f>
        <v>2</v>
      </c>
      <c r="N692" s="3" t="str">
        <f aca="false">'1. Raw Data'!N691</f>
        <v>No</v>
      </c>
    </row>
    <row r="693" customFormat="false" ht="15" hidden="false" customHeight="false" outlineLevel="0" collapsed="false">
      <c r="A693" s="3" t="str">
        <f aca="false">'1. Raw Data'!A692</f>
        <v>EMP-0691</v>
      </c>
      <c r="B693" s="3" t="n">
        <f aca="false">'1. Raw Data'!B692</f>
        <v>21</v>
      </c>
      <c r="C693" s="3" t="str">
        <f aca="false">'1. Raw Data'!C692</f>
        <v>Customer Support</v>
      </c>
      <c r="D693" s="3" t="str">
        <f aca="false">'1. Raw Data'!D692</f>
        <v>Mid</v>
      </c>
      <c r="E693" s="3" t="str">
        <f aca="false">'1. Raw Data'!E692</f>
        <v>Marketing</v>
      </c>
      <c r="F693" s="3" t="n">
        <f aca="false">'1. Raw Data'!F692</f>
        <v>0</v>
      </c>
      <c r="G693" s="3" t="n">
        <f aca="false">IF('1. Raw Data'!G692="",ROUND(IFERROR(AVERAGEIFS('1. Raw Data'!G2:G1201,'1. Raw Data'!C2:C1201,'1. Raw Data'!C692,'1. Raw Data'!D2:D1201,'1. Raw Data'!D692),0),2),'1. Raw Data'!G692)</f>
        <v>4530.24</v>
      </c>
      <c r="H693" s="3" t="str">
        <f aca="false">PROPER('1. Raw Data'!H692)</f>
        <v>No</v>
      </c>
      <c r="I693" s="3" t="n">
        <f aca="false">'1. Raw Data'!I692</f>
        <v>3</v>
      </c>
      <c r="J693" s="3" t="n">
        <f aca="false">'1. Raw Data'!J692</f>
        <v>3</v>
      </c>
      <c r="K693" s="3" t="n">
        <f aca="false">'1. Raw Data'!K692</f>
        <v>7</v>
      </c>
      <c r="L693" s="3" t="n">
        <f aca="false">'1. Raw Data'!L692</f>
        <v>0</v>
      </c>
      <c r="M693" s="3" t="n">
        <f aca="false">'1. Raw Data'!M692</f>
        <v>0</v>
      </c>
      <c r="N693" s="3" t="str">
        <f aca="false">'1. Raw Data'!N692</f>
        <v>Yes</v>
      </c>
    </row>
    <row r="694" customFormat="false" ht="15" hidden="false" customHeight="false" outlineLevel="0" collapsed="false">
      <c r="A694" s="3" t="str">
        <f aca="false">'1. Raw Data'!A693</f>
        <v>EMP-0692</v>
      </c>
      <c r="B694" s="3" t="n">
        <f aca="false">'1. Raw Data'!B693</f>
        <v>21</v>
      </c>
      <c r="C694" s="3" t="str">
        <f aca="false">'1. Raw Data'!C693</f>
        <v>Marketing</v>
      </c>
      <c r="D694" s="3" t="str">
        <f aca="false">'1. Raw Data'!D693</f>
        <v>Junior</v>
      </c>
      <c r="E694" s="3" t="str">
        <f aca="false">'1. Raw Data'!E693</f>
        <v>Business</v>
      </c>
      <c r="F694" s="3" t="n">
        <f aca="false">'1. Raw Data'!F693</f>
        <v>0</v>
      </c>
      <c r="G694" s="3" t="n">
        <f aca="false">IF('1. Raw Data'!G693="",ROUND(IFERROR(AVERAGEIFS('1. Raw Data'!G2:G1201,'1. Raw Data'!C2:C1201,'1. Raw Data'!C693,'1. Raw Data'!D2:D1201,'1. Raw Data'!D693),0),2),'1. Raw Data'!G693)</f>
        <v>3481.88</v>
      </c>
      <c r="H694" s="3" t="str">
        <f aca="false">PROPER('1. Raw Data'!H693)</f>
        <v>Yes</v>
      </c>
      <c r="I694" s="3" t="n">
        <f aca="false">'1. Raw Data'!I693</f>
        <v>3</v>
      </c>
      <c r="J694" s="3" t="n">
        <f aca="false">'1. Raw Data'!J693</f>
        <v>4</v>
      </c>
      <c r="K694" s="3" t="n">
        <f aca="false">'1. Raw Data'!K693</f>
        <v>4</v>
      </c>
      <c r="L694" s="3" t="n">
        <f aca="false">'1. Raw Data'!L693</f>
        <v>0</v>
      </c>
      <c r="M694" s="3" t="n">
        <f aca="false">'1. Raw Data'!M693</f>
        <v>5</v>
      </c>
      <c r="N694" s="3" t="str">
        <f aca="false">'1. Raw Data'!N693</f>
        <v>No</v>
      </c>
    </row>
    <row r="695" customFormat="false" ht="15" hidden="false" customHeight="false" outlineLevel="0" collapsed="false">
      <c r="A695" s="3" t="str">
        <f aca="false">'1. Raw Data'!A694</f>
        <v>EMP-0693</v>
      </c>
      <c r="B695" s="3" t="n">
        <f aca="false">'1. Raw Data'!B694</f>
        <v>44</v>
      </c>
      <c r="C695" s="3" t="str">
        <f aca="false">'1. Raw Data'!C694</f>
        <v>Finance</v>
      </c>
      <c r="D695" s="3" t="str">
        <f aca="false">'1. Raw Data'!D694</f>
        <v>Junior</v>
      </c>
      <c r="E695" s="3" t="str">
        <f aca="false">'1. Raw Data'!E694</f>
        <v>Business</v>
      </c>
      <c r="F695" s="3" t="n">
        <f aca="false">'1. Raw Data'!F694</f>
        <v>3.5</v>
      </c>
      <c r="G695" s="3" t="n">
        <f aca="false">IF('1. Raw Data'!G694="",ROUND(IFERROR(AVERAGEIFS('1. Raw Data'!G2:G1201,'1. Raw Data'!C2:C1201,'1. Raw Data'!C694,'1. Raw Data'!D2:D1201,'1. Raw Data'!D694),0),2),'1. Raw Data'!G694)</f>
        <v>3032.47</v>
      </c>
      <c r="H695" s="3" t="str">
        <f aca="false">PROPER('1. Raw Data'!H694)</f>
        <v>No</v>
      </c>
      <c r="I695" s="3" t="n">
        <f aca="false">'1. Raw Data'!I694</f>
        <v>2</v>
      </c>
      <c r="J695" s="3" t="n">
        <f aca="false">'1. Raw Data'!J694</f>
        <v>4</v>
      </c>
      <c r="K695" s="3" t="n">
        <f aca="false">'1. Raw Data'!K694</f>
        <v>1</v>
      </c>
      <c r="L695" s="3" t="n">
        <f aca="false">'1. Raw Data'!L694</f>
        <v>2</v>
      </c>
      <c r="M695" s="3" t="n">
        <f aca="false">'1. Raw Data'!M694</f>
        <v>2</v>
      </c>
      <c r="N695" s="3" t="str">
        <f aca="false">'1. Raw Data'!N694</f>
        <v>No</v>
      </c>
    </row>
    <row r="696" customFormat="false" ht="15" hidden="false" customHeight="false" outlineLevel="0" collapsed="false">
      <c r="A696" s="3" t="str">
        <f aca="false">'1. Raw Data'!A695</f>
        <v>EMP-0694</v>
      </c>
      <c r="B696" s="3" t="n">
        <f aca="false">'1. Raw Data'!B695</f>
        <v>51</v>
      </c>
      <c r="C696" s="3" t="str">
        <f aca="false">'1. Raw Data'!C695</f>
        <v>Customer Support</v>
      </c>
      <c r="D696" s="3" t="str">
        <f aca="false">'1. Raw Data'!D695</f>
        <v>Junior</v>
      </c>
      <c r="E696" s="3" t="str">
        <f aca="false">'1. Raw Data'!E695</f>
        <v>Business</v>
      </c>
      <c r="F696" s="3" t="n">
        <f aca="false">'1. Raw Data'!F695</f>
        <v>0.2</v>
      </c>
      <c r="G696" s="3" t="n">
        <f aca="false">IF('1. Raw Data'!G695="",ROUND(IFERROR(AVERAGEIFS('1. Raw Data'!G2:G1201,'1. Raw Data'!C2:C1201,'1. Raw Data'!C695,'1. Raw Data'!D2:D1201,'1. Raw Data'!D695),0),2),'1. Raw Data'!G695)</f>
        <v>2874.16</v>
      </c>
      <c r="H696" s="3" t="str">
        <f aca="false">PROPER('1. Raw Data'!H695)</f>
        <v>Yes</v>
      </c>
      <c r="I696" s="3" t="n">
        <f aca="false">'1. Raw Data'!I695</f>
        <v>4</v>
      </c>
      <c r="J696" s="3" t="n">
        <f aca="false">'1. Raw Data'!J695</f>
        <v>3</v>
      </c>
      <c r="K696" s="3" t="n">
        <f aca="false">'1. Raw Data'!K695</f>
        <v>1</v>
      </c>
      <c r="L696" s="3" t="n">
        <f aca="false">'1. Raw Data'!L695</f>
        <v>0</v>
      </c>
      <c r="M696" s="3" t="n">
        <f aca="false">'1. Raw Data'!M695</f>
        <v>3</v>
      </c>
      <c r="N696" s="3" t="str">
        <f aca="false">'1. Raw Data'!N695</f>
        <v>No</v>
      </c>
    </row>
    <row r="697" customFormat="false" ht="15" hidden="false" customHeight="false" outlineLevel="0" collapsed="false">
      <c r="A697" s="3" t="str">
        <f aca="false">'1. Raw Data'!A696</f>
        <v>EMP-0695</v>
      </c>
      <c r="B697" s="3" t="n">
        <f aca="false">'1. Raw Data'!B696</f>
        <v>46</v>
      </c>
      <c r="C697" s="3" t="str">
        <f aca="false">'1. Raw Data'!C696</f>
        <v>Customer Support</v>
      </c>
      <c r="D697" s="3" t="str">
        <f aca="false">'1. Raw Data'!D696</f>
        <v>Senior</v>
      </c>
      <c r="E697" s="3" t="str">
        <f aca="false">'1. Raw Data'!E696</f>
        <v>Marketing</v>
      </c>
      <c r="F697" s="3" t="n">
        <f aca="false">'1. Raw Data'!F696</f>
        <v>1.8</v>
      </c>
      <c r="G697" s="3" t="n">
        <f aca="false">IF('1. Raw Data'!G696="",ROUND(IFERROR(AVERAGEIFS('1. Raw Data'!G2:G1201,'1. Raw Data'!C2:C1201,'1. Raw Data'!C696,'1. Raw Data'!D2:D1201,'1. Raw Data'!D696),0),2),'1. Raw Data'!G696)</f>
        <v>7776.06</v>
      </c>
      <c r="H697" s="3" t="str">
        <f aca="false">PROPER('1. Raw Data'!H696)</f>
        <v>No</v>
      </c>
      <c r="I697" s="3" t="n">
        <f aca="false">'1. Raw Data'!I696</f>
        <v>3</v>
      </c>
      <c r="J697" s="3" t="n">
        <f aca="false">'1. Raw Data'!J696</f>
        <v>3</v>
      </c>
      <c r="K697" s="3" t="n">
        <f aca="false">'1. Raw Data'!K696</f>
        <v>20</v>
      </c>
      <c r="L697" s="3" t="n">
        <f aca="false">'1. Raw Data'!L696</f>
        <v>1</v>
      </c>
      <c r="M697" s="3" t="n">
        <f aca="false">'1. Raw Data'!M696</f>
        <v>1</v>
      </c>
      <c r="N697" s="3" t="str">
        <f aca="false">'1. Raw Data'!N696</f>
        <v>No</v>
      </c>
    </row>
    <row r="698" customFormat="false" ht="15" hidden="false" customHeight="false" outlineLevel="0" collapsed="false">
      <c r="A698" s="3" t="str">
        <f aca="false">'1. Raw Data'!A697</f>
        <v>EMP-0696</v>
      </c>
      <c r="B698" s="3" t="n">
        <f aca="false">'1. Raw Data'!B697</f>
        <v>33</v>
      </c>
      <c r="C698" s="3" t="str">
        <f aca="false">'1. Raw Data'!C697</f>
        <v>HR</v>
      </c>
      <c r="D698" s="3" t="str">
        <f aca="false">'1. Raw Data'!D697</f>
        <v>Junior</v>
      </c>
      <c r="E698" s="3" t="str">
        <f aca="false">'1. Raw Data'!E697</f>
        <v>Technical</v>
      </c>
      <c r="F698" s="3" t="n">
        <f aca="false">'1. Raw Data'!F697</f>
        <v>2.2</v>
      </c>
      <c r="G698" s="3" t="n">
        <f aca="false">IF('1. Raw Data'!G697="",ROUND(IFERROR(AVERAGEIFS('1. Raw Data'!G2:G1201,'1. Raw Data'!C2:C1201,'1. Raw Data'!C697,'1. Raw Data'!D2:D1201,'1. Raw Data'!D697),0),2),'1. Raw Data'!G697)</f>
        <v>3650.72</v>
      </c>
      <c r="H698" s="3" t="str">
        <f aca="false">PROPER('1. Raw Data'!H697)</f>
        <v>No</v>
      </c>
      <c r="I698" s="3" t="n">
        <f aca="false">'1. Raw Data'!I697</f>
        <v>4</v>
      </c>
      <c r="J698" s="3" t="n">
        <f aca="false">'1. Raw Data'!J697</f>
        <v>1</v>
      </c>
      <c r="K698" s="3" t="n">
        <f aca="false">'1. Raw Data'!K697</f>
        <v>20</v>
      </c>
      <c r="L698" s="3" t="n">
        <f aca="false">'1. Raw Data'!L697</f>
        <v>2</v>
      </c>
      <c r="M698" s="3" t="n">
        <f aca="false">'1. Raw Data'!M697</f>
        <v>1</v>
      </c>
      <c r="N698" s="3" t="str">
        <f aca="false">'1. Raw Data'!N697</f>
        <v>No</v>
      </c>
    </row>
    <row r="699" customFormat="false" ht="15" hidden="false" customHeight="false" outlineLevel="0" collapsed="false">
      <c r="A699" s="3" t="str">
        <f aca="false">'1. Raw Data'!A698</f>
        <v>EMP-0697</v>
      </c>
      <c r="B699" s="3" t="n">
        <f aca="false">'1. Raw Data'!B698</f>
        <v>54</v>
      </c>
      <c r="C699" s="3" t="str">
        <f aca="false">'1. Raw Data'!C698</f>
        <v>Marketing</v>
      </c>
      <c r="D699" s="3" t="str">
        <f aca="false">'1. Raw Data'!D698</f>
        <v>Mid</v>
      </c>
      <c r="E699" s="3" t="str">
        <f aca="false">'1. Raw Data'!E698</f>
        <v>Technical</v>
      </c>
      <c r="F699" s="3" t="n">
        <f aca="false">'1. Raw Data'!F698</f>
        <v>3.3</v>
      </c>
      <c r="G699" s="3" t="n">
        <f aca="false">IF('1. Raw Data'!G698="",ROUND(IFERROR(AVERAGEIFS('1. Raw Data'!G2:G1201,'1. Raw Data'!C2:C1201,'1. Raw Data'!C698,'1. Raw Data'!D2:D1201,'1. Raw Data'!D698),0),2),'1. Raw Data'!G698)</f>
        <v>5591.97</v>
      </c>
      <c r="H699" s="3" t="str">
        <f aca="false">PROPER('1. Raw Data'!H698)</f>
        <v>No</v>
      </c>
      <c r="I699" s="3" t="n">
        <f aca="false">'1. Raw Data'!I698</f>
        <v>4</v>
      </c>
      <c r="J699" s="3" t="n">
        <f aca="false">'1. Raw Data'!J698</f>
        <v>2</v>
      </c>
      <c r="K699" s="3" t="n">
        <f aca="false">'1. Raw Data'!K698</f>
        <v>10</v>
      </c>
      <c r="L699" s="3" t="n">
        <f aca="false">'1. Raw Data'!L698</f>
        <v>1</v>
      </c>
      <c r="M699" s="3" t="n">
        <f aca="false">'1. Raw Data'!M698</f>
        <v>1</v>
      </c>
      <c r="N699" s="3" t="str">
        <f aca="false">'1. Raw Data'!N698</f>
        <v>No</v>
      </c>
    </row>
    <row r="700" customFormat="false" ht="15" hidden="false" customHeight="false" outlineLevel="0" collapsed="false">
      <c r="A700" s="3" t="str">
        <f aca="false">'1. Raw Data'!A699</f>
        <v>EMP-0698</v>
      </c>
      <c r="B700" s="3" t="n">
        <f aca="false">'1. Raw Data'!B699</f>
        <v>48</v>
      </c>
      <c r="C700" s="3" t="str">
        <f aca="false">'1. Raw Data'!C699</f>
        <v>Engineering</v>
      </c>
      <c r="D700" s="3" t="str">
        <f aca="false">'1. Raw Data'!D699</f>
        <v>Mid</v>
      </c>
      <c r="E700" s="3" t="str">
        <f aca="false">'1. Raw Data'!E699</f>
        <v>Technical</v>
      </c>
      <c r="F700" s="3" t="n">
        <f aca="false">'1. Raw Data'!F699</f>
        <v>0.3</v>
      </c>
      <c r="G700" s="3" t="n">
        <f aca="false">IF('1. Raw Data'!G699="",ROUND(IFERROR(AVERAGEIFS('1. Raw Data'!G2:G1201,'1. Raw Data'!C2:C1201,'1. Raw Data'!C699,'1. Raw Data'!D2:D1201,'1. Raw Data'!D699),0),2),'1. Raw Data'!G699)</f>
        <v>4322.01</v>
      </c>
      <c r="H700" s="3" t="str">
        <f aca="false">PROPER('1. Raw Data'!H699)</f>
        <v>No</v>
      </c>
      <c r="I700" s="3" t="n">
        <f aca="false">'1. Raw Data'!I699</f>
        <v>2</v>
      </c>
      <c r="J700" s="3" t="n">
        <f aca="false">'1. Raw Data'!J699</f>
        <v>4</v>
      </c>
      <c r="K700" s="3" t="n">
        <f aca="false">'1. Raw Data'!K699</f>
        <v>13</v>
      </c>
      <c r="L700" s="3" t="n">
        <f aca="false">'1. Raw Data'!L699</f>
        <v>0</v>
      </c>
      <c r="M700" s="3" t="n">
        <f aca="false">'1. Raw Data'!M699</f>
        <v>4</v>
      </c>
      <c r="N700" s="3" t="str">
        <f aca="false">'1. Raw Data'!N699</f>
        <v>Yes</v>
      </c>
    </row>
    <row r="701" customFormat="false" ht="15" hidden="false" customHeight="false" outlineLevel="0" collapsed="false">
      <c r="A701" s="3" t="str">
        <f aca="false">'1. Raw Data'!A700</f>
        <v>EMP-0699</v>
      </c>
      <c r="B701" s="3" t="n">
        <f aca="false">'1. Raw Data'!B700</f>
        <v>37</v>
      </c>
      <c r="C701" s="3" t="str">
        <f aca="false">'1. Raw Data'!C700</f>
        <v>HR</v>
      </c>
      <c r="D701" s="3" t="str">
        <f aca="false">'1. Raw Data'!D700</f>
        <v>Mid</v>
      </c>
      <c r="E701" s="3" t="str">
        <f aca="false">'1. Raw Data'!E700</f>
        <v>Marketing</v>
      </c>
      <c r="F701" s="3" t="n">
        <f aca="false">'1. Raw Data'!F700</f>
        <v>0.6</v>
      </c>
      <c r="G701" s="3" t="n">
        <f aca="false">IF('1. Raw Data'!G700="",ROUND(IFERROR(AVERAGEIFS('1. Raw Data'!G2:G1201,'1. Raw Data'!C2:C1201,'1. Raw Data'!C700,'1. Raw Data'!D2:D1201,'1. Raw Data'!D700),0),2),'1. Raw Data'!G700)</f>
        <v>4268.61</v>
      </c>
      <c r="H701" s="3" t="str">
        <f aca="false">PROPER('1. Raw Data'!H700)</f>
        <v>No</v>
      </c>
      <c r="I701" s="3" t="n">
        <f aca="false">'1. Raw Data'!I700</f>
        <v>4</v>
      </c>
      <c r="J701" s="3" t="n">
        <f aca="false">'1. Raw Data'!J700</f>
        <v>4</v>
      </c>
      <c r="K701" s="3" t="n">
        <f aca="false">'1. Raw Data'!K700</f>
        <v>17</v>
      </c>
      <c r="L701" s="3" t="n">
        <f aca="false">'1. Raw Data'!L700</f>
        <v>0</v>
      </c>
      <c r="M701" s="3" t="n">
        <f aca="false">'1. Raw Data'!M700</f>
        <v>1</v>
      </c>
      <c r="N701" s="3" t="str">
        <f aca="false">'1. Raw Data'!N700</f>
        <v>Yes</v>
      </c>
    </row>
    <row r="702" customFormat="false" ht="15" hidden="false" customHeight="false" outlineLevel="0" collapsed="false">
      <c r="A702" s="3" t="str">
        <f aca="false">'1. Raw Data'!A701</f>
        <v>EMP-0700</v>
      </c>
      <c r="B702" s="3" t="n">
        <f aca="false">'1. Raw Data'!B701</f>
        <v>33</v>
      </c>
      <c r="C702" s="3" t="str">
        <f aca="false">'1. Raw Data'!C701</f>
        <v>Finance</v>
      </c>
      <c r="D702" s="3" t="str">
        <f aca="false">'1. Raw Data'!D701</f>
        <v>Mid</v>
      </c>
      <c r="E702" s="3" t="str">
        <f aca="false">'1. Raw Data'!E701</f>
        <v>Other</v>
      </c>
      <c r="F702" s="3" t="n">
        <f aca="false">'1. Raw Data'!F701</f>
        <v>9.1</v>
      </c>
      <c r="G702" s="3" t="n">
        <f aca="false">IF('1. Raw Data'!G701="",ROUND(IFERROR(AVERAGEIFS('1. Raw Data'!G2:G1201,'1. Raw Data'!C2:C1201,'1. Raw Data'!C701,'1. Raw Data'!D2:D1201,'1. Raw Data'!D701),0),2),'1. Raw Data'!G701)</f>
        <v>4244.7</v>
      </c>
      <c r="H702" s="3" t="str">
        <f aca="false">PROPER('1. Raw Data'!H701)</f>
        <v>No</v>
      </c>
      <c r="I702" s="3" t="n">
        <f aca="false">'1. Raw Data'!I701</f>
        <v>3</v>
      </c>
      <c r="J702" s="3" t="n">
        <f aca="false">'1. Raw Data'!J701</f>
        <v>3</v>
      </c>
      <c r="K702" s="3" t="n">
        <f aca="false">'1. Raw Data'!K701</f>
        <v>10</v>
      </c>
      <c r="L702" s="3" t="n">
        <f aca="false">'1. Raw Data'!L701</f>
        <v>1</v>
      </c>
      <c r="M702" s="3" t="n">
        <f aca="false">'1. Raw Data'!M701</f>
        <v>1</v>
      </c>
      <c r="N702" s="3" t="str">
        <f aca="false">'1. Raw Data'!N701</f>
        <v>No</v>
      </c>
    </row>
    <row r="703" customFormat="false" ht="15" hidden="false" customHeight="false" outlineLevel="0" collapsed="false">
      <c r="A703" s="3" t="str">
        <f aca="false">'1. Raw Data'!A702</f>
        <v>EMP-0701</v>
      </c>
      <c r="B703" s="3" t="n">
        <f aca="false">'1. Raw Data'!B702</f>
        <v>32</v>
      </c>
      <c r="C703" s="3" t="str">
        <f aca="false">'1. Raw Data'!C702</f>
        <v>Engineering</v>
      </c>
      <c r="D703" s="3" t="str">
        <f aca="false">'1. Raw Data'!D702</f>
        <v>Mid</v>
      </c>
      <c r="E703" s="3" t="str">
        <f aca="false">'1. Raw Data'!E702</f>
        <v>Technical</v>
      </c>
      <c r="F703" s="3" t="n">
        <f aca="false">'1. Raw Data'!F702</f>
        <v>0.3</v>
      </c>
      <c r="G703" s="3" t="n">
        <f aca="false">IF('1. Raw Data'!G702="",ROUND(IFERROR(AVERAGEIFS('1. Raw Data'!G2:G1201,'1. Raw Data'!C2:C1201,'1. Raw Data'!C702,'1. Raw Data'!D2:D1201,'1. Raw Data'!D702),0),2),'1. Raw Data'!G702)</f>
        <v>5005.53</v>
      </c>
      <c r="H703" s="3" t="str">
        <f aca="false">PROPER('1. Raw Data'!H702)</f>
        <v>No</v>
      </c>
      <c r="I703" s="3" t="n">
        <f aca="false">'1. Raw Data'!I702</f>
        <v>2</v>
      </c>
      <c r="J703" s="3" t="n">
        <f aca="false">'1. Raw Data'!J702</f>
        <v>4</v>
      </c>
      <c r="K703" s="3" t="n">
        <f aca="false">'1. Raw Data'!K702</f>
        <v>30</v>
      </c>
      <c r="L703" s="3" t="n">
        <f aca="false">'1. Raw Data'!L702</f>
        <v>0</v>
      </c>
      <c r="M703" s="3" t="n">
        <f aca="false">'1. Raw Data'!M702</f>
        <v>0</v>
      </c>
      <c r="N703" s="3" t="str">
        <f aca="false">'1. Raw Data'!N702</f>
        <v>Yes</v>
      </c>
    </row>
    <row r="704" customFormat="false" ht="15" hidden="false" customHeight="false" outlineLevel="0" collapsed="false">
      <c r="A704" s="3" t="str">
        <f aca="false">'1. Raw Data'!A703</f>
        <v>EMP-0702</v>
      </c>
      <c r="B704" s="3" t="n">
        <f aca="false">'1. Raw Data'!B703</f>
        <v>24</v>
      </c>
      <c r="C704" s="3" t="str">
        <f aca="false">'1. Raw Data'!C703</f>
        <v>Engineering</v>
      </c>
      <c r="D704" s="3" t="str">
        <f aca="false">'1. Raw Data'!D703</f>
        <v>Junior</v>
      </c>
      <c r="E704" s="3" t="str">
        <f aca="false">'1. Raw Data'!E703</f>
        <v>Other</v>
      </c>
      <c r="F704" s="3" t="n">
        <f aca="false">'1. Raw Data'!F703</f>
        <v>3</v>
      </c>
      <c r="G704" s="3" t="n">
        <f aca="false">IF('1. Raw Data'!G703="",ROUND(IFERROR(AVERAGEIFS('1. Raw Data'!G2:G1201,'1. Raw Data'!C2:C1201,'1. Raw Data'!C703,'1. Raw Data'!D2:D1201,'1. Raw Data'!D703),0),2),'1. Raw Data'!G703)</f>
        <v>3585.91</v>
      </c>
      <c r="H704" s="3" t="str">
        <f aca="false">PROPER('1. Raw Data'!H703)</f>
        <v>No</v>
      </c>
      <c r="I704" s="3" t="n">
        <f aca="false">'1. Raw Data'!I703</f>
        <v>4</v>
      </c>
      <c r="J704" s="3" t="n">
        <f aca="false">'1. Raw Data'!J703</f>
        <v>3</v>
      </c>
      <c r="K704" s="3" t="n">
        <f aca="false">'1. Raw Data'!K703</f>
        <v>1</v>
      </c>
      <c r="L704" s="3" t="n">
        <f aca="false">'1. Raw Data'!L703</f>
        <v>1</v>
      </c>
      <c r="M704" s="3" t="n">
        <f aca="false">'1. Raw Data'!M703</f>
        <v>3</v>
      </c>
      <c r="N704" s="3" t="str">
        <f aca="false">'1. Raw Data'!N703</f>
        <v>No</v>
      </c>
    </row>
    <row r="705" customFormat="false" ht="15" hidden="false" customHeight="false" outlineLevel="0" collapsed="false">
      <c r="A705" s="3" t="str">
        <f aca="false">'1. Raw Data'!A704</f>
        <v>EMP-0703</v>
      </c>
      <c r="B705" s="3" t="n">
        <f aca="false">'1. Raw Data'!B704</f>
        <v>36</v>
      </c>
      <c r="C705" s="3" t="str">
        <f aca="false">'1. Raw Data'!C704</f>
        <v>Finance</v>
      </c>
      <c r="D705" s="3" t="str">
        <f aca="false">'1. Raw Data'!D704</f>
        <v>Mid</v>
      </c>
      <c r="E705" s="3" t="str">
        <f aca="false">'1. Raw Data'!E704</f>
        <v>Other</v>
      </c>
      <c r="F705" s="3" t="n">
        <f aca="false">'1. Raw Data'!F704</f>
        <v>3.1</v>
      </c>
      <c r="G705" s="3" t="n">
        <f aca="false">IF('1. Raw Data'!G704="",ROUND(IFERROR(AVERAGEIFS('1. Raw Data'!G2:G1201,'1. Raw Data'!C2:C1201,'1. Raw Data'!C704,'1. Raw Data'!D2:D1201,'1. Raw Data'!D704),0),2),'1. Raw Data'!G704)</f>
        <v>4286.67</v>
      </c>
      <c r="H705" s="3" t="str">
        <f aca="false">PROPER('1. Raw Data'!H704)</f>
        <v>Yes</v>
      </c>
      <c r="I705" s="3" t="n">
        <f aca="false">'1. Raw Data'!I704</f>
        <v>3</v>
      </c>
      <c r="J705" s="3" t="n">
        <f aca="false">'1. Raw Data'!J704</f>
        <v>4</v>
      </c>
      <c r="K705" s="3" t="n">
        <f aca="false">'1. Raw Data'!K704</f>
        <v>13</v>
      </c>
      <c r="L705" s="3" t="n">
        <f aca="false">'1. Raw Data'!L704</f>
        <v>0</v>
      </c>
      <c r="M705" s="3" t="n">
        <f aca="false">'1. Raw Data'!M704</f>
        <v>3</v>
      </c>
      <c r="N705" s="3" t="str">
        <f aca="false">'1. Raw Data'!N704</f>
        <v>Yes</v>
      </c>
    </row>
    <row r="706" customFormat="false" ht="15" hidden="false" customHeight="false" outlineLevel="0" collapsed="false">
      <c r="A706" s="3" t="str">
        <f aca="false">'1. Raw Data'!A705</f>
        <v>EMP-0704</v>
      </c>
      <c r="B706" s="3" t="n">
        <f aca="false">'1. Raw Data'!B705</f>
        <v>29</v>
      </c>
      <c r="C706" s="3" t="str">
        <f aca="false">'1. Raw Data'!C705</f>
        <v>Engineering</v>
      </c>
      <c r="D706" s="3" t="str">
        <f aca="false">'1. Raw Data'!D705</f>
        <v>Lead</v>
      </c>
      <c r="E706" s="3" t="str">
        <f aca="false">'1. Raw Data'!E705</f>
        <v>Technical</v>
      </c>
      <c r="F706" s="3" t="n">
        <f aca="false">'1. Raw Data'!F705</f>
        <v>1.1</v>
      </c>
      <c r="G706" s="3" t="n">
        <f aca="false">IF('1. Raw Data'!G705="",ROUND(IFERROR(AVERAGEIFS('1. Raw Data'!G2:G1201,'1. Raw Data'!C2:C1201,'1. Raw Data'!C705,'1. Raw Data'!D2:D1201,'1. Raw Data'!D705),0),2),'1. Raw Data'!G705)</f>
        <v>8403.17</v>
      </c>
      <c r="H706" s="3" t="str">
        <f aca="false">PROPER('1. Raw Data'!H705)</f>
        <v>No</v>
      </c>
      <c r="I706" s="3" t="n">
        <f aca="false">'1. Raw Data'!I705</f>
        <v>3</v>
      </c>
      <c r="J706" s="3" t="n">
        <f aca="false">'1. Raw Data'!J705</f>
        <v>4</v>
      </c>
      <c r="K706" s="3" t="n">
        <f aca="false">'1. Raw Data'!K705</f>
        <v>5</v>
      </c>
      <c r="L706" s="3" t="n">
        <f aca="false">'1. Raw Data'!L705</f>
        <v>1</v>
      </c>
      <c r="M706" s="3" t="n">
        <f aca="false">'1. Raw Data'!M705</f>
        <v>0</v>
      </c>
      <c r="N706" s="3" t="str">
        <f aca="false">'1. Raw Data'!N705</f>
        <v>No</v>
      </c>
    </row>
    <row r="707" customFormat="false" ht="15" hidden="false" customHeight="false" outlineLevel="0" collapsed="false">
      <c r="A707" s="3" t="str">
        <f aca="false">'1. Raw Data'!A706</f>
        <v>EMP-0705</v>
      </c>
      <c r="B707" s="3" t="n">
        <f aca="false">'1. Raw Data'!B706</f>
        <v>44</v>
      </c>
      <c r="C707" s="3" t="str">
        <f aca="false">'1. Raw Data'!C706</f>
        <v>Engineering</v>
      </c>
      <c r="D707" s="3" t="str">
        <f aca="false">'1. Raw Data'!D706</f>
        <v>Senior</v>
      </c>
      <c r="E707" s="3" t="str">
        <f aca="false">'1. Raw Data'!E706</f>
        <v>Business</v>
      </c>
      <c r="F707" s="3" t="n">
        <f aca="false">'1. Raw Data'!F706</f>
        <v>0.8</v>
      </c>
      <c r="G707" s="3" t="n">
        <f aca="false">IF('1. Raw Data'!G706="",ROUND(IFERROR(AVERAGEIFS('1. Raw Data'!G2:G1201,'1. Raw Data'!C2:C1201,'1. Raw Data'!C706,'1. Raw Data'!D2:D1201,'1. Raw Data'!D706),0),2),'1. Raw Data'!G706)</f>
        <v>6192.12</v>
      </c>
      <c r="H707" s="3" t="str">
        <f aca="false">PROPER('1. Raw Data'!H706)</f>
        <v>No</v>
      </c>
      <c r="I707" s="3" t="n">
        <f aca="false">'1. Raw Data'!I706</f>
        <v>4</v>
      </c>
      <c r="J707" s="3" t="n">
        <f aca="false">'1. Raw Data'!J706</f>
        <v>3</v>
      </c>
      <c r="K707" s="3" t="n">
        <f aca="false">'1. Raw Data'!K706</f>
        <v>11</v>
      </c>
      <c r="L707" s="3" t="n">
        <f aca="false">'1. Raw Data'!L706</f>
        <v>0</v>
      </c>
      <c r="M707" s="3" t="n">
        <f aca="false">'1. Raw Data'!M706</f>
        <v>1</v>
      </c>
      <c r="N707" s="3" t="str">
        <f aca="false">'1. Raw Data'!N706</f>
        <v>No</v>
      </c>
    </row>
    <row r="708" customFormat="false" ht="15" hidden="false" customHeight="false" outlineLevel="0" collapsed="false">
      <c r="A708" s="3" t="str">
        <f aca="false">'1. Raw Data'!A707</f>
        <v>EMP-0706</v>
      </c>
      <c r="B708" s="3" t="n">
        <f aca="false">'1. Raw Data'!B707</f>
        <v>44</v>
      </c>
      <c r="C708" s="3" t="str">
        <f aca="false">'1. Raw Data'!C707</f>
        <v>Engineering</v>
      </c>
      <c r="D708" s="3" t="str">
        <f aca="false">'1. Raw Data'!D707</f>
        <v>Mid</v>
      </c>
      <c r="E708" s="3" t="str">
        <f aca="false">'1. Raw Data'!E707</f>
        <v>Other</v>
      </c>
      <c r="F708" s="3" t="n">
        <f aca="false">'1. Raw Data'!F707</f>
        <v>3</v>
      </c>
      <c r="G708" s="3" t="n">
        <f aca="false">IF('1. Raw Data'!G707="",ROUND(IFERROR(AVERAGEIFS('1. Raw Data'!G2:G1201,'1. Raw Data'!C2:C1201,'1. Raw Data'!C707,'1. Raw Data'!D2:D1201,'1. Raw Data'!D707),0),2),'1. Raw Data'!G707)</f>
        <v>4695.25</v>
      </c>
      <c r="H708" s="3" t="str">
        <f aca="false">PROPER('1. Raw Data'!H707)</f>
        <v>No</v>
      </c>
      <c r="I708" s="3" t="n">
        <f aca="false">'1. Raw Data'!I707</f>
        <v>4</v>
      </c>
      <c r="J708" s="3" t="n">
        <f aca="false">'1. Raw Data'!J707</f>
        <v>4</v>
      </c>
      <c r="K708" s="3" t="n">
        <f aca="false">'1. Raw Data'!K707</f>
        <v>3</v>
      </c>
      <c r="L708" s="3" t="n">
        <f aca="false">'1. Raw Data'!L707</f>
        <v>0</v>
      </c>
      <c r="M708" s="3" t="n">
        <f aca="false">'1. Raw Data'!M707</f>
        <v>1</v>
      </c>
      <c r="N708" s="3" t="str">
        <f aca="false">'1. Raw Data'!N707</f>
        <v>No</v>
      </c>
    </row>
    <row r="709" customFormat="false" ht="15" hidden="false" customHeight="false" outlineLevel="0" collapsed="false">
      <c r="A709" s="3" t="str">
        <f aca="false">'1. Raw Data'!A708</f>
        <v>EMP-0707</v>
      </c>
      <c r="B709" s="3" t="n">
        <f aca="false">'1. Raw Data'!B708</f>
        <v>25</v>
      </c>
      <c r="C709" s="3" t="str">
        <f aca="false">'1. Raw Data'!C708</f>
        <v>Engineering</v>
      </c>
      <c r="D709" s="3" t="str">
        <f aca="false">'1. Raw Data'!D708</f>
        <v>Mid</v>
      </c>
      <c r="E709" s="3" t="str">
        <f aca="false">'1. Raw Data'!E708</f>
        <v>Marketing</v>
      </c>
      <c r="F709" s="3" t="n">
        <f aca="false">'1. Raw Data'!F708</f>
        <v>3.7</v>
      </c>
      <c r="G709" s="3" t="n">
        <f aca="false">IF('1. Raw Data'!G708="",ROUND(IFERROR(AVERAGEIFS('1. Raw Data'!G2:G1201,'1. Raw Data'!C2:C1201,'1. Raw Data'!C708,'1. Raw Data'!D2:D1201,'1. Raw Data'!D708),0),2),'1. Raw Data'!G708)</f>
        <v>5558.45</v>
      </c>
      <c r="H709" s="3" t="str">
        <f aca="false">PROPER('1. Raw Data'!H708)</f>
        <v>No</v>
      </c>
      <c r="I709" s="3" t="n">
        <f aca="false">'1. Raw Data'!I708</f>
        <v>2</v>
      </c>
      <c r="J709" s="3" t="n">
        <f aca="false">'1. Raw Data'!J708</f>
        <v>4</v>
      </c>
      <c r="K709" s="3" t="n">
        <f aca="false">'1. Raw Data'!K708</f>
        <v>16</v>
      </c>
      <c r="L709" s="3" t="n">
        <f aca="false">'1. Raw Data'!L708</f>
        <v>2</v>
      </c>
      <c r="M709" s="3" t="n">
        <f aca="false">'1. Raw Data'!M708</f>
        <v>3</v>
      </c>
      <c r="N709" s="3" t="str">
        <f aca="false">'1. Raw Data'!N708</f>
        <v>No</v>
      </c>
    </row>
    <row r="710" customFormat="false" ht="15" hidden="false" customHeight="false" outlineLevel="0" collapsed="false">
      <c r="A710" s="3" t="str">
        <f aca="false">'1. Raw Data'!A709</f>
        <v>EMP-0708</v>
      </c>
      <c r="B710" s="3" t="n">
        <f aca="false">'1. Raw Data'!B709</f>
        <v>26</v>
      </c>
      <c r="C710" s="3" t="str">
        <f aca="false">'1. Raw Data'!C709</f>
        <v>Engineering</v>
      </c>
      <c r="D710" s="3" t="str">
        <f aca="false">'1. Raw Data'!D709</f>
        <v>Mid</v>
      </c>
      <c r="E710" s="3" t="str">
        <f aca="false">'1. Raw Data'!E709</f>
        <v>Other</v>
      </c>
      <c r="F710" s="3" t="n">
        <f aca="false">'1. Raw Data'!F709</f>
        <v>3.6</v>
      </c>
      <c r="G710" s="3" t="n">
        <f aca="false">IF('1. Raw Data'!G709="",ROUND(IFERROR(AVERAGEIFS('1. Raw Data'!G2:G1201,'1. Raw Data'!C2:C1201,'1. Raw Data'!C709,'1. Raw Data'!D2:D1201,'1. Raw Data'!D709),0),2),'1. Raw Data'!G709)</f>
        <v>5174.68</v>
      </c>
      <c r="H710" s="3" t="str">
        <f aca="false">PROPER('1. Raw Data'!H709)</f>
        <v>No</v>
      </c>
      <c r="I710" s="3" t="n">
        <f aca="false">'1. Raw Data'!I709</f>
        <v>3</v>
      </c>
      <c r="J710" s="3" t="n">
        <f aca="false">'1. Raw Data'!J709</f>
        <v>1</v>
      </c>
      <c r="K710" s="3" t="n">
        <f aca="false">'1. Raw Data'!K709</f>
        <v>4</v>
      </c>
      <c r="L710" s="3" t="n">
        <f aca="false">'1. Raw Data'!L709</f>
        <v>3</v>
      </c>
      <c r="M710" s="3" t="n">
        <f aca="false">'1. Raw Data'!M709</f>
        <v>2</v>
      </c>
      <c r="N710" s="3" t="str">
        <f aca="false">'1. Raw Data'!N709</f>
        <v>No</v>
      </c>
    </row>
    <row r="711" customFormat="false" ht="15" hidden="false" customHeight="false" outlineLevel="0" collapsed="false">
      <c r="A711" s="3" t="str">
        <f aca="false">'1. Raw Data'!A710</f>
        <v>EMP-0709</v>
      </c>
      <c r="B711" s="3" t="n">
        <f aca="false">'1. Raw Data'!B710</f>
        <v>32</v>
      </c>
      <c r="C711" s="3" t="str">
        <f aca="false">'1. Raw Data'!C710</f>
        <v>Customer Support</v>
      </c>
      <c r="D711" s="3" t="str">
        <f aca="false">'1. Raw Data'!D710</f>
        <v>Junior</v>
      </c>
      <c r="E711" s="3" t="str">
        <f aca="false">'1. Raw Data'!E710</f>
        <v>Other</v>
      </c>
      <c r="F711" s="3" t="n">
        <f aca="false">'1. Raw Data'!F710</f>
        <v>3.3</v>
      </c>
      <c r="G711" s="3" t="n">
        <f aca="false">IF('1. Raw Data'!G710="",ROUND(IFERROR(AVERAGEIFS('1. Raw Data'!G2:G1201,'1. Raw Data'!C2:C1201,'1. Raw Data'!C710,'1. Raw Data'!D2:D1201,'1. Raw Data'!D710),0),2),'1. Raw Data'!G710)</f>
        <v>3360.35</v>
      </c>
      <c r="H711" s="3" t="str">
        <f aca="false">PROPER('1. Raw Data'!H710)</f>
        <v>No</v>
      </c>
      <c r="I711" s="3" t="n">
        <f aca="false">'1. Raw Data'!I710</f>
        <v>3</v>
      </c>
      <c r="J711" s="3" t="n">
        <f aca="false">'1. Raw Data'!J710</f>
        <v>4</v>
      </c>
      <c r="K711" s="3" t="n">
        <f aca="false">'1. Raw Data'!K710</f>
        <v>8</v>
      </c>
      <c r="L711" s="3" t="n">
        <f aca="false">'1. Raw Data'!L710</f>
        <v>3</v>
      </c>
      <c r="M711" s="3" t="n">
        <f aca="false">'1. Raw Data'!M710</f>
        <v>0</v>
      </c>
      <c r="N711" s="3" t="str">
        <f aca="false">'1. Raw Data'!N710</f>
        <v>No</v>
      </c>
    </row>
    <row r="712" customFormat="false" ht="15" hidden="false" customHeight="false" outlineLevel="0" collapsed="false">
      <c r="A712" s="3" t="str">
        <f aca="false">'1. Raw Data'!A711</f>
        <v>EMP-0710</v>
      </c>
      <c r="B712" s="3" t="n">
        <f aca="false">'1. Raw Data'!B711</f>
        <v>38</v>
      </c>
      <c r="C712" s="3" t="str">
        <f aca="false">'1. Raw Data'!C711</f>
        <v>Engineering</v>
      </c>
      <c r="D712" s="3" t="str">
        <f aca="false">'1. Raw Data'!D711</f>
        <v>Junior</v>
      </c>
      <c r="E712" s="3" t="str">
        <f aca="false">'1. Raw Data'!E711</f>
        <v>Marketing</v>
      </c>
      <c r="F712" s="3" t="n">
        <f aca="false">'1. Raw Data'!F711</f>
        <v>0.5</v>
      </c>
      <c r="G712" s="3" t="n">
        <f aca="false">IF('1. Raw Data'!G711="",ROUND(IFERROR(AVERAGEIFS('1. Raw Data'!G2:G1201,'1. Raw Data'!C2:C1201,'1. Raw Data'!C711,'1. Raw Data'!D2:D1201,'1. Raw Data'!D711),0),2),'1. Raw Data'!G711)</f>
        <v>3537.99</v>
      </c>
      <c r="H712" s="3" t="str">
        <f aca="false">PROPER('1. Raw Data'!H711)</f>
        <v>No</v>
      </c>
      <c r="I712" s="3" t="n">
        <f aca="false">'1. Raw Data'!I711</f>
        <v>3</v>
      </c>
      <c r="J712" s="3" t="n">
        <f aca="false">'1. Raw Data'!J711</f>
        <v>1</v>
      </c>
      <c r="K712" s="3" t="n">
        <f aca="false">'1. Raw Data'!K711</f>
        <v>18</v>
      </c>
      <c r="L712" s="3" t="n">
        <f aca="false">'1. Raw Data'!L711</f>
        <v>0</v>
      </c>
      <c r="M712" s="3" t="n">
        <f aca="false">'1. Raw Data'!M711</f>
        <v>1</v>
      </c>
      <c r="N712" s="3" t="str">
        <f aca="false">'1. Raw Data'!N711</f>
        <v>No</v>
      </c>
    </row>
    <row r="713" customFormat="false" ht="15" hidden="false" customHeight="false" outlineLevel="0" collapsed="false">
      <c r="A713" s="3" t="str">
        <f aca="false">'1. Raw Data'!A712</f>
        <v>EMP-0711</v>
      </c>
      <c r="B713" s="3" t="n">
        <f aca="false">'1. Raw Data'!B712</f>
        <v>27</v>
      </c>
      <c r="C713" s="3" t="str">
        <f aca="false">'1. Raw Data'!C712</f>
        <v>Finance</v>
      </c>
      <c r="D713" s="3" t="str">
        <f aca="false">'1. Raw Data'!D712</f>
        <v>Mid</v>
      </c>
      <c r="E713" s="3" t="str">
        <f aca="false">'1. Raw Data'!E712</f>
        <v>Other</v>
      </c>
      <c r="F713" s="3" t="n">
        <f aca="false">'1. Raw Data'!F712</f>
        <v>0.3</v>
      </c>
      <c r="G713" s="3" t="n">
        <f aca="false">IF('1. Raw Data'!G712="",ROUND(IFERROR(AVERAGEIFS('1. Raw Data'!G2:G1201,'1. Raw Data'!C2:C1201,'1. Raw Data'!C712,'1. Raw Data'!D2:D1201,'1. Raw Data'!D712),0),2),'1. Raw Data'!G712)</f>
        <v>4141.77</v>
      </c>
      <c r="H713" s="3" t="str">
        <f aca="false">PROPER('1. Raw Data'!H712)</f>
        <v>No</v>
      </c>
      <c r="I713" s="3" t="n">
        <f aca="false">'1. Raw Data'!I712</f>
        <v>4</v>
      </c>
      <c r="J713" s="3" t="n">
        <f aca="false">'1. Raw Data'!J712</f>
        <v>4</v>
      </c>
      <c r="K713" s="3" t="n">
        <f aca="false">'1. Raw Data'!K712</f>
        <v>6</v>
      </c>
      <c r="L713" s="3" t="n">
        <f aca="false">'1. Raw Data'!L712</f>
        <v>0</v>
      </c>
      <c r="M713" s="3" t="n">
        <f aca="false">'1. Raw Data'!M712</f>
        <v>2</v>
      </c>
      <c r="N713" s="3" t="str">
        <f aca="false">'1. Raw Data'!N712</f>
        <v>Yes</v>
      </c>
    </row>
    <row r="714" customFormat="false" ht="15" hidden="false" customHeight="false" outlineLevel="0" collapsed="false">
      <c r="A714" s="3" t="str">
        <f aca="false">'1. Raw Data'!A713</f>
        <v>EMP-0712</v>
      </c>
      <c r="B714" s="3" t="n">
        <f aca="false">'1. Raw Data'!B713</f>
        <v>36</v>
      </c>
      <c r="C714" s="3" t="str">
        <f aca="false">'1. Raw Data'!C713</f>
        <v>Customer Support</v>
      </c>
      <c r="D714" s="3" t="str">
        <f aca="false">'1. Raw Data'!D713</f>
        <v>Junior</v>
      </c>
      <c r="E714" s="3" t="str">
        <f aca="false">'1. Raw Data'!E713</f>
        <v>Marketing</v>
      </c>
      <c r="F714" s="3" t="n">
        <f aca="false">'1. Raw Data'!F713</f>
        <v>4.6</v>
      </c>
      <c r="G714" s="3" t="n">
        <f aca="false">IF('1. Raw Data'!G713="",ROUND(IFERROR(AVERAGEIFS('1. Raw Data'!G2:G1201,'1. Raw Data'!C2:C1201,'1. Raw Data'!C713,'1. Raw Data'!D2:D1201,'1. Raw Data'!D713),0),2),'1. Raw Data'!G713)</f>
        <v>3029.22</v>
      </c>
      <c r="H714" s="3" t="str">
        <f aca="false">PROPER('1. Raw Data'!H713)</f>
        <v>Yes</v>
      </c>
      <c r="I714" s="3" t="n">
        <f aca="false">'1. Raw Data'!I713</f>
        <v>3</v>
      </c>
      <c r="J714" s="3" t="n">
        <f aca="false">'1. Raw Data'!J713</f>
        <v>4</v>
      </c>
      <c r="K714" s="3" t="n">
        <f aca="false">'1. Raw Data'!K713</f>
        <v>16</v>
      </c>
      <c r="L714" s="3" t="n">
        <f aca="false">'1. Raw Data'!L713</f>
        <v>4</v>
      </c>
      <c r="M714" s="3" t="n">
        <f aca="false">'1. Raw Data'!M713</f>
        <v>5</v>
      </c>
      <c r="N714" s="3" t="str">
        <f aca="false">'1. Raw Data'!N713</f>
        <v>No</v>
      </c>
    </row>
    <row r="715" customFormat="false" ht="15" hidden="false" customHeight="false" outlineLevel="0" collapsed="false">
      <c r="A715" s="3" t="str">
        <f aca="false">'1. Raw Data'!A714</f>
        <v>EMP-0713</v>
      </c>
      <c r="B715" s="3" t="n">
        <f aca="false">'1. Raw Data'!B714</f>
        <v>35</v>
      </c>
      <c r="C715" s="3" t="str">
        <f aca="false">'1. Raw Data'!C714</f>
        <v>Engineering</v>
      </c>
      <c r="D715" s="3" t="str">
        <f aca="false">'1. Raw Data'!D714</f>
        <v>Senior</v>
      </c>
      <c r="E715" s="3" t="str">
        <f aca="false">'1. Raw Data'!E714</f>
        <v>Technical</v>
      </c>
      <c r="F715" s="3" t="n">
        <f aca="false">'1. Raw Data'!F714</f>
        <v>0.3</v>
      </c>
      <c r="G715" s="3" t="n">
        <f aca="false">IF('1. Raw Data'!G714="",ROUND(IFERROR(AVERAGEIFS('1. Raw Data'!G2:G1201,'1. Raw Data'!C2:C1201,'1. Raw Data'!C714,'1. Raw Data'!D2:D1201,'1. Raw Data'!D714),0),2),'1. Raw Data'!G714)</f>
        <v>6442.39</v>
      </c>
      <c r="H715" s="3" t="str">
        <f aca="false">PROPER('1. Raw Data'!H714)</f>
        <v>No</v>
      </c>
      <c r="I715" s="3" t="n">
        <f aca="false">'1. Raw Data'!I714</f>
        <v>3</v>
      </c>
      <c r="J715" s="3" t="n">
        <f aca="false">'1. Raw Data'!J714</f>
        <v>2</v>
      </c>
      <c r="K715" s="3" t="n">
        <f aca="false">'1. Raw Data'!K714</f>
        <v>13</v>
      </c>
      <c r="L715" s="3" t="n">
        <f aca="false">'1. Raw Data'!L714</f>
        <v>0</v>
      </c>
      <c r="M715" s="3" t="n">
        <f aca="false">'1. Raw Data'!M714</f>
        <v>3</v>
      </c>
      <c r="N715" s="3" t="str">
        <f aca="false">'1. Raw Data'!N714</f>
        <v>No</v>
      </c>
    </row>
    <row r="716" customFormat="false" ht="15" hidden="false" customHeight="false" outlineLevel="0" collapsed="false">
      <c r="A716" s="3" t="str">
        <f aca="false">'1. Raw Data'!A715</f>
        <v>EMP-0714</v>
      </c>
      <c r="B716" s="3" t="n">
        <f aca="false">'1. Raw Data'!B715</f>
        <v>23</v>
      </c>
      <c r="C716" s="3" t="str">
        <f aca="false">'1. Raw Data'!C715</f>
        <v>Marketing</v>
      </c>
      <c r="D716" s="3" t="str">
        <f aca="false">'1. Raw Data'!D715</f>
        <v>Junior</v>
      </c>
      <c r="E716" s="3" t="str">
        <f aca="false">'1. Raw Data'!E715</f>
        <v>Other</v>
      </c>
      <c r="F716" s="3" t="n">
        <f aca="false">'1. Raw Data'!F715</f>
        <v>0.8</v>
      </c>
      <c r="G716" s="3" t="n">
        <f aca="false">IF('1. Raw Data'!G715="",ROUND(IFERROR(AVERAGEIFS('1. Raw Data'!G2:G1201,'1. Raw Data'!C2:C1201,'1. Raw Data'!C715,'1. Raw Data'!D2:D1201,'1. Raw Data'!D715),0),2),'1. Raw Data'!G715)</f>
        <v>3517.14</v>
      </c>
      <c r="H716" s="3" t="str">
        <f aca="false">PROPER('1. Raw Data'!H715)</f>
        <v>Yes</v>
      </c>
      <c r="I716" s="3" t="n">
        <f aca="false">'1. Raw Data'!I715</f>
        <v>4</v>
      </c>
      <c r="J716" s="3" t="n">
        <f aca="false">'1. Raw Data'!J715</f>
        <v>2</v>
      </c>
      <c r="K716" s="3" t="n">
        <f aca="false">'1. Raw Data'!K715</f>
        <v>1</v>
      </c>
      <c r="L716" s="3" t="n">
        <f aca="false">'1. Raw Data'!L715</f>
        <v>0</v>
      </c>
      <c r="M716" s="3" t="n">
        <f aca="false">'1. Raw Data'!M715</f>
        <v>2</v>
      </c>
      <c r="N716" s="3" t="str">
        <f aca="false">'1. Raw Data'!N715</f>
        <v>No</v>
      </c>
    </row>
    <row r="717" customFormat="false" ht="15" hidden="false" customHeight="false" outlineLevel="0" collapsed="false">
      <c r="A717" s="3" t="str">
        <f aca="false">'1. Raw Data'!A716</f>
        <v>EMP-0715</v>
      </c>
      <c r="B717" s="3" t="n">
        <f aca="false">'1. Raw Data'!B716</f>
        <v>36</v>
      </c>
      <c r="C717" s="3" t="str">
        <f aca="false">'1. Raw Data'!C716</f>
        <v>Marketing</v>
      </c>
      <c r="D717" s="3" t="str">
        <f aca="false">'1. Raw Data'!D716</f>
        <v>Lead</v>
      </c>
      <c r="E717" s="3" t="str">
        <f aca="false">'1. Raw Data'!E716</f>
        <v>Business</v>
      </c>
      <c r="F717" s="3" t="n">
        <f aca="false">'1. Raw Data'!F716</f>
        <v>3</v>
      </c>
      <c r="G717" s="3" t="n">
        <f aca="false">IF('1. Raw Data'!G716="",ROUND(IFERROR(AVERAGEIFS('1. Raw Data'!G2:G1201,'1. Raw Data'!C2:C1201,'1. Raw Data'!C716,'1. Raw Data'!D2:D1201,'1. Raw Data'!D716),0),2),'1. Raw Data'!G716)</f>
        <v>11085.17</v>
      </c>
      <c r="H717" s="3" t="str">
        <f aca="false">PROPER('1. Raw Data'!H716)</f>
        <v>No</v>
      </c>
      <c r="I717" s="3" t="n">
        <f aca="false">'1. Raw Data'!I716</f>
        <v>4</v>
      </c>
      <c r="J717" s="3" t="n">
        <f aca="false">'1. Raw Data'!J716</f>
        <v>1</v>
      </c>
      <c r="K717" s="3" t="n">
        <f aca="false">'1. Raw Data'!K716</f>
        <v>11</v>
      </c>
      <c r="L717" s="3" t="n">
        <f aca="false">'1. Raw Data'!L716</f>
        <v>3</v>
      </c>
      <c r="M717" s="3" t="n">
        <f aca="false">'1. Raw Data'!M716</f>
        <v>2</v>
      </c>
      <c r="N717" s="3" t="str">
        <f aca="false">'1. Raw Data'!N716</f>
        <v>Yes</v>
      </c>
    </row>
    <row r="718" customFormat="false" ht="15" hidden="false" customHeight="false" outlineLevel="0" collapsed="false">
      <c r="A718" s="3" t="str">
        <f aca="false">'1. Raw Data'!A717</f>
        <v>EMP-0716</v>
      </c>
      <c r="B718" s="3" t="n">
        <f aca="false">'1. Raw Data'!B717</f>
        <v>45</v>
      </c>
      <c r="C718" s="3" t="str">
        <f aca="false">'1. Raw Data'!C717</f>
        <v>Sales</v>
      </c>
      <c r="D718" s="3" t="str">
        <f aca="false">'1. Raw Data'!D717</f>
        <v>Mid</v>
      </c>
      <c r="E718" s="3" t="str">
        <f aca="false">'1. Raw Data'!E717</f>
        <v>Other</v>
      </c>
      <c r="F718" s="3" t="n">
        <f aca="false">'1. Raw Data'!F717</f>
        <v>0.7</v>
      </c>
      <c r="G718" s="3" t="n">
        <f aca="false">IF('1. Raw Data'!G717="",ROUND(IFERROR(AVERAGEIFS('1. Raw Data'!G2:G1201,'1. Raw Data'!C2:C1201,'1. Raw Data'!C717,'1. Raw Data'!D2:D1201,'1. Raw Data'!D717),0),2),'1. Raw Data'!G717)</f>
        <v>4288.81</v>
      </c>
      <c r="H718" s="3" t="str">
        <f aca="false">PROPER('1. Raw Data'!H717)</f>
        <v>No</v>
      </c>
      <c r="I718" s="3" t="n">
        <f aca="false">'1. Raw Data'!I717</f>
        <v>4</v>
      </c>
      <c r="J718" s="3" t="n">
        <f aca="false">'1. Raw Data'!J717</f>
        <v>2</v>
      </c>
      <c r="K718" s="3" t="n">
        <f aca="false">'1. Raw Data'!K717</f>
        <v>1</v>
      </c>
      <c r="L718" s="3" t="n">
        <f aca="false">'1. Raw Data'!L717</f>
        <v>0</v>
      </c>
      <c r="M718" s="3" t="n">
        <f aca="false">'1. Raw Data'!M717</f>
        <v>3</v>
      </c>
      <c r="N718" s="3" t="str">
        <f aca="false">'1. Raw Data'!N717</f>
        <v>No</v>
      </c>
    </row>
    <row r="719" customFormat="false" ht="15" hidden="false" customHeight="false" outlineLevel="0" collapsed="false">
      <c r="A719" s="3" t="str">
        <f aca="false">'1. Raw Data'!A718</f>
        <v>EMP-0717</v>
      </c>
      <c r="B719" s="3" t="n">
        <f aca="false">'1. Raw Data'!B718</f>
        <v>37</v>
      </c>
      <c r="C719" s="3" t="str">
        <f aca="false">'1. Raw Data'!C718</f>
        <v>Engineering</v>
      </c>
      <c r="D719" s="3" t="str">
        <f aca="false">'1. Raw Data'!D718</f>
        <v>Mid</v>
      </c>
      <c r="E719" s="3" t="str">
        <f aca="false">'1. Raw Data'!E718</f>
        <v>Marketing</v>
      </c>
      <c r="F719" s="3" t="n">
        <f aca="false">'1. Raw Data'!F718</f>
        <v>1.4</v>
      </c>
      <c r="G719" s="3" t="n">
        <f aca="false">IF('1. Raw Data'!G718="",ROUND(IFERROR(AVERAGEIFS('1. Raw Data'!G2:G1201,'1. Raw Data'!C2:C1201,'1. Raw Data'!C718,'1. Raw Data'!D2:D1201,'1. Raw Data'!D718),0),2),'1. Raw Data'!G718)</f>
        <v>4379.72</v>
      </c>
      <c r="H719" s="3" t="str">
        <f aca="false">PROPER('1. Raw Data'!H718)</f>
        <v>Yes</v>
      </c>
      <c r="I719" s="3" t="n">
        <f aca="false">'1. Raw Data'!I718</f>
        <v>4</v>
      </c>
      <c r="J719" s="3" t="n">
        <f aca="false">'1. Raw Data'!J718</f>
        <v>4</v>
      </c>
      <c r="K719" s="3" t="n">
        <f aca="false">'1. Raw Data'!K718</f>
        <v>11</v>
      </c>
      <c r="L719" s="3" t="n">
        <f aca="false">'1. Raw Data'!L718</f>
        <v>1</v>
      </c>
      <c r="M719" s="3" t="n">
        <f aca="false">'1. Raw Data'!M718</f>
        <v>1</v>
      </c>
      <c r="N719" s="3" t="str">
        <f aca="false">'1. Raw Data'!N718</f>
        <v>No</v>
      </c>
    </row>
    <row r="720" customFormat="false" ht="15" hidden="false" customHeight="false" outlineLevel="0" collapsed="false">
      <c r="A720" s="3" t="str">
        <f aca="false">'1. Raw Data'!A719</f>
        <v>EMP-0718</v>
      </c>
      <c r="B720" s="3" t="n">
        <f aca="false">'1. Raw Data'!B719</f>
        <v>29</v>
      </c>
      <c r="C720" s="3" t="str">
        <f aca="false">'1. Raw Data'!C719</f>
        <v>Customer Support</v>
      </c>
      <c r="D720" s="3" t="str">
        <f aca="false">'1. Raw Data'!D719</f>
        <v>Lead</v>
      </c>
      <c r="E720" s="3" t="str">
        <f aca="false">'1. Raw Data'!E719</f>
        <v>Other</v>
      </c>
      <c r="F720" s="3" t="n">
        <f aca="false">'1. Raw Data'!F719</f>
        <v>3.5</v>
      </c>
      <c r="G720" s="3" t="n">
        <f aca="false">IF('1. Raw Data'!G719="",ROUND(IFERROR(AVERAGEIFS('1. Raw Data'!G2:G1201,'1. Raw Data'!C2:C1201,'1. Raw Data'!C719,'1. Raw Data'!D2:D1201,'1. Raw Data'!D719),0),2),'1. Raw Data'!G719)</f>
        <v>8119.95</v>
      </c>
      <c r="H720" s="3" t="str">
        <f aca="false">PROPER('1. Raw Data'!H719)</f>
        <v>Yes</v>
      </c>
      <c r="I720" s="3" t="n">
        <f aca="false">'1. Raw Data'!I719</f>
        <v>3</v>
      </c>
      <c r="J720" s="3" t="n">
        <f aca="false">'1. Raw Data'!J719</f>
        <v>4</v>
      </c>
      <c r="K720" s="3" t="n">
        <f aca="false">'1. Raw Data'!K719</f>
        <v>2</v>
      </c>
      <c r="L720" s="3" t="n">
        <f aca="false">'1. Raw Data'!L719</f>
        <v>0</v>
      </c>
      <c r="M720" s="3" t="n">
        <f aca="false">'1. Raw Data'!M719</f>
        <v>2</v>
      </c>
      <c r="N720" s="3" t="str">
        <f aca="false">'1. Raw Data'!N719</f>
        <v>Yes</v>
      </c>
    </row>
    <row r="721" customFormat="false" ht="15" hidden="false" customHeight="false" outlineLevel="0" collapsed="false">
      <c r="A721" s="3" t="str">
        <f aca="false">'1. Raw Data'!A720</f>
        <v>EMP-0719</v>
      </c>
      <c r="B721" s="3" t="n">
        <f aca="false">'1. Raw Data'!B720</f>
        <v>26</v>
      </c>
      <c r="C721" s="3" t="str">
        <f aca="false">'1. Raw Data'!C720</f>
        <v>Engineering</v>
      </c>
      <c r="D721" s="3" t="str">
        <f aca="false">'1. Raw Data'!D720</f>
        <v>Mid</v>
      </c>
      <c r="E721" s="3" t="str">
        <f aca="false">'1. Raw Data'!E720</f>
        <v>Marketing</v>
      </c>
      <c r="F721" s="3" t="n">
        <f aca="false">'1. Raw Data'!F720</f>
        <v>1</v>
      </c>
      <c r="G721" s="3" t="n">
        <f aca="false">IF('1. Raw Data'!G720="",ROUND(IFERROR(AVERAGEIFS('1. Raw Data'!G2:G1201,'1. Raw Data'!C2:C1201,'1. Raw Data'!C720,'1. Raw Data'!D2:D1201,'1. Raw Data'!D720),0),2),'1. Raw Data'!G720)</f>
        <v>5752.34</v>
      </c>
      <c r="H721" s="3" t="str">
        <f aca="false">PROPER('1. Raw Data'!H720)</f>
        <v>No</v>
      </c>
      <c r="I721" s="3" t="n">
        <f aca="false">'1. Raw Data'!I720</f>
        <v>3</v>
      </c>
      <c r="J721" s="3" t="n">
        <f aca="false">'1. Raw Data'!J720</f>
        <v>1</v>
      </c>
      <c r="K721" s="3" t="n">
        <f aca="false">'1. Raw Data'!K720</f>
        <v>3</v>
      </c>
      <c r="L721" s="3" t="n">
        <f aca="false">'1. Raw Data'!L720</f>
        <v>0</v>
      </c>
      <c r="M721" s="3" t="n">
        <f aca="false">'1. Raw Data'!M720</f>
        <v>2</v>
      </c>
      <c r="N721" s="3" t="str">
        <f aca="false">'1. Raw Data'!N720</f>
        <v>No</v>
      </c>
    </row>
    <row r="722" customFormat="false" ht="15" hidden="false" customHeight="false" outlineLevel="0" collapsed="false">
      <c r="A722" s="3" t="str">
        <f aca="false">'1. Raw Data'!A721</f>
        <v>EMP-0720</v>
      </c>
      <c r="B722" s="3" t="n">
        <f aca="false">'1. Raw Data'!B721</f>
        <v>42</v>
      </c>
      <c r="C722" s="3" t="str">
        <f aca="false">'1. Raw Data'!C721</f>
        <v>Engineering</v>
      </c>
      <c r="D722" s="3" t="str">
        <f aca="false">'1. Raw Data'!D721</f>
        <v>Junior</v>
      </c>
      <c r="E722" s="3" t="str">
        <f aca="false">'1. Raw Data'!E721</f>
        <v>Business</v>
      </c>
      <c r="F722" s="3" t="n">
        <f aca="false">'1. Raw Data'!F721</f>
        <v>0.3</v>
      </c>
      <c r="G722" s="3" t="n">
        <f aca="false">IF('1. Raw Data'!G721="",ROUND(IFERROR(AVERAGEIFS('1. Raw Data'!G2:G1201,'1. Raw Data'!C2:C1201,'1. Raw Data'!C721,'1. Raw Data'!D2:D1201,'1. Raw Data'!D721),0),2),'1. Raw Data'!G721)</f>
        <v>3700.59</v>
      </c>
      <c r="H722" s="3" t="str">
        <f aca="false">PROPER('1. Raw Data'!H721)</f>
        <v>No</v>
      </c>
      <c r="I722" s="3" t="n">
        <f aca="false">'1. Raw Data'!I721</f>
        <v>4</v>
      </c>
      <c r="J722" s="3" t="n">
        <f aca="false">'1. Raw Data'!J721</f>
        <v>3</v>
      </c>
      <c r="K722" s="3" t="n">
        <f aca="false">'1. Raw Data'!K721</f>
        <v>5</v>
      </c>
      <c r="L722" s="3" t="n">
        <f aca="false">'1. Raw Data'!L721</f>
        <v>0</v>
      </c>
      <c r="M722" s="3" t="n">
        <f aca="false">'1. Raw Data'!M721</f>
        <v>0</v>
      </c>
      <c r="N722" s="3" t="str">
        <f aca="false">'1. Raw Data'!N721</f>
        <v>No</v>
      </c>
    </row>
    <row r="723" customFormat="false" ht="15" hidden="false" customHeight="false" outlineLevel="0" collapsed="false">
      <c r="A723" s="3" t="str">
        <f aca="false">'1. Raw Data'!A722</f>
        <v>EMP-0721</v>
      </c>
      <c r="B723" s="3" t="n">
        <f aca="false">'1. Raw Data'!B722</f>
        <v>32</v>
      </c>
      <c r="C723" s="3" t="str">
        <f aca="false">'1. Raw Data'!C722</f>
        <v>Customer Support</v>
      </c>
      <c r="D723" s="3" t="str">
        <f aca="false">'1. Raw Data'!D722</f>
        <v>Junior</v>
      </c>
      <c r="E723" s="3" t="str">
        <f aca="false">'1. Raw Data'!E722</f>
        <v>Marketing</v>
      </c>
      <c r="F723" s="3" t="n">
        <f aca="false">'1. Raw Data'!F722</f>
        <v>0</v>
      </c>
      <c r="G723" s="3" t="n">
        <f aca="false">IF('1. Raw Data'!G722="",ROUND(IFERROR(AVERAGEIFS('1. Raw Data'!G2:G1201,'1. Raw Data'!C2:C1201,'1. Raw Data'!C722,'1. Raw Data'!D2:D1201,'1. Raw Data'!D722),0),2),'1. Raw Data'!G722)</f>
        <v>3461.32</v>
      </c>
      <c r="H723" s="3" t="str">
        <f aca="false">PROPER('1. Raw Data'!H722)</f>
        <v>Yes</v>
      </c>
      <c r="I723" s="3" t="n">
        <f aca="false">'1. Raw Data'!I722</f>
        <v>4</v>
      </c>
      <c r="J723" s="3" t="n">
        <f aca="false">'1. Raw Data'!J722</f>
        <v>2</v>
      </c>
      <c r="K723" s="3" t="n">
        <f aca="false">'1. Raw Data'!K722</f>
        <v>8</v>
      </c>
      <c r="L723" s="3" t="n">
        <f aca="false">'1. Raw Data'!L722</f>
        <v>0</v>
      </c>
      <c r="M723" s="3" t="n">
        <f aca="false">'1. Raw Data'!M722</f>
        <v>3</v>
      </c>
      <c r="N723" s="3" t="str">
        <f aca="false">'1. Raw Data'!N722</f>
        <v>No</v>
      </c>
    </row>
    <row r="724" customFormat="false" ht="15" hidden="false" customHeight="false" outlineLevel="0" collapsed="false">
      <c r="A724" s="3" t="str">
        <f aca="false">'1. Raw Data'!A723</f>
        <v>EMP-0722</v>
      </c>
      <c r="B724" s="3" t="n">
        <f aca="false">'1. Raw Data'!B723</f>
        <v>44</v>
      </c>
      <c r="C724" s="3" t="str">
        <f aca="false">'1. Raw Data'!C723</f>
        <v>Customer Support</v>
      </c>
      <c r="D724" s="3" t="str">
        <f aca="false">'1. Raw Data'!D723</f>
        <v>Mid</v>
      </c>
      <c r="E724" s="3" t="str">
        <f aca="false">'1. Raw Data'!E723</f>
        <v>Technical</v>
      </c>
      <c r="F724" s="3" t="n">
        <f aca="false">'1. Raw Data'!F723</f>
        <v>2.2</v>
      </c>
      <c r="G724" s="3" t="n">
        <f aca="false">IF('1. Raw Data'!G723="",ROUND(IFERROR(AVERAGEIFS('1. Raw Data'!G2:G1201,'1. Raw Data'!C2:C1201,'1. Raw Data'!C723,'1. Raw Data'!D2:D1201,'1. Raw Data'!D723),0),2),'1. Raw Data'!G723)</f>
        <v>4836.23</v>
      </c>
      <c r="H724" s="3" t="str">
        <f aca="false">PROPER('1. Raw Data'!H723)</f>
        <v>Yes</v>
      </c>
      <c r="I724" s="3" t="n">
        <f aca="false">'1. Raw Data'!I723</f>
        <v>1</v>
      </c>
      <c r="J724" s="3" t="n">
        <f aca="false">'1. Raw Data'!J723</f>
        <v>1</v>
      </c>
      <c r="K724" s="3" t="n">
        <f aca="false">'1. Raw Data'!K723</f>
        <v>9</v>
      </c>
      <c r="L724" s="3" t="n">
        <f aca="false">'1. Raw Data'!L723</f>
        <v>0</v>
      </c>
      <c r="M724" s="3" t="n">
        <f aca="false">'1. Raw Data'!M723</f>
        <v>1</v>
      </c>
      <c r="N724" s="3" t="str">
        <f aca="false">'1. Raw Data'!N723</f>
        <v>Yes</v>
      </c>
    </row>
    <row r="725" customFormat="false" ht="15" hidden="false" customHeight="false" outlineLevel="0" collapsed="false">
      <c r="A725" s="3" t="str">
        <f aca="false">'1. Raw Data'!A724</f>
        <v>EMP-0723</v>
      </c>
      <c r="B725" s="3" t="n">
        <f aca="false">'1. Raw Data'!B724</f>
        <v>26</v>
      </c>
      <c r="C725" s="3" t="str">
        <f aca="false">'1. Raw Data'!C724</f>
        <v>Marketing</v>
      </c>
      <c r="D725" s="3" t="str">
        <f aca="false">'1. Raw Data'!D724</f>
        <v>Lead</v>
      </c>
      <c r="E725" s="3" t="str">
        <f aca="false">'1. Raw Data'!E724</f>
        <v>Other</v>
      </c>
      <c r="F725" s="3" t="n">
        <f aca="false">'1. Raw Data'!F724</f>
        <v>5</v>
      </c>
      <c r="G725" s="3" t="n">
        <f aca="false">IF('1. Raw Data'!G724="",ROUND(IFERROR(AVERAGEIFS('1. Raw Data'!G2:G1201,'1. Raw Data'!C2:C1201,'1. Raw Data'!C724,'1. Raw Data'!D2:D1201,'1. Raw Data'!D724),0),2),'1. Raw Data'!G724)</f>
        <v>11327.21</v>
      </c>
      <c r="H725" s="3" t="str">
        <f aca="false">PROPER('1. Raw Data'!H724)</f>
        <v>No</v>
      </c>
      <c r="I725" s="3" t="n">
        <f aca="false">'1. Raw Data'!I724</f>
        <v>1</v>
      </c>
      <c r="J725" s="3" t="n">
        <f aca="false">'1. Raw Data'!J724</f>
        <v>2</v>
      </c>
      <c r="K725" s="3" t="n">
        <f aca="false">'1. Raw Data'!K724</f>
        <v>1</v>
      </c>
      <c r="L725" s="3" t="n">
        <f aca="false">'1. Raw Data'!L724</f>
        <v>0</v>
      </c>
      <c r="M725" s="3" t="n">
        <f aca="false">'1. Raw Data'!M724</f>
        <v>5</v>
      </c>
      <c r="N725" s="3" t="str">
        <f aca="false">'1. Raw Data'!N724</f>
        <v>No</v>
      </c>
    </row>
    <row r="726" customFormat="false" ht="15" hidden="false" customHeight="false" outlineLevel="0" collapsed="false">
      <c r="A726" s="3" t="str">
        <f aca="false">'1. Raw Data'!A725</f>
        <v>EMP-0724</v>
      </c>
      <c r="B726" s="3" t="n">
        <f aca="false">'1. Raw Data'!B725</f>
        <v>43</v>
      </c>
      <c r="C726" s="3" t="str">
        <f aca="false">'1. Raw Data'!C725</f>
        <v>Engineering</v>
      </c>
      <c r="D726" s="3" t="str">
        <f aca="false">'1. Raw Data'!D725</f>
        <v>Senior</v>
      </c>
      <c r="E726" s="3" t="str">
        <f aca="false">'1. Raw Data'!E725</f>
        <v>Marketing</v>
      </c>
      <c r="F726" s="3" t="n">
        <f aca="false">'1. Raw Data'!F725</f>
        <v>1.9</v>
      </c>
      <c r="G726" s="3" t="n">
        <f aca="false">IF('1. Raw Data'!G725="",ROUND(IFERROR(AVERAGEIFS('1. Raw Data'!G2:G1201,'1. Raw Data'!C2:C1201,'1. Raw Data'!C725,'1. Raw Data'!D2:D1201,'1. Raw Data'!D725),0),2),'1. Raw Data'!G725)</f>
        <v>6569.02</v>
      </c>
      <c r="H726" s="3" t="str">
        <f aca="false">PROPER('1. Raw Data'!H725)</f>
        <v>Yes</v>
      </c>
      <c r="I726" s="3" t="n">
        <f aca="false">'1. Raw Data'!I725</f>
        <v>3</v>
      </c>
      <c r="J726" s="3" t="n">
        <f aca="false">'1. Raw Data'!J725</f>
        <v>4</v>
      </c>
      <c r="K726" s="3" t="n">
        <f aca="false">'1. Raw Data'!K725</f>
        <v>1</v>
      </c>
      <c r="L726" s="3" t="n">
        <f aca="false">'1. Raw Data'!L725</f>
        <v>1</v>
      </c>
      <c r="M726" s="3" t="n">
        <f aca="false">'1. Raw Data'!M725</f>
        <v>0</v>
      </c>
      <c r="N726" s="3" t="str">
        <f aca="false">'1. Raw Data'!N725</f>
        <v>No</v>
      </c>
    </row>
    <row r="727" customFormat="false" ht="15" hidden="false" customHeight="false" outlineLevel="0" collapsed="false">
      <c r="A727" s="3" t="str">
        <f aca="false">'1. Raw Data'!A726</f>
        <v>EMP-0725</v>
      </c>
      <c r="B727" s="3" t="n">
        <f aca="false">'1. Raw Data'!B726</f>
        <v>36</v>
      </c>
      <c r="C727" s="3" t="str">
        <f aca="false">'1. Raw Data'!C726</f>
        <v>HR</v>
      </c>
      <c r="D727" s="3" t="str">
        <f aca="false">'1. Raw Data'!D726</f>
        <v>Senior</v>
      </c>
      <c r="E727" s="3" t="str">
        <f aca="false">'1. Raw Data'!E726</f>
        <v>Business</v>
      </c>
      <c r="F727" s="3" t="n">
        <f aca="false">'1. Raw Data'!F726</f>
        <v>1.1</v>
      </c>
      <c r="G727" s="3" t="n">
        <f aca="false">IF('1. Raw Data'!G726="",ROUND(IFERROR(AVERAGEIFS('1. Raw Data'!G2:G1201,'1. Raw Data'!C2:C1201,'1. Raw Data'!C726,'1. Raw Data'!D2:D1201,'1. Raw Data'!D726),0),2),'1. Raw Data'!G726)</f>
        <v>6492.78</v>
      </c>
      <c r="H727" s="3" t="str">
        <f aca="false">PROPER('1. Raw Data'!H726)</f>
        <v>No</v>
      </c>
      <c r="I727" s="3" t="n">
        <f aca="false">'1. Raw Data'!I726</f>
        <v>4</v>
      </c>
      <c r="J727" s="3" t="n">
        <f aca="false">'1. Raw Data'!J726</f>
        <v>3</v>
      </c>
      <c r="K727" s="3" t="n">
        <f aca="false">'1. Raw Data'!K726</f>
        <v>11</v>
      </c>
      <c r="L727" s="3" t="n">
        <f aca="false">'1. Raw Data'!L726</f>
        <v>1</v>
      </c>
      <c r="M727" s="3" t="n">
        <f aca="false">'1. Raw Data'!M726</f>
        <v>2</v>
      </c>
      <c r="N727" s="3" t="str">
        <f aca="false">'1. Raw Data'!N726</f>
        <v>Yes</v>
      </c>
    </row>
    <row r="728" customFormat="false" ht="15" hidden="false" customHeight="false" outlineLevel="0" collapsed="false">
      <c r="A728" s="3" t="str">
        <f aca="false">'1. Raw Data'!A727</f>
        <v>EMP-0726</v>
      </c>
      <c r="B728" s="3" t="n">
        <f aca="false">'1. Raw Data'!B727</f>
        <v>41</v>
      </c>
      <c r="C728" s="3" t="str">
        <f aca="false">'1. Raw Data'!C727</f>
        <v>Sales</v>
      </c>
      <c r="D728" s="3" t="str">
        <f aca="false">'1. Raw Data'!D727</f>
        <v>Junior</v>
      </c>
      <c r="E728" s="3" t="str">
        <f aca="false">'1. Raw Data'!E727</f>
        <v>Business</v>
      </c>
      <c r="F728" s="3" t="n">
        <f aca="false">'1. Raw Data'!F727</f>
        <v>0.9</v>
      </c>
      <c r="G728" s="3" t="n">
        <f aca="false">IF('1. Raw Data'!G727="",ROUND(IFERROR(AVERAGEIFS('1. Raw Data'!G2:G1201,'1. Raw Data'!C2:C1201,'1. Raw Data'!C727,'1. Raw Data'!D2:D1201,'1. Raw Data'!D727),0),2),'1. Raw Data'!G727)</f>
        <v>3135.54</v>
      </c>
      <c r="H728" s="3" t="str">
        <f aca="false">PROPER('1. Raw Data'!H727)</f>
        <v>No</v>
      </c>
      <c r="I728" s="3" t="n">
        <f aca="false">'1. Raw Data'!I727</f>
        <v>1</v>
      </c>
      <c r="J728" s="3" t="n">
        <f aca="false">'1. Raw Data'!J727</f>
        <v>3</v>
      </c>
      <c r="K728" s="3" t="n">
        <f aca="false">'1. Raw Data'!K727</f>
        <v>1</v>
      </c>
      <c r="L728" s="3" t="n">
        <f aca="false">'1. Raw Data'!L727</f>
        <v>0</v>
      </c>
      <c r="M728" s="3" t="n">
        <f aca="false">'1. Raw Data'!M727</f>
        <v>3</v>
      </c>
      <c r="N728" s="3" t="str">
        <f aca="false">'1. Raw Data'!N727</f>
        <v>No</v>
      </c>
    </row>
    <row r="729" customFormat="false" ht="15" hidden="false" customHeight="false" outlineLevel="0" collapsed="false">
      <c r="A729" s="3" t="str">
        <f aca="false">'1. Raw Data'!A728</f>
        <v>EMP-0727</v>
      </c>
      <c r="B729" s="3" t="n">
        <f aca="false">'1. Raw Data'!B728</f>
        <v>33</v>
      </c>
      <c r="C729" s="3" t="str">
        <f aca="false">'1. Raw Data'!C728</f>
        <v>Finance</v>
      </c>
      <c r="D729" s="3" t="str">
        <f aca="false">'1. Raw Data'!D728</f>
        <v>Mid</v>
      </c>
      <c r="E729" s="3" t="str">
        <f aca="false">'1. Raw Data'!E728</f>
        <v>Business</v>
      </c>
      <c r="F729" s="3" t="n">
        <f aca="false">'1. Raw Data'!F728</f>
        <v>1.5</v>
      </c>
      <c r="G729" s="3" t="n">
        <f aca="false">IF('1. Raw Data'!G728="",ROUND(IFERROR(AVERAGEIFS('1. Raw Data'!G2:G1201,'1. Raw Data'!C2:C1201,'1. Raw Data'!C728,'1. Raw Data'!D2:D1201,'1. Raw Data'!D728),0),2),'1. Raw Data'!G728)</f>
        <v>4399.3</v>
      </c>
      <c r="H729" s="3" t="str">
        <f aca="false">PROPER('1. Raw Data'!H728)</f>
        <v>No</v>
      </c>
      <c r="I729" s="3" t="n">
        <f aca="false">'1. Raw Data'!I728</f>
        <v>1</v>
      </c>
      <c r="J729" s="3" t="n">
        <f aca="false">'1. Raw Data'!J728</f>
        <v>1</v>
      </c>
      <c r="K729" s="3" t="n">
        <f aca="false">'1. Raw Data'!K728</f>
        <v>10</v>
      </c>
      <c r="L729" s="3" t="n">
        <f aca="false">'1. Raw Data'!L728</f>
        <v>0</v>
      </c>
      <c r="M729" s="3" t="n">
        <f aca="false">'1. Raw Data'!M728</f>
        <v>1</v>
      </c>
      <c r="N729" s="3" t="str">
        <f aca="false">'1. Raw Data'!N728</f>
        <v>No</v>
      </c>
    </row>
    <row r="730" customFormat="false" ht="15" hidden="false" customHeight="false" outlineLevel="0" collapsed="false">
      <c r="A730" s="3" t="str">
        <f aca="false">'1. Raw Data'!A729</f>
        <v>EMP-0728</v>
      </c>
      <c r="B730" s="3" t="n">
        <f aca="false">'1. Raw Data'!B729</f>
        <v>32</v>
      </c>
      <c r="C730" s="3" t="str">
        <f aca="false">'1. Raw Data'!C729</f>
        <v>Customer Support</v>
      </c>
      <c r="D730" s="3" t="str">
        <f aca="false">'1. Raw Data'!D729</f>
        <v>Junior</v>
      </c>
      <c r="E730" s="3" t="str">
        <f aca="false">'1. Raw Data'!E729</f>
        <v>Marketing</v>
      </c>
      <c r="F730" s="3" t="n">
        <f aca="false">'1. Raw Data'!F729</f>
        <v>3.4</v>
      </c>
      <c r="G730" s="3" t="n">
        <f aca="false">IF('1. Raw Data'!G729="",ROUND(IFERROR(AVERAGEIFS('1. Raw Data'!G2:G1201,'1. Raw Data'!C2:C1201,'1. Raw Data'!C729,'1. Raw Data'!D2:D1201,'1. Raw Data'!D729),0),2),'1. Raw Data'!G729)</f>
        <v>3328.18</v>
      </c>
      <c r="H730" s="3" t="str">
        <f aca="false">PROPER('1. Raw Data'!H729)</f>
        <v>No</v>
      </c>
      <c r="I730" s="3" t="n">
        <f aca="false">'1. Raw Data'!I729</f>
        <v>3</v>
      </c>
      <c r="J730" s="3" t="n">
        <f aca="false">'1. Raw Data'!J729</f>
        <v>2</v>
      </c>
      <c r="K730" s="3" t="n">
        <f aca="false">'1. Raw Data'!K729</f>
        <v>2</v>
      </c>
      <c r="L730" s="3" t="n">
        <f aca="false">'1. Raw Data'!L729</f>
        <v>3</v>
      </c>
      <c r="M730" s="3" t="n">
        <f aca="false">'1. Raw Data'!M729</f>
        <v>4</v>
      </c>
      <c r="N730" s="3" t="str">
        <f aca="false">'1. Raw Data'!N729</f>
        <v>No</v>
      </c>
    </row>
    <row r="731" customFormat="false" ht="15" hidden="false" customHeight="false" outlineLevel="0" collapsed="false">
      <c r="A731" s="3" t="str">
        <f aca="false">'1. Raw Data'!A730</f>
        <v>EMP-0729</v>
      </c>
      <c r="B731" s="3" t="n">
        <f aca="false">'1. Raw Data'!B730</f>
        <v>32</v>
      </c>
      <c r="C731" s="3" t="str">
        <f aca="false">'1. Raw Data'!C730</f>
        <v>Finance</v>
      </c>
      <c r="D731" s="3" t="str">
        <f aca="false">'1. Raw Data'!D730</f>
        <v>Lead</v>
      </c>
      <c r="E731" s="3" t="str">
        <f aca="false">'1. Raw Data'!E730</f>
        <v>Other</v>
      </c>
      <c r="F731" s="3" t="n">
        <f aca="false">'1. Raw Data'!F730</f>
        <v>1</v>
      </c>
      <c r="G731" s="3" t="n">
        <f aca="false">IF('1. Raw Data'!G730="",ROUND(IFERROR(AVERAGEIFS('1. Raw Data'!G2:G1201,'1. Raw Data'!C2:C1201,'1. Raw Data'!C730,'1. Raw Data'!D2:D1201,'1. Raw Data'!D730),0),2),'1. Raw Data'!G730)</f>
        <v>10107.75</v>
      </c>
      <c r="H731" s="3" t="str">
        <f aca="false">PROPER('1. Raw Data'!H730)</f>
        <v>No</v>
      </c>
      <c r="I731" s="3" t="n">
        <f aca="false">'1. Raw Data'!I730</f>
        <v>4</v>
      </c>
      <c r="J731" s="3" t="n">
        <f aca="false">'1. Raw Data'!J730</f>
        <v>3</v>
      </c>
      <c r="K731" s="3" t="n">
        <f aca="false">'1. Raw Data'!K730</f>
        <v>2</v>
      </c>
      <c r="L731" s="3" t="n">
        <f aca="false">'1. Raw Data'!L730</f>
        <v>1</v>
      </c>
      <c r="M731" s="3" t="n">
        <f aca="false">'1. Raw Data'!M730</f>
        <v>2</v>
      </c>
      <c r="N731" s="3" t="str">
        <f aca="false">'1. Raw Data'!N730</f>
        <v>No</v>
      </c>
    </row>
    <row r="732" customFormat="false" ht="15" hidden="false" customHeight="false" outlineLevel="0" collapsed="false">
      <c r="A732" s="3" t="str">
        <f aca="false">'1. Raw Data'!A731</f>
        <v>EMP-0730</v>
      </c>
      <c r="B732" s="3" t="n">
        <f aca="false">'1. Raw Data'!B731</f>
        <v>33</v>
      </c>
      <c r="C732" s="3" t="str">
        <f aca="false">'1. Raw Data'!C731</f>
        <v>Customer Support</v>
      </c>
      <c r="D732" s="3" t="str">
        <f aca="false">'1. Raw Data'!D731</f>
        <v>Mid</v>
      </c>
      <c r="E732" s="3" t="str">
        <f aca="false">'1. Raw Data'!E731</f>
        <v>Technical</v>
      </c>
      <c r="F732" s="3" t="n">
        <f aca="false">'1. Raw Data'!F731</f>
        <v>1.1</v>
      </c>
      <c r="G732" s="3" t="n">
        <f aca="false">IF('1. Raw Data'!G731="",ROUND(IFERROR(AVERAGEIFS('1. Raw Data'!G2:G1201,'1. Raw Data'!C2:C1201,'1. Raw Data'!C731,'1. Raw Data'!D2:D1201,'1. Raw Data'!D731),0),2),'1. Raw Data'!G731)</f>
        <v>5400.76</v>
      </c>
      <c r="H732" s="3" t="str">
        <f aca="false">PROPER('1. Raw Data'!H731)</f>
        <v>Yes</v>
      </c>
      <c r="I732" s="3" t="n">
        <f aca="false">'1. Raw Data'!I731</f>
        <v>3</v>
      </c>
      <c r="J732" s="3" t="n">
        <f aca="false">'1. Raw Data'!J731</f>
        <v>2</v>
      </c>
      <c r="K732" s="3" t="n">
        <f aca="false">'1. Raw Data'!K731</f>
        <v>7</v>
      </c>
      <c r="L732" s="3" t="n">
        <f aca="false">'1. Raw Data'!L731</f>
        <v>1</v>
      </c>
      <c r="M732" s="3" t="n">
        <f aca="false">'1. Raw Data'!M731</f>
        <v>1</v>
      </c>
      <c r="N732" s="3" t="str">
        <f aca="false">'1. Raw Data'!N731</f>
        <v>No</v>
      </c>
    </row>
    <row r="733" customFormat="false" ht="15" hidden="false" customHeight="false" outlineLevel="0" collapsed="false">
      <c r="A733" s="3" t="str">
        <f aca="false">'1. Raw Data'!A732</f>
        <v>EMP-0731</v>
      </c>
      <c r="B733" s="3" t="n">
        <f aca="false">'1. Raw Data'!B732</f>
        <v>40</v>
      </c>
      <c r="C733" s="3" t="str">
        <f aca="false">'1. Raw Data'!C732</f>
        <v>Customer Support</v>
      </c>
      <c r="D733" s="3" t="str">
        <f aca="false">'1. Raw Data'!D732</f>
        <v>Junior</v>
      </c>
      <c r="E733" s="3" t="str">
        <f aca="false">'1. Raw Data'!E732</f>
        <v>Technical</v>
      </c>
      <c r="F733" s="3" t="n">
        <f aca="false">'1. Raw Data'!F732</f>
        <v>6</v>
      </c>
      <c r="G733" s="3" t="n">
        <f aca="false">IF('1. Raw Data'!G732="",ROUND(IFERROR(AVERAGEIFS('1. Raw Data'!G2:G1201,'1. Raw Data'!C2:C1201,'1. Raw Data'!C732,'1. Raw Data'!D2:D1201,'1. Raw Data'!D732),0),2),'1. Raw Data'!G732)</f>
        <v>3228.98</v>
      </c>
      <c r="H733" s="3" t="str">
        <f aca="false">PROPER('1. Raw Data'!H732)</f>
        <v>Yes</v>
      </c>
      <c r="I733" s="3" t="n">
        <f aca="false">'1. Raw Data'!I732</f>
        <v>3</v>
      </c>
      <c r="J733" s="3" t="n">
        <f aca="false">'1. Raw Data'!J732</f>
        <v>3</v>
      </c>
      <c r="K733" s="3" t="n">
        <f aca="false">'1. Raw Data'!K732</f>
        <v>13</v>
      </c>
      <c r="L733" s="3" t="n">
        <f aca="false">'1. Raw Data'!L732</f>
        <v>2</v>
      </c>
      <c r="M733" s="3" t="n">
        <f aca="false">'1. Raw Data'!M732</f>
        <v>1</v>
      </c>
      <c r="N733" s="3" t="str">
        <f aca="false">'1. Raw Data'!N732</f>
        <v>No</v>
      </c>
    </row>
    <row r="734" customFormat="false" ht="15" hidden="false" customHeight="false" outlineLevel="0" collapsed="false">
      <c r="A734" s="3" t="str">
        <f aca="false">'1. Raw Data'!A733</f>
        <v>EMP-0732</v>
      </c>
      <c r="B734" s="3" t="n">
        <f aca="false">'1. Raw Data'!B733</f>
        <v>27</v>
      </c>
      <c r="C734" s="3" t="str">
        <f aca="false">'1. Raw Data'!C733</f>
        <v>Sales</v>
      </c>
      <c r="D734" s="3" t="str">
        <f aca="false">'1. Raw Data'!D733</f>
        <v>Mid</v>
      </c>
      <c r="E734" s="3" t="str">
        <f aca="false">'1. Raw Data'!E733</f>
        <v>Business</v>
      </c>
      <c r="F734" s="3" t="n">
        <f aca="false">'1. Raw Data'!F733</f>
        <v>0.5</v>
      </c>
      <c r="G734" s="3" t="n">
        <f aca="false">IF('1. Raw Data'!G733="",ROUND(IFERROR(AVERAGEIFS('1. Raw Data'!G2:G1201,'1. Raw Data'!C2:C1201,'1. Raw Data'!C733,'1. Raw Data'!D2:D1201,'1. Raw Data'!D733),0),2),'1. Raw Data'!G733)</f>
        <v>4753.94</v>
      </c>
      <c r="H734" s="3" t="str">
        <f aca="false">PROPER('1. Raw Data'!H733)</f>
        <v>No</v>
      </c>
      <c r="I734" s="3" t="n">
        <f aca="false">'1. Raw Data'!I733</f>
        <v>3</v>
      </c>
      <c r="J734" s="3" t="n">
        <f aca="false">'1. Raw Data'!J733</f>
        <v>2</v>
      </c>
      <c r="K734" s="3" t="n">
        <f aca="false">'1. Raw Data'!K733</f>
        <v>13</v>
      </c>
      <c r="L734" s="3" t="n">
        <f aca="false">'1. Raw Data'!L733</f>
        <v>0</v>
      </c>
      <c r="M734" s="3" t="n">
        <f aca="false">'1. Raw Data'!M733</f>
        <v>1</v>
      </c>
      <c r="N734" s="3" t="str">
        <f aca="false">'1. Raw Data'!N733</f>
        <v>No</v>
      </c>
    </row>
    <row r="735" customFormat="false" ht="15" hidden="false" customHeight="false" outlineLevel="0" collapsed="false">
      <c r="A735" s="3" t="str">
        <f aca="false">'1. Raw Data'!A734</f>
        <v>EMP-0733</v>
      </c>
      <c r="B735" s="3" t="n">
        <f aca="false">'1. Raw Data'!B734</f>
        <v>21</v>
      </c>
      <c r="C735" s="3" t="str">
        <f aca="false">'1. Raw Data'!C734</f>
        <v>Engineering</v>
      </c>
      <c r="D735" s="3" t="str">
        <f aca="false">'1. Raw Data'!D734</f>
        <v>Lead</v>
      </c>
      <c r="E735" s="3" t="str">
        <f aca="false">'1. Raw Data'!E734</f>
        <v>Business</v>
      </c>
      <c r="F735" s="3" t="n">
        <f aca="false">'1. Raw Data'!F734</f>
        <v>0</v>
      </c>
      <c r="G735" s="3" t="n">
        <f aca="false">IF('1. Raw Data'!G734="",ROUND(IFERROR(AVERAGEIFS('1. Raw Data'!G2:G1201,'1. Raw Data'!C2:C1201,'1. Raw Data'!C734,'1. Raw Data'!D2:D1201,'1. Raw Data'!D734),0),2),'1. Raw Data'!G734)</f>
        <v>9028.49</v>
      </c>
      <c r="H735" s="3" t="str">
        <f aca="false">PROPER('1. Raw Data'!H734)</f>
        <v>No</v>
      </c>
      <c r="I735" s="3" t="n">
        <f aca="false">'1. Raw Data'!I734</f>
        <v>4</v>
      </c>
      <c r="J735" s="3" t="n">
        <f aca="false">'1. Raw Data'!J734</f>
        <v>3</v>
      </c>
      <c r="K735" s="3" t="n">
        <f aca="false">'1. Raw Data'!K734</f>
        <v>2</v>
      </c>
      <c r="L735" s="3" t="n">
        <f aca="false">'1. Raw Data'!L734</f>
        <v>0</v>
      </c>
      <c r="M735" s="3" t="n">
        <f aca="false">'1. Raw Data'!M734</f>
        <v>2</v>
      </c>
      <c r="N735" s="3" t="str">
        <f aca="false">'1. Raw Data'!N734</f>
        <v>No</v>
      </c>
    </row>
    <row r="736" customFormat="false" ht="15" hidden="false" customHeight="false" outlineLevel="0" collapsed="false">
      <c r="A736" s="3" t="str">
        <f aca="false">'1. Raw Data'!A735</f>
        <v>EMP-0734</v>
      </c>
      <c r="B736" s="3" t="n">
        <f aca="false">'1. Raw Data'!B735</f>
        <v>30</v>
      </c>
      <c r="C736" s="3" t="str">
        <f aca="false">'1. Raw Data'!C735</f>
        <v>HR</v>
      </c>
      <c r="D736" s="3" t="str">
        <f aca="false">'1. Raw Data'!D735</f>
        <v>Junior</v>
      </c>
      <c r="E736" s="3" t="str">
        <f aca="false">'1. Raw Data'!E735</f>
        <v>Business</v>
      </c>
      <c r="F736" s="3" t="n">
        <f aca="false">'1. Raw Data'!F735</f>
        <v>0.4</v>
      </c>
      <c r="G736" s="3" t="n">
        <f aca="false">IF('1. Raw Data'!G735="",ROUND(IFERROR(AVERAGEIFS('1. Raw Data'!G2:G1201,'1. Raw Data'!C2:C1201,'1. Raw Data'!C735,'1. Raw Data'!D2:D1201,'1. Raw Data'!D735),0),2),'1. Raw Data'!G735)</f>
        <v>3293.19</v>
      </c>
      <c r="H736" s="3" t="str">
        <f aca="false">PROPER('1. Raw Data'!H735)</f>
        <v>No</v>
      </c>
      <c r="I736" s="3" t="n">
        <f aca="false">'1. Raw Data'!I735</f>
        <v>2</v>
      </c>
      <c r="J736" s="3" t="n">
        <f aca="false">'1. Raw Data'!J735</f>
        <v>2</v>
      </c>
      <c r="K736" s="3" t="n">
        <f aca="false">'1. Raw Data'!K735</f>
        <v>4</v>
      </c>
      <c r="L736" s="3" t="n">
        <f aca="false">'1. Raw Data'!L735</f>
        <v>0</v>
      </c>
      <c r="M736" s="3" t="n">
        <f aca="false">'1. Raw Data'!M735</f>
        <v>2</v>
      </c>
      <c r="N736" s="3" t="str">
        <f aca="false">'1. Raw Data'!N735</f>
        <v>No</v>
      </c>
    </row>
    <row r="737" customFormat="false" ht="15" hidden="false" customHeight="false" outlineLevel="0" collapsed="false">
      <c r="A737" s="3" t="str">
        <f aca="false">'1. Raw Data'!A736</f>
        <v>EMP-0735</v>
      </c>
      <c r="B737" s="3" t="n">
        <f aca="false">'1. Raw Data'!B736</f>
        <v>37</v>
      </c>
      <c r="C737" s="3" t="str">
        <f aca="false">'1. Raw Data'!C736</f>
        <v>Engineering</v>
      </c>
      <c r="D737" s="3" t="str">
        <f aca="false">'1. Raw Data'!D736</f>
        <v>Mid</v>
      </c>
      <c r="E737" s="3" t="str">
        <f aca="false">'1. Raw Data'!E736</f>
        <v>Business</v>
      </c>
      <c r="F737" s="3" t="n">
        <f aca="false">'1. Raw Data'!F736</f>
        <v>3.8</v>
      </c>
      <c r="G737" s="3" t="n">
        <f aca="false">IF('1. Raw Data'!G736="",ROUND(IFERROR(AVERAGEIFS('1. Raw Data'!G2:G1201,'1. Raw Data'!C2:C1201,'1. Raw Data'!C736,'1. Raw Data'!D2:D1201,'1. Raw Data'!D736),0),2),'1. Raw Data'!G736)</f>
        <v>4388.7</v>
      </c>
      <c r="H737" s="3" t="str">
        <f aca="false">PROPER('1. Raw Data'!H736)</f>
        <v>Yes</v>
      </c>
      <c r="I737" s="3" t="n">
        <f aca="false">'1. Raw Data'!I736</f>
        <v>4</v>
      </c>
      <c r="J737" s="3" t="n">
        <f aca="false">'1. Raw Data'!J736</f>
        <v>4</v>
      </c>
      <c r="K737" s="3" t="n">
        <f aca="false">'1. Raw Data'!K736</f>
        <v>1</v>
      </c>
      <c r="L737" s="3" t="n">
        <f aca="false">'1. Raw Data'!L736</f>
        <v>0</v>
      </c>
      <c r="M737" s="3" t="n">
        <f aca="false">'1. Raw Data'!M736</f>
        <v>0</v>
      </c>
      <c r="N737" s="3" t="str">
        <f aca="false">'1. Raw Data'!N736</f>
        <v>No</v>
      </c>
    </row>
    <row r="738" customFormat="false" ht="15" hidden="false" customHeight="false" outlineLevel="0" collapsed="false">
      <c r="A738" s="3" t="str">
        <f aca="false">'1. Raw Data'!A737</f>
        <v>EMP-0736</v>
      </c>
      <c r="B738" s="3" t="n">
        <f aca="false">'1. Raw Data'!B737</f>
        <v>46</v>
      </c>
      <c r="C738" s="3" t="str">
        <f aca="false">'1. Raw Data'!C737</f>
        <v>Marketing</v>
      </c>
      <c r="D738" s="3" t="str">
        <f aca="false">'1. Raw Data'!D737</f>
        <v>Mid</v>
      </c>
      <c r="E738" s="3" t="str">
        <f aca="false">'1. Raw Data'!E737</f>
        <v>Business</v>
      </c>
      <c r="F738" s="3" t="n">
        <f aca="false">'1. Raw Data'!F737</f>
        <v>2.3</v>
      </c>
      <c r="G738" s="3" t="n">
        <f aca="false">IF('1. Raw Data'!G737="",ROUND(IFERROR(AVERAGEIFS('1. Raw Data'!G2:G1201,'1. Raw Data'!C2:C1201,'1. Raw Data'!C737,'1. Raw Data'!D2:D1201,'1. Raw Data'!D737),0),2),'1. Raw Data'!G737)</f>
        <v>5162.52</v>
      </c>
      <c r="H738" s="3" t="str">
        <f aca="false">PROPER('1. Raw Data'!H737)</f>
        <v>No</v>
      </c>
      <c r="I738" s="3" t="n">
        <f aca="false">'1. Raw Data'!I737</f>
        <v>3</v>
      </c>
      <c r="J738" s="3" t="n">
        <f aca="false">'1. Raw Data'!J737</f>
        <v>3</v>
      </c>
      <c r="K738" s="3" t="n">
        <f aca="false">'1. Raw Data'!K737</f>
        <v>1</v>
      </c>
      <c r="L738" s="3" t="n">
        <f aca="false">'1. Raw Data'!L737</f>
        <v>0</v>
      </c>
      <c r="M738" s="3" t="n">
        <f aca="false">'1. Raw Data'!M737</f>
        <v>1</v>
      </c>
      <c r="N738" s="3" t="str">
        <f aca="false">'1. Raw Data'!N737</f>
        <v>No</v>
      </c>
    </row>
    <row r="739" customFormat="false" ht="15" hidden="false" customHeight="false" outlineLevel="0" collapsed="false">
      <c r="A739" s="3" t="str">
        <f aca="false">'1. Raw Data'!A738</f>
        <v>EMP-0737</v>
      </c>
      <c r="B739" s="3" t="n">
        <f aca="false">'1. Raw Data'!B738</f>
        <v>34</v>
      </c>
      <c r="C739" s="3" t="str">
        <f aca="false">'1. Raw Data'!C738</f>
        <v>Customer Support</v>
      </c>
      <c r="D739" s="3" t="str">
        <f aca="false">'1. Raw Data'!D738</f>
        <v>Mid</v>
      </c>
      <c r="E739" s="3" t="str">
        <f aca="false">'1. Raw Data'!E738</f>
        <v>Technical</v>
      </c>
      <c r="F739" s="3" t="n">
        <f aca="false">'1. Raw Data'!F738</f>
        <v>12.7</v>
      </c>
      <c r="G739" s="3" t="n">
        <f aca="false">IF('1. Raw Data'!G738="",ROUND(IFERROR(AVERAGEIFS('1. Raw Data'!G2:G1201,'1. Raw Data'!C2:C1201,'1. Raw Data'!C738,'1. Raw Data'!D2:D1201,'1. Raw Data'!D738),0),2),'1. Raw Data'!G738)</f>
        <v>4802.98</v>
      </c>
      <c r="H739" s="3" t="str">
        <f aca="false">PROPER('1. Raw Data'!H738)</f>
        <v>No</v>
      </c>
      <c r="I739" s="3" t="n">
        <f aca="false">'1. Raw Data'!I738</f>
        <v>3</v>
      </c>
      <c r="J739" s="3" t="n">
        <f aca="false">'1. Raw Data'!J738</f>
        <v>1</v>
      </c>
      <c r="K739" s="3" t="n">
        <f aca="false">'1. Raw Data'!K738</f>
        <v>5</v>
      </c>
      <c r="L739" s="3" t="n">
        <f aca="false">'1. Raw Data'!L738</f>
        <v>1</v>
      </c>
      <c r="M739" s="3" t="n">
        <f aca="false">'1. Raw Data'!M738</f>
        <v>1</v>
      </c>
      <c r="N739" s="3" t="str">
        <f aca="false">'1. Raw Data'!N738</f>
        <v>Yes</v>
      </c>
    </row>
    <row r="740" customFormat="false" ht="15" hidden="false" customHeight="false" outlineLevel="0" collapsed="false">
      <c r="A740" s="3" t="str">
        <f aca="false">'1. Raw Data'!A739</f>
        <v>EMP-0738</v>
      </c>
      <c r="B740" s="3" t="n">
        <f aca="false">'1. Raw Data'!B739</f>
        <v>40</v>
      </c>
      <c r="C740" s="3" t="str">
        <f aca="false">'1. Raw Data'!C739</f>
        <v>Sales</v>
      </c>
      <c r="D740" s="3" t="str">
        <f aca="false">'1. Raw Data'!D739</f>
        <v>Senior</v>
      </c>
      <c r="E740" s="3" t="str">
        <f aca="false">'1. Raw Data'!E739</f>
        <v>Marketing</v>
      </c>
      <c r="F740" s="3" t="n">
        <f aca="false">'1. Raw Data'!F739</f>
        <v>0.6</v>
      </c>
      <c r="G740" s="3" t="n">
        <f aca="false">IF('1. Raw Data'!G739="",ROUND(IFERROR(AVERAGEIFS('1. Raw Data'!G2:G1201,'1. Raw Data'!C2:C1201,'1. Raw Data'!C739,'1. Raw Data'!D2:D1201,'1. Raw Data'!D739),0),2),'1. Raw Data'!G739)</f>
        <v>7694.59</v>
      </c>
      <c r="H740" s="3" t="str">
        <f aca="false">PROPER('1. Raw Data'!H739)</f>
        <v>Yes</v>
      </c>
      <c r="I740" s="3" t="n">
        <f aca="false">'1. Raw Data'!I739</f>
        <v>2</v>
      </c>
      <c r="J740" s="3" t="n">
        <f aca="false">'1. Raw Data'!J739</f>
        <v>1</v>
      </c>
      <c r="K740" s="3" t="n">
        <f aca="false">'1. Raw Data'!K739</f>
        <v>6</v>
      </c>
      <c r="L740" s="3" t="n">
        <f aca="false">'1. Raw Data'!L739</f>
        <v>0</v>
      </c>
      <c r="M740" s="3" t="n">
        <f aca="false">'1. Raw Data'!M739</f>
        <v>1</v>
      </c>
      <c r="N740" s="3" t="str">
        <f aca="false">'1. Raw Data'!N739</f>
        <v>Yes</v>
      </c>
    </row>
    <row r="741" customFormat="false" ht="15" hidden="false" customHeight="false" outlineLevel="0" collapsed="false">
      <c r="A741" s="3" t="str">
        <f aca="false">'1. Raw Data'!A740</f>
        <v>EMP-0739</v>
      </c>
      <c r="B741" s="3" t="n">
        <f aca="false">'1. Raw Data'!B740</f>
        <v>28</v>
      </c>
      <c r="C741" s="3" t="str">
        <f aca="false">'1. Raw Data'!C740</f>
        <v>Marketing</v>
      </c>
      <c r="D741" s="3" t="str">
        <f aca="false">'1. Raw Data'!D740</f>
        <v>Senior</v>
      </c>
      <c r="E741" s="3" t="str">
        <f aca="false">'1. Raw Data'!E740</f>
        <v>Technical</v>
      </c>
      <c r="F741" s="3" t="n">
        <f aca="false">'1. Raw Data'!F740</f>
        <v>3.2</v>
      </c>
      <c r="G741" s="3" t="n">
        <f aca="false">IF('1. Raw Data'!G740="",ROUND(IFERROR(AVERAGEIFS('1. Raw Data'!G2:G1201,'1. Raw Data'!C2:C1201,'1. Raw Data'!C740,'1. Raw Data'!D2:D1201,'1. Raw Data'!D740),0),2),'1. Raw Data'!G740)</f>
        <v>6983.84</v>
      </c>
      <c r="H741" s="3" t="str">
        <f aca="false">PROPER('1. Raw Data'!H740)</f>
        <v>No</v>
      </c>
      <c r="I741" s="3" t="n">
        <f aca="false">'1. Raw Data'!I740</f>
        <v>4</v>
      </c>
      <c r="J741" s="3" t="n">
        <f aca="false">'1. Raw Data'!J740</f>
        <v>2</v>
      </c>
      <c r="K741" s="3" t="n">
        <f aca="false">'1. Raw Data'!K740</f>
        <v>7</v>
      </c>
      <c r="L741" s="3" t="n">
        <f aca="false">'1. Raw Data'!L740</f>
        <v>0</v>
      </c>
      <c r="M741" s="3" t="n">
        <f aca="false">'1. Raw Data'!M740</f>
        <v>2</v>
      </c>
      <c r="N741" s="3" t="str">
        <f aca="false">'1. Raw Data'!N740</f>
        <v>No</v>
      </c>
    </row>
    <row r="742" customFormat="false" ht="15" hidden="false" customHeight="false" outlineLevel="0" collapsed="false">
      <c r="A742" s="3" t="str">
        <f aca="false">'1. Raw Data'!A741</f>
        <v>EMP-0740</v>
      </c>
      <c r="B742" s="3" t="n">
        <f aca="false">'1. Raw Data'!B741</f>
        <v>31</v>
      </c>
      <c r="C742" s="3" t="str">
        <f aca="false">'1. Raw Data'!C741</f>
        <v>Customer Support</v>
      </c>
      <c r="D742" s="3" t="str">
        <f aca="false">'1. Raw Data'!D741</f>
        <v>Mid</v>
      </c>
      <c r="E742" s="3" t="str">
        <f aca="false">'1. Raw Data'!E741</f>
        <v>Business</v>
      </c>
      <c r="F742" s="3" t="n">
        <f aca="false">'1. Raw Data'!F741</f>
        <v>1.1</v>
      </c>
      <c r="G742" s="3" t="n">
        <f aca="false">IF('1. Raw Data'!G741="",ROUND(IFERROR(AVERAGEIFS('1. Raw Data'!G2:G1201,'1. Raw Data'!C2:C1201,'1. Raw Data'!C741,'1. Raw Data'!D2:D1201,'1. Raw Data'!D741),0),2),'1. Raw Data'!G741)</f>
        <v>5028.55</v>
      </c>
      <c r="H742" s="3" t="str">
        <f aca="false">PROPER('1. Raw Data'!H741)</f>
        <v>Yes</v>
      </c>
      <c r="I742" s="3" t="n">
        <f aca="false">'1. Raw Data'!I741</f>
        <v>4</v>
      </c>
      <c r="J742" s="3" t="n">
        <f aca="false">'1. Raw Data'!J741</f>
        <v>4</v>
      </c>
      <c r="K742" s="3" t="n">
        <f aca="false">'1. Raw Data'!K741</f>
        <v>11</v>
      </c>
      <c r="L742" s="3" t="n">
        <f aca="false">'1. Raw Data'!L741</f>
        <v>1</v>
      </c>
      <c r="M742" s="3" t="n">
        <f aca="false">'1. Raw Data'!M741</f>
        <v>4</v>
      </c>
      <c r="N742" s="3" t="str">
        <f aca="false">'1. Raw Data'!N741</f>
        <v>Yes</v>
      </c>
    </row>
    <row r="743" customFormat="false" ht="15" hidden="false" customHeight="false" outlineLevel="0" collapsed="false">
      <c r="A743" s="3" t="str">
        <f aca="false">'1. Raw Data'!A742</f>
        <v>EMP-0741</v>
      </c>
      <c r="B743" s="3" t="n">
        <f aca="false">'1. Raw Data'!B742</f>
        <v>29</v>
      </c>
      <c r="C743" s="3" t="str">
        <f aca="false">'1. Raw Data'!C742</f>
        <v>Sales</v>
      </c>
      <c r="D743" s="3" t="str">
        <f aca="false">'1. Raw Data'!D742</f>
        <v>Mid</v>
      </c>
      <c r="E743" s="3" t="str">
        <f aca="false">'1. Raw Data'!E742</f>
        <v>Business</v>
      </c>
      <c r="F743" s="3" t="n">
        <f aca="false">'1. Raw Data'!F742</f>
        <v>6.3</v>
      </c>
      <c r="G743" s="3" t="n">
        <f aca="false">IF('1. Raw Data'!G742="",ROUND(IFERROR(AVERAGEIFS('1. Raw Data'!G2:G1201,'1. Raw Data'!C2:C1201,'1. Raw Data'!C742,'1. Raw Data'!D2:D1201,'1. Raw Data'!D742),0),2),'1. Raw Data'!G742)</f>
        <v>5677.07</v>
      </c>
      <c r="H743" s="3" t="str">
        <f aca="false">PROPER('1. Raw Data'!H742)</f>
        <v>Yes</v>
      </c>
      <c r="I743" s="3" t="n">
        <f aca="false">'1. Raw Data'!I742</f>
        <v>3</v>
      </c>
      <c r="J743" s="3" t="n">
        <f aca="false">'1. Raw Data'!J742</f>
        <v>4</v>
      </c>
      <c r="K743" s="3" t="n">
        <f aca="false">'1. Raw Data'!K742</f>
        <v>9</v>
      </c>
      <c r="L743" s="3" t="n">
        <f aca="false">'1. Raw Data'!L742</f>
        <v>0</v>
      </c>
      <c r="M743" s="3" t="n">
        <f aca="false">'1. Raw Data'!M742</f>
        <v>1</v>
      </c>
      <c r="N743" s="3" t="str">
        <f aca="false">'1. Raw Data'!N742</f>
        <v>No</v>
      </c>
    </row>
    <row r="744" customFormat="false" ht="15" hidden="false" customHeight="false" outlineLevel="0" collapsed="false">
      <c r="A744" s="3" t="str">
        <f aca="false">'1. Raw Data'!A743</f>
        <v>EMP-0742</v>
      </c>
      <c r="B744" s="3" t="n">
        <f aca="false">'1. Raw Data'!B743</f>
        <v>49</v>
      </c>
      <c r="C744" s="3" t="str">
        <f aca="false">'1. Raw Data'!C743</f>
        <v>Sales</v>
      </c>
      <c r="D744" s="3" t="str">
        <f aca="false">'1. Raw Data'!D743</f>
        <v>Junior</v>
      </c>
      <c r="E744" s="3" t="str">
        <f aca="false">'1. Raw Data'!E743</f>
        <v>Other</v>
      </c>
      <c r="F744" s="3" t="n">
        <f aca="false">'1. Raw Data'!F743</f>
        <v>3</v>
      </c>
      <c r="G744" s="3" t="n">
        <f aca="false">IF('1. Raw Data'!G743="",ROUND(IFERROR(AVERAGEIFS('1. Raw Data'!G2:G1201,'1. Raw Data'!C2:C1201,'1. Raw Data'!C743,'1. Raw Data'!D2:D1201,'1. Raw Data'!D743),0),2),'1. Raw Data'!G743)</f>
        <v>2786.88</v>
      </c>
      <c r="H744" s="3" t="str">
        <f aca="false">PROPER('1. Raw Data'!H743)</f>
        <v>No</v>
      </c>
      <c r="I744" s="3" t="n">
        <f aca="false">'1. Raw Data'!I743</f>
        <v>3</v>
      </c>
      <c r="J744" s="3" t="n">
        <f aca="false">'1. Raw Data'!J743</f>
        <v>3</v>
      </c>
      <c r="K744" s="3" t="n">
        <f aca="false">'1. Raw Data'!K743</f>
        <v>5</v>
      </c>
      <c r="L744" s="3" t="n">
        <f aca="false">'1. Raw Data'!L743</f>
        <v>0</v>
      </c>
      <c r="M744" s="3" t="n">
        <f aca="false">'1. Raw Data'!M743</f>
        <v>2</v>
      </c>
      <c r="N744" s="3" t="str">
        <f aca="false">'1. Raw Data'!N743</f>
        <v>No</v>
      </c>
    </row>
    <row r="745" customFormat="false" ht="15" hidden="false" customHeight="false" outlineLevel="0" collapsed="false">
      <c r="A745" s="3" t="str">
        <f aca="false">'1. Raw Data'!A744</f>
        <v>EMP-0743</v>
      </c>
      <c r="B745" s="3" t="n">
        <f aca="false">'1. Raw Data'!B744</f>
        <v>36</v>
      </c>
      <c r="C745" s="3" t="str">
        <f aca="false">'1. Raw Data'!C744</f>
        <v>Finance</v>
      </c>
      <c r="D745" s="3" t="str">
        <f aca="false">'1. Raw Data'!D744</f>
        <v>Mid</v>
      </c>
      <c r="E745" s="3" t="str">
        <f aca="false">'1. Raw Data'!E744</f>
        <v>Business</v>
      </c>
      <c r="F745" s="3" t="n">
        <f aca="false">'1. Raw Data'!F744</f>
        <v>1.2</v>
      </c>
      <c r="G745" s="3" t="n">
        <f aca="false">IF('1. Raw Data'!G744="",ROUND(IFERROR(AVERAGEIFS('1. Raw Data'!G2:G1201,'1. Raw Data'!C2:C1201,'1. Raw Data'!C744,'1. Raw Data'!D2:D1201,'1. Raw Data'!D744),0),2),'1. Raw Data'!G744)</f>
        <v>4199.72</v>
      </c>
      <c r="H745" s="3" t="str">
        <f aca="false">PROPER('1. Raw Data'!H744)</f>
        <v>No</v>
      </c>
      <c r="I745" s="3" t="n">
        <f aca="false">'1. Raw Data'!I744</f>
        <v>4</v>
      </c>
      <c r="J745" s="3" t="n">
        <f aca="false">'1. Raw Data'!J744</f>
        <v>2</v>
      </c>
      <c r="K745" s="3" t="n">
        <f aca="false">'1. Raw Data'!K744</f>
        <v>22</v>
      </c>
      <c r="L745" s="3" t="n">
        <f aca="false">'1. Raw Data'!L744</f>
        <v>0</v>
      </c>
      <c r="M745" s="3" t="n">
        <f aca="false">'1. Raw Data'!M744</f>
        <v>1</v>
      </c>
      <c r="N745" s="3" t="str">
        <f aca="false">'1. Raw Data'!N744</f>
        <v>No</v>
      </c>
    </row>
    <row r="746" customFormat="false" ht="15" hidden="false" customHeight="false" outlineLevel="0" collapsed="false">
      <c r="A746" s="3" t="str">
        <f aca="false">'1. Raw Data'!A745</f>
        <v>EMP-0744</v>
      </c>
      <c r="B746" s="3" t="n">
        <f aca="false">'1. Raw Data'!B745</f>
        <v>47</v>
      </c>
      <c r="C746" s="3" t="str">
        <f aca="false">'1. Raw Data'!C745</f>
        <v>Customer Support</v>
      </c>
      <c r="D746" s="3" t="str">
        <f aca="false">'1. Raw Data'!D745</f>
        <v>Mid</v>
      </c>
      <c r="E746" s="3" t="str">
        <f aca="false">'1. Raw Data'!E745</f>
        <v>Marketing</v>
      </c>
      <c r="F746" s="3" t="n">
        <f aca="false">'1. Raw Data'!F745</f>
        <v>9.4</v>
      </c>
      <c r="G746" s="3" t="n">
        <f aca="false">IF('1. Raw Data'!G745="",ROUND(IFERROR(AVERAGEIFS('1. Raw Data'!G2:G1201,'1. Raw Data'!C2:C1201,'1. Raw Data'!C745,'1. Raw Data'!D2:D1201,'1. Raw Data'!D745),0),2),'1. Raw Data'!G745)</f>
        <v>4657.39</v>
      </c>
      <c r="H746" s="3" t="str">
        <f aca="false">PROPER('1. Raw Data'!H745)</f>
        <v>Yes</v>
      </c>
      <c r="I746" s="3" t="n">
        <f aca="false">'1. Raw Data'!I745</f>
        <v>3</v>
      </c>
      <c r="J746" s="3" t="n">
        <f aca="false">'1. Raw Data'!J745</f>
        <v>2</v>
      </c>
      <c r="K746" s="3" t="n">
        <f aca="false">'1. Raw Data'!K745</f>
        <v>28</v>
      </c>
      <c r="L746" s="3" t="n">
        <f aca="false">'1. Raw Data'!L745</f>
        <v>8</v>
      </c>
      <c r="M746" s="3" t="n">
        <f aca="false">'1. Raw Data'!M745</f>
        <v>6</v>
      </c>
      <c r="N746" s="3" t="str">
        <f aca="false">'1. Raw Data'!N745</f>
        <v>Yes</v>
      </c>
    </row>
    <row r="747" customFormat="false" ht="15" hidden="false" customHeight="false" outlineLevel="0" collapsed="false">
      <c r="A747" s="3" t="str">
        <f aca="false">'1. Raw Data'!A746</f>
        <v>EMP-0745</v>
      </c>
      <c r="B747" s="3" t="n">
        <f aca="false">'1. Raw Data'!B746</f>
        <v>38</v>
      </c>
      <c r="C747" s="3" t="str">
        <f aca="false">'1. Raw Data'!C746</f>
        <v>Sales</v>
      </c>
      <c r="D747" s="3" t="str">
        <f aca="false">'1. Raw Data'!D746</f>
        <v>Junior</v>
      </c>
      <c r="E747" s="3" t="str">
        <f aca="false">'1. Raw Data'!E746</f>
        <v>Marketing</v>
      </c>
      <c r="F747" s="3" t="n">
        <f aca="false">'1. Raw Data'!F746</f>
        <v>0.6</v>
      </c>
      <c r="G747" s="3" t="n">
        <f aca="false">IF('1. Raw Data'!G746="",ROUND(IFERROR(AVERAGEIFS('1. Raw Data'!G2:G1201,'1. Raw Data'!C2:C1201,'1. Raw Data'!C746,'1. Raw Data'!D2:D1201,'1. Raw Data'!D746),0),2),'1. Raw Data'!G746)</f>
        <v>3831.36</v>
      </c>
      <c r="H747" s="3" t="str">
        <f aca="false">PROPER('1. Raw Data'!H746)</f>
        <v>Yes</v>
      </c>
      <c r="I747" s="3" t="n">
        <f aca="false">'1. Raw Data'!I746</f>
        <v>3</v>
      </c>
      <c r="J747" s="3" t="n">
        <f aca="false">'1. Raw Data'!J746</f>
        <v>4</v>
      </c>
      <c r="K747" s="3" t="n">
        <f aca="false">'1. Raw Data'!K746</f>
        <v>28</v>
      </c>
      <c r="L747" s="3" t="n">
        <f aca="false">'1. Raw Data'!L746</f>
        <v>0</v>
      </c>
      <c r="M747" s="3" t="n">
        <f aca="false">'1. Raw Data'!M746</f>
        <v>1</v>
      </c>
      <c r="N747" s="3" t="str">
        <f aca="false">'1. Raw Data'!N746</f>
        <v>Yes</v>
      </c>
    </row>
    <row r="748" customFormat="false" ht="15" hidden="false" customHeight="false" outlineLevel="0" collapsed="false">
      <c r="A748" s="3" t="str">
        <f aca="false">'1. Raw Data'!A747</f>
        <v>EMP-0746</v>
      </c>
      <c r="B748" s="3" t="n">
        <f aca="false">'1. Raw Data'!B747</f>
        <v>35</v>
      </c>
      <c r="C748" s="3" t="str">
        <f aca="false">'1. Raw Data'!C747</f>
        <v>Sales</v>
      </c>
      <c r="D748" s="3" t="str">
        <f aca="false">'1. Raw Data'!D747</f>
        <v>Junior</v>
      </c>
      <c r="E748" s="3" t="str">
        <f aca="false">'1. Raw Data'!E747</f>
        <v>Business</v>
      </c>
      <c r="F748" s="3" t="n">
        <f aca="false">'1. Raw Data'!F747</f>
        <v>4.7</v>
      </c>
      <c r="G748" s="3" t="n">
        <f aca="false">IF('1. Raw Data'!G747="",ROUND(IFERROR(AVERAGEIFS('1. Raw Data'!G2:G1201,'1. Raw Data'!C2:C1201,'1. Raw Data'!C747,'1. Raw Data'!D2:D1201,'1. Raw Data'!D747),0),2),'1. Raw Data'!G747)</f>
        <v>3097.44</v>
      </c>
      <c r="H748" s="3" t="str">
        <f aca="false">PROPER('1. Raw Data'!H747)</f>
        <v>No</v>
      </c>
      <c r="I748" s="3" t="n">
        <f aca="false">'1. Raw Data'!I747</f>
        <v>1</v>
      </c>
      <c r="J748" s="3" t="n">
        <f aca="false">'1. Raw Data'!J747</f>
        <v>2</v>
      </c>
      <c r="K748" s="3" t="n">
        <f aca="false">'1. Raw Data'!K747</f>
        <v>15</v>
      </c>
      <c r="L748" s="3" t="n">
        <f aca="false">'1. Raw Data'!L747</f>
        <v>2</v>
      </c>
      <c r="M748" s="3" t="n">
        <f aca="false">'1. Raw Data'!M747</f>
        <v>4</v>
      </c>
      <c r="N748" s="3" t="str">
        <f aca="false">'1. Raw Data'!N747</f>
        <v>Yes</v>
      </c>
    </row>
    <row r="749" customFormat="false" ht="15" hidden="false" customHeight="false" outlineLevel="0" collapsed="false">
      <c r="A749" s="3" t="str">
        <f aca="false">'1. Raw Data'!A748</f>
        <v>EMP-0747</v>
      </c>
      <c r="B749" s="3" t="n">
        <f aca="false">'1. Raw Data'!B748</f>
        <v>40</v>
      </c>
      <c r="C749" s="3" t="str">
        <f aca="false">'1. Raw Data'!C748</f>
        <v>Finance</v>
      </c>
      <c r="D749" s="3" t="str">
        <f aca="false">'1. Raw Data'!D748</f>
        <v>Lead</v>
      </c>
      <c r="E749" s="3" t="str">
        <f aca="false">'1. Raw Data'!E748</f>
        <v>Business</v>
      </c>
      <c r="F749" s="3" t="n">
        <f aca="false">'1. Raw Data'!F748</f>
        <v>2.1</v>
      </c>
      <c r="G749" s="3" t="n">
        <f aca="false">IF('1. Raw Data'!G748="",ROUND(IFERROR(AVERAGEIFS('1. Raw Data'!G2:G1201,'1. Raw Data'!C2:C1201,'1. Raw Data'!C748,'1. Raw Data'!D2:D1201,'1. Raw Data'!D748),0),2),'1. Raw Data'!G748)</f>
        <v>9174.92</v>
      </c>
      <c r="H749" s="3" t="str">
        <f aca="false">PROPER('1. Raw Data'!H748)</f>
        <v>No</v>
      </c>
      <c r="I749" s="3" t="n">
        <f aca="false">'1. Raw Data'!I748</f>
        <v>2</v>
      </c>
      <c r="J749" s="3" t="n">
        <f aca="false">'1. Raw Data'!J748</f>
        <v>2</v>
      </c>
      <c r="K749" s="3" t="n">
        <f aca="false">'1. Raw Data'!K748</f>
        <v>17</v>
      </c>
      <c r="L749" s="3" t="n">
        <f aca="false">'1. Raw Data'!L748</f>
        <v>1</v>
      </c>
      <c r="M749" s="3" t="n">
        <f aca="false">'1. Raw Data'!M748</f>
        <v>2</v>
      </c>
      <c r="N749" s="3" t="str">
        <f aca="false">'1. Raw Data'!N748</f>
        <v>No</v>
      </c>
    </row>
    <row r="750" customFormat="false" ht="15" hidden="false" customHeight="false" outlineLevel="0" collapsed="false">
      <c r="A750" s="3" t="str">
        <f aca="false">'1. Raw Data'!A749</f>
        <v>EMP-0748</v>
      </c>
      <c r="B750" s="3" t="n">
        <f aca="false">'1. Raw Data'!B749</f>
        <v>23</v>
      </c>
      <c r="C750" s="3" t="str">
        <f aca="false">'1. Raw Data'!C749</f>
        <v>Engineering</v>
      </c>
      <c r="D750" s="3" t="str">
        <f aca="false">'1. Raw Data'!D749</f>
        <v>Mid</v>
      </c>
      <c r="E750" s="3" t="str">
        <f aca="false">'1. Raw Data'!E749</f>
        <v>Other</v>
      </c>
      <c r="F750" s="3" t="n">
        <f aca="false">'1. Raw Data'!F749</f>
        <v>2</v>
      </c>
      <c r="G750" s="3" t="n">
        <f aca="false">IF('1. Raw Data'!G749="",ROUND(IFERROR(AVERAGEIFS('1. Raw Data'!G2:G1201,'1. Raw Data'!C2:C1201,'1. Raw Data'!C749,'1. Raw Data'!D2:D1201,'1. Raw Data'!D749),0),2),'1. Raw Data'!G749)</f>
        <v>4396.42</v>
      </c>
      <c r="H750" s="3" t="str">
        <f aca="false">PROPER('1. Raw Data'!H749)</f>
        <v>No</v>
      </c>
      <c r="I750" s="3" t="n">
        <f aca="false">'1. Raw Data'!I749</f>
        <v>3</v>
      </c>
      <c r="J750" s="3" t="n">
        <f aca="false">'1. Raw Data'!J749</f>
        <v>2</v>
      </c>
      <c r="K750" s="3" t="n">
        <f aca="false">'1. Raw Data'!K749</f>
        <v>22</v>
      </c>
      <c r="L750" s="3" t="n">
        <f aca="false">'1. Raw Data'!L749</f>
        <v>0</v>
      </c>
      <c r="M750" s="3" t="n">
        <f aca="false">'1. Raw Data'!M749</f>
        <v>3</v>
      </c>
      <c r="N750" s="3" t="str">
        <f aca="false">'1. Raw Data'!N749</f>
        <v>No</v>
      </c>
    </row>
    <row r="751" customFormat="false" ht="15" hidden="false" customHeight="false" outlineLevel="0" collapsed="false">
      <c r="A751" s="3" t="str">
        <f aca="false">'1. Raw Data'!A750</f>
        <v>EMP-0749</v>
      </c>
      <c r="B751" s="3" t="n">
        <f aca="false">'1. Raw Data'!B750</f>
        <v>39</v>
      </c>
      <c r="C751" s="3" t="str">
        <f aca="false">'1. Raw Data'!C750</f>
        <v>Sales</v>
      </c>
      <c r="D751" s="3" t="str">
        <f aca="false">'1. Raw Data'!D750</f>
        <v>Junior</v>
      </c>
      <c r="E751" s="3" t="str">
        <f aca="false">'1. Raw Data'!E750</f>
        <v>Other</v>
      </c>
      <c r="F751" s="3" t="n">
        <f aca="false">'1. Raw Data'!F750</f>
        <v>1.7</v>
      </c>
      <c r="G751" s="3" t="n">
        <f aca="false">IF('1. Raw Data'!G750="",ROUND(IFERROR(AVERAGEIFS('1. Raw Data'!G2:G1201,'1. Raw Data'!C2:C1201,'1. Raw Data'!C750,'1. Raw Data'!D2:D1201,'1. Raw Data'!D750),0),2),'1. Raw Data'!G750)</f>
        <v>3143.57</v>
      </c>
      <c r="H751" s="3" t="str">
        <f aca="false">PROPER('1. Raw Data'!H750)</f>
        <v>Yes</v>
      </c>
      <c r="I751" s="3" t="n">
        <f aca="false">'1. Raw Data'!I750</f>
        <v>4</v>
      </c>
      <c r="J751" s="3" t="n">
        <f aca="false">'1. Raw Data'!J750</f>
        <v>4</v>
      </c>
      <c r="K751" s="3" t="n">
        <f aca="false">'1. Raw Data'!K750</f>
        <v>3</v>
      </c>
      <c r="L751" s="3" t="n">
        <f aca="false">'1. Raw Data'!L750</f>
        <v>1</v>
      </c>
      <c r="M751" s="3" t="n">
        <f aca="false">'1. Raw Data'!M750</f>
        <v>1</v>
      </c>
      <c r="N751" s="3" t="str">
        <f aca="false">'1. Raw Data'!N750</f>
        <v>No</v>
      </c>
    </row>
    <row r="752" customFormat="false" ht="15" hidden="false" customHeight="false" outlineLevel="0" collapsed="false">
      <c r="A752" s="3" t="str">
        <f aca="false">'1. Raw Data'!A751</f>
        <v>EMP-0750</v>
      </c>
      <c r="B752" s="3" t="n">
        <f aca="false">'1. Raw Data'!B751</f>
        <v>33</v>
      </c>
      <c r="C752" s="3" t="str">
        <f aca="false">'1. Raw Data'!C751</f>
        <v>Customer Support</v>
      </c>
      <c r="D752" s="3" t="str">
        <f aca="false">'1. Raw Data'!D751</f>
        <v>Lead</v>
      </c>
      <c r="E752" s="3" t="str">
        <f aca="false">'1. Raw Data'!E751</f>
        <v>Other</v>
      </c>
      <c r="F752" s="3" t="n">
        <f aca="false">'1. Raw Data'!F751</f>
        <v>0.7</v>
      </c>
      <c r="G752" s="3" t="n">
        <f aca="false">IF('1. Raw Data'!G751="",ROUND(IFERROR(AVERAGEIFS('1. Raw Data'!G2:G1201,'1. Raw Data'!C2:C1201,'1. Raw Data'!C751,'1. Raw Data'!D2:D1201,'1. Raw Data'!D751),0),2),'1. Raw Data'!G751)</f>
        <v>10424.37</v>
      </c>
      <c r="H752" s="3" t="str">
        <f aca="false">PROPER('1. Raw Data'!H751)</f>
        <v>No</v>
      </c>
      <c r="I752" s="3" t="n">
        <f aca="false">'1. Raw Data'!I751</f>
        <v>2</v>
      </c>
      <c r="J752" s="3" t="n">
        <f aca="false">'1. Raw Data'!J751</f>
        <v>2</v>
      </c>
      <c r="K752" s="3" t="n">
        <f aca="false">'1. Raw Data'!K751</f>
        <v>21</v>
      </c>
      <c r="L752" s="3" t="n">
        <f aca="false">'1. Raw Data'!L751</f>
        <v>0</v>
      </c>
      <c r="M752" s="3" t="n">
        <f aca="false">'1. Raw Data'!M751</f>
        <v>2</v>
      </c>
      <c r="N752" s="3" t="str">
        <f aca="false">'1. Raw Data'!N751</f>
        <v>Yes</v>
      </c>
    </row>
    <row r="753" customFormat="false" ht="15" hidden="false" customHeight="false" outlineLevel="0" collapsed="false">
      <c r="A753" s="3" t="str">
        <f aca="false">'1. Raw Data'!A752</f>
        <v>EMP-0751</v>
      </c>
      <c r="B753" s="3" t="n">
        <f aca="false">'1. Raw Data'!B752</f>
        <v>23</v>
      </c>
      <c r="C753" s="3" t="str">
        <f aca="false">'1. Raw Data'!C752</f>
        <v>Sales</v>
      </c>
      <c r="D753" s="3" t="str">
        <f aca="false">'1. Raw Data'!D752</f>
        <v>Junior</v>
      </c>
      <c r="E753" s="3" t="str">
        <f aca="false">'1. Raw Data'!E752</f>
        <v>Technical</v>
      </c>
      <c r="F753" s="3" t="n">
        <f aca="false">'1. Raw Data'!F752</f>
        <v>2</v>
      </c>
      <c r="G753" s="3" t="n">
        <f aca="false">IF('1. Raw Data'!G752="",ROUND(IFERROR(AVERAGEIFS('1. Raw Data'!G2:G1201,'1. Raw Data'!C2:C1201,'1. Raw Data'!C752,'1. Raw Data'!D2:D1201,'1. Raw Data'!D752),0),2),'1. Raw Data'!G752)</f>
        <v>2931</v>
      </c>
      <c r="H753" s="3" t="str">
        <f aca="false">PROPER('1. Raw Data'!H752)</f>
        <v>Yes</v>
      </c>
      <c r="I753" s="3" t="n">
        <f aca="false">'1. Raw Data'!I752</f>
        <v>1</v>
      </c>
      <c r="J753" s="3" t="n">
        <f aca="false">'1. Raw Data'!J752</f>
        <v>4</v>
      </c>
      <c r="K753" s="3" t="n">
        <f aca="false">'1. Raw Data'!K752</f>
        <v>7</v>
      </c>
      <c r="L753" s="3" t="n">
        <f aca="false">'1. Raw Data'!L752</f>
        <v>1</v>
      </c>
      <c r="M753" s="3" t="n">
        <f aca="false">'1. Raw Data'!M752</f>
        <v>4</v>
      </c>
      <c r="N753" s="3" t="str">
        <f aca="false">'1. Raw Data'!N752</f>
        <v>No</v>
      </c>
    </row>
    <row r="754" customFormat="false" ht="15" hidden="false" customHeight="false" outlineLevel="0" collapsed="false">
      <c r="A754" s="3" t="str">
        <f aca="false">'1. Raw Data'!A753</f>
        <v>EMP-0752</v>
      </c>
      <c r="B754" s="3" t="n">
        <f aca="false">'1. Raw Data'!B753</f>
        <v>43</v>
      </c>
      <c r="C754" s="3" t="str">
        <f aca="false">'1. Raw Data'!C753</f>
        <v>Sales</v>
      </c>
      <c r="D754" s="3" t="str">
        <f aca="false">'1. Raw Data'!D753</f>
        <v>Lead</v>
      </c>
      <c r="E754" s="3" t="str">
        <f aca="false">'1. Raw Data'!E753</f>
        <v>Technical</v>
      </c>
      <c r="F754" s="3" t="n">
        <f aca="false">'1. Raw Data'!F753</f>
        <v>2.3</v>
      </c>
      <c r="G754" s="3" t="n">
        <f aca="false">IF('1. Raw Data'!G753="",ROUND(IFERROR(AVERAGEIFS('1. Raw Data'!G2:G1201,'1. Raw Data'!C2:C1201,'1. Raw Data'!C753,'1. Raw Data'!D2:D1201,'1. Raw Data'!D753),0),2),'1. Raw Data'!G753)</f>
        <v>9279.96</v>
      </c>
      <c r="H754" s="3" t="str">
        <f aca="false">PROPER('1. Raw Data'!H753)</f>
        <v>No</v>
      </c>
      <c r="I754" s="3" t="n">
        <f aca="false">'1. Raw Data'!I753</f>
        <v>3</v>
      </c>
      <c r="J754" s="3" t="n">
        <f aca="false">'1. Raw Data'!J753</f>
        <v>3</v>
      </c>
      <c r="K754" s="3" t="n">
        <f aca="false">'1. Raw Data'!K753</f>
        <v>17</v>
      </c>
      <c r="L754" s="3" t="n">
        <f aca="false">'1. Raw Data'!L753</f>
        <v>2</v>
      </c>
      <c r="M754" s="3" t="n">
        <f aca="false">'1. Raw Data'!M753</f>
        <v>5</v>
      </c>
      <c r="N754" s="3" t="str">
        <f aca="false">'1. Raw Data'!N753</f>
        <v>No</v>
      </c>
    </row>
    <row r="755" customFormat="false" ht="15" hidden="false" customHeight="false" outlineLevel="0" collapsed="false">
      <c r="A755" s="3" t="str">
        <f aca="false">'1. Raw Data'!A754</f>
        <v>EMP-0753</v>
      </c>
      <c r="B755" s="3" t="n">
        <f aca="false">'1. Raw Data'!B754</f>
        <v>48</v>
      </c>
      <c r="C755" s="3" t="str">
        <f aca="false">'1. Raw Data'!C754</f>
        <v>Engineering</v>
      </c>
      <c r="D755" s="3" t="str">
        <f aca="false">'1. Raw Data'!D754</f>
        <v>Senior</v>
      </c>
      <c r="E755" s="3" t="str">
        <f aca="false">'1. Raw Data'!E754</f>
        <v>Other</v>
      </c>
      <c r="F755" s="3" t="n">
        <f aca="false">'1. Raw Data'!F754</f>
        <v>5.4</v>
      </c>
      <c r="G755" s="3" t="n">
        <f aca="false">IF('1. Raw Data'!G754="",ROUND(IFERROR(AVERAGEIFS('1. Raw Data'!G2:G1201,'1. Raw Data'!C2:C1201,'1. Raw Data'!C754,'1. Raw Data'!D2:D1201,'1. Raw Data'!D754),0),2),'1. Raw Data'!G754)</f>
        <v>7610.33</v>
      </c>
      <c r="H755" s="3" t="str">
        <f aca="false">PROPER('1. Raw Data'!H754)</f>
        <v>Yes</v>
      </c>
      <c r="I755" s="3" t="n">
        <f aca="false">'1. Raw Data'!I754</f>
        <v>1</v>
      </c>
      <c r="J755" s="3" t="n">
        <f aca="false">'1. Raw Data'!J754</f>
        <v>3</v>
      </c>
      <c r="K755" s="3" t="n">
        <f aca="false">'1. Raw Data'!K754</f>
        <v>8</v>
      </c>
      <c r="L755" s="3" t="n">
        <f aca="false">'1. Raw Data'!L754</f>
        <v>0</v>
      </c>
      <c r="M755" s="3" t="n">
        <f aca="false">'1. Raw Data'!M754</f>
        <v>1</v>
      </c>
      <c r="N755" s="3" t="str">
        <f aca="false">'1. Raw Data'!N754</f>
        <v>No</v>
      </c>
    </row>
    <row r="756" customFormat="false" ht="15" hidden="false" customHeight="false" outlineLevel="0" collapsed="false">
      <c r="A756" s="3" t="str">
        <f aca="false">'1. Raw Data'!A755</f>
        <v>EMP-0754</v>
      </c>
      <c r="B756" s="3" t="n">
        <f aca="false">'1. Raw Data'!B755</f>
        <v>34</v>
      </c>
      <c r="C756" s="3" t="str">
        <f aca="false">'1. Raw Data'!C755</f>
        <v>Engineering</v>
      </c>
      <c r="D756" s="3" t="str">
        <f aca="false">'1. Raw Data'!D755</f>
        <v>Mid</v>
      </c>
      <c r="E756" s="3" t="str">
        <f aca="false">'1. Raw Data'!E755</f>
        <v>Other</v>
      </c>
      <c r="F756" s="3" t="n">
        <f aca="false">'1. Raw Data'!F755</f>
        <v>4.3</v>
      </c>
      <c r="G756" s="3" t="n">
        <f aca="false">IF('1. Raw Data'!G755="",ROUND(IFERROR(AVERAGEIFS('1. Raw Data'!G2:G1201,'1. Raw Data'!C2:C1201,'1. Raw Data'!C755,'1. Raw Data'!D2:D1201,'1. Raw Data'!D755),0),2),'1. Raw Data'!G755)</f>
        <v>4924.92</v>
      </c>
      <c r="H756" s="3" t="str">
        <f aca="false">PROPER('1. Raw Data'!H755)</f>
        <v>No</v>
      </c>
      <c r="I756" s="3" t="n">
        <f aca="false">'1. Raw Data'!I755</f>
        <v>4</v>
      </c>
      <c r="J756" s="3" t="n">
        <f aca="false">'1. Raw Data'!J755</f>
        <v>2</v>
      </c>
      <c r="K756" s="3" t="n">
        <f aca="false">'1. Raw Data'!K755</f>
        <v>2</v>
      </c>
      <c r="L756" s="3" t="n">
        <f aca="false">'1. Raw Data'!L755</f>
        <v>4</v>
      </c>
      <c r="M756" s="3" t="n">
        <f aca="false">'1. Raw Data'!M755</f>
        <v>3</v>
      </c>
      <c r="N756" s="3" t="str">
        <f aca="false">'1. Raw Data'!N755</f>
        <v>Yes</v>
      </c>
    </row>
    <row r="757" customFormat="false" ht="15" hidden="false" customHeight="false" outlineLevel="0" collapsed="false">
      <c r="A757" s="3" t="str">
        <f aca="false">'1. Raw Data'!A756</f>
        <v>EMP-0755</v>
      </c>
      <c r="B757" s="3" t="n">
        <f aca="false">'1. Raw Data'!B756</f>
        <v>23</v>
      </c>
      <c r="C757" s="3" t="str">
        <f aca="false">'1. Raw Data'!C756</f>
        <v>Marketing</v>
      </c>
      <c r="D757" s="3" t="str">
        <f aca="false">'1. Raw Data'!D756</f>
        <v>Junior</v>
      </c>
      <c r="E757" s="3" t="str">
        <f aca="false">'1. Raw Data'!E756</f>
        <v>Other</v>
      </c>
      <c r="F757" s="3" t="n">
        <f aca="false">'1. Raw Data'!F756</f>
        <v>0</v>
      </c>
      <c r="G757" s="3" t="n">
        <f aca="false">IF('1. Raw Data'!G756="",ROUND(IFERROR(AVERAGEIFS('1. Raw Data'!G2:G1201,'1. Raw Data'!C2:C1201,'1. Raw Data'!C756,'1. Raw Data'!D2:D1201,'1. Raw Data'!D756),0),2),'1. Raw Data'!G756)</f>
        <v>3437.67</v>
      </c>
      <c r="H757" s="3" t="str">
        <f aca="false">PROPER('1. Raw Data'!H756)</f>
        <v>No</v>
      </c>
      <c r="I757" s="3" t="n">
        <f aca="false">'1. Raw Data'!I756</f>
        <v>3</v>
      </c>
      <c r="J757" s="3" t="n">
        <f aca="false">'1. Raw Data'!J756</f>
        <v>4</v>
      </c>
      <c r="K757" s="3" t="n">
        <f aca="false">'1. Raw Data'!K756</f>
        <v>7</v>
      </c>
      <c r="L757" s="3" t="n">
        <f aca="false">'1. Raw Data'!L756</f>
        <v>0</v>
      </c>
      <c r="M757" s="3" t="n">
        <f aca="false">'1. Raw Data'!M756</f>
        <v>3</v>
      </c>
      <c r="N757" s="3" t="str">
        <f aca="false">'1. Raw Data'!N756</f>
        <v>No</v>
      </c>
    </row>
    <row r="758" customFormat="false" ht="15" hidden="false" customHeight="false" outlineLevel="0" collapsed="false">
      <c r="A758" s="3" t="str">
        <f aca="false">'1. Raw Data'!A757</f>
        <v>EMP-0756</v>
      </c>
      <c r="B758" s="3" t="n">
        <f aca="false">'1. Raw Data'!B757</f>
        <v>34</v>
      </c>
      <c r="C758" s="3" t="str">
        <f aca="false">'1. Raw Data'!C757</f>
        <v>HR</v>
      </c>
      <c r="D758" s="3" t="str">
        <f aca="false">'1. Raw Data'!D757</f>
        <v>Mid</v>
      </c>
      <c r="E758" s="3" t="str">
        <f aca="false">'1. Raw Data'!E757</f>
        <v>Other</v>
      </c>
      <c r="F758" s="3" t="n">
        <f aca="false">'1. Raw Data'!F757</f>
        <v>1.7</v>
      </c>
      <c r="G758" s="3" t="n">
        <f aca="false">IF('1. Raw Data'!G757="",ROUND(IFERROR(AVERAGEIFS('1. Raw Data'!G2:G1201,'1. Raw Data'!C2:C1201,'1. Raw Data'!C757,'1. Raw Data'!D2:D1201,'1. Raw Data'!D757),0),2),'1. Raw Data'!G757)</f>
        <v>4456.06</v>
      </c>
      <c r="H758" s="3" t="str">
        <f aca="false">PROPER('1. Raw Data'!H757)</f>
        <v>No</v>
      </c>
      <c r="I758" s="3" t="n">
        <f aca="false">'1. Raw Data'!I757</f>
        <v>4</v>
      </c>
      <c r="J758" s="3" t="n">
        <f aca="false">'1. Raw Data'!J757</f>
        <v>2</v>
      </c>
      <c r="K758" s="3" t="n">
        <f aca="false">'1. Raw Data'!K757</f>
        <v>6</v>
      </c>
      <c r="L758" s="3" t="n">
        <f aca="false">'1. Raw Data'!L757</f>
        <v>1</v>
      </c>
      <c r="M758" s="3" t="n">
        <f aca="false">'1. Raw Data'!M757</f>
        <v>2</v>
      </c>
      <c r="N758" s="3" t="str">
        <f aca="false">'1. Raw Data'!N757</f>
        <v>No</v>
      </c>
    </row>
    <row r="759" customFormat="false" ht="15" hidden="false" customHeight="false" outlineLevel="0" collapsed="false">
      <c r="A759" s="3" t="str">
        <f aca="false">'1. Raw Data'!A758</f>
        <v>EMP-0757</v>
      </c>
      <c r="B759" s="3" t="n">
        <f aca="false">'1. Raw Data'!B758</f>
        <v>46</v>
      </c>
      <c r="C759" s="3" t="str">
        <f aca="false">'1. Raw Data'!C758</f>
        <v>Engineering</v>
      </c>
      <c r="D759" s="3" t="str">
        <f aca="false">'1. Raw Data'!D758</f>
        <v>Senior</v>
      </c>
      <c r="E759" s="3" t="str">
        <f aca="false">'1. Raw Data'!E758</f>
        <v>Other</v>
      </c>
      <c r="F759" s="3" t="n">
        <f aca="false">'1. Raw Data'!F758</f>
        <v>3.8</v>
      </c>
      <c r="G759" s="3" t="n">
        <f aca="false">IF('1. Raw Data'!G758="",ROUND(IFERROR(AVERAGEIFS('1. Raw Data'!G2:G1201,'1. Raw Data'!C2:C1201,'1. Raw Data'!C758,'1. Raw Data'!D2:D1201,'1. Raw Data'!D758),0),2),'1. Raw Data'!G758)</f>
        <v>7286.12</v>
      </c>
      <c r="H759" s="3" t="str">
        <f aca="false">PROPER('1. Raw Data'!H758)</f>
        <v>No</v>
      </c>
      <c r="I759" s="3" t="n">
        <f aca="false">'1. Raw Data'!I758</f>
        <v>1</v>
      </c>
      <c r="J759" s="3" t="n">
        <f aca="false">'1. Raw Data'!J758</f>
        <v>4</v>
      </c>
      <c r="K759" s="3" t="n">
        <f aca="false">'1. Raw Data'!K758</f>
        <v>3</v>
      </c>
      <c r="L759" s="3" t="n">
        <f aca="false">'1. Raw Data'!L758</f>
        <v>1</v>
      </c>
      <c r="M759" s="3" t="n">
        <f aca="false">'1. Raw Data'!M758</f>
        <v>0</v>
      </c>
      <c r="N759" s="3" t="str">
        <f aca="false">'1. Raw Data'!N758</f>
        <v>Yes</v>
      </c>
    </row>
    <row r="760" customFormat="false" ht="15" hidden="false" customHeight="false" outlineLevel="0" collapsed="false">
      <c r="A760" s="3" t="str">
        <f aca="false">'1. Raw Data'!A759</f>
        <v>EMP-0758</v>
      </c>
      <c r="B760" s="3" t="n">
        <f aca="false">'1. Raw Data'!B759</f>
        <v>38</v>
      </c>
      <c r="C760" s="3" t="str">
        <f aca="false">'1. Raw Data'!C759</f>
        <v>Sales</v>
      </c>
      <c r="D760" s="3" t="str">
        <f aca="false">'1. Raw Data'!D759</f>
        <v>Senior</v>
      </c>
      <c r="E760" s="3" t="str">
        <f aca="false">'1. Raw Data'!E759</f>
        <v>Business</v>
      </c>
      <c r="F760" s="3" t="n">
        <f aca="false">'1. Raw Data'!F759</f>
        <v>4.7</v>
      </c>
      <c r="G760" s="3" t="n">
        <f aca="false">IF('1. Raw Data'!G759="",ROUND(IFERROR(AVERAGEIFS('1. Raw Data'!G2:G1201,'1. Raw Data'!C2:C1201,'1. Raw Data'!C759,'1. Raw Data'!D2:D1201,'1. Raw Data'!D759),0),2),'1. Raw Data'!G759)</f>
        <v>8308.46</v>
      </c>
      <c r="H760" s="3" t="str">
        <f aca="false">PROPER('1. Raw Data'!H759)</f>
        <v>No</v>
      </c>
      <c r="I760" s="3" t="n">
        <f aca="false">'1. Raw Data'!I759</f>
        <v>3</v>
      </c>
      <c r="J760" s="3" t="n">
        <f aca="false">'1. Raw Data'!J759</f>
        <v>4</v>
      </c>
      <c r="K760" s="3" t="n">
        <f aca="false">'1. Raw Data'!K759</f>
        <v>1</v>
      </c>
      <c r="L760" s="3" t="n">
        <f aca="false">'1. Raw Data'!L759</f>
        <v>0</v>
      </c>
      <c r="M760" s="3" t="n">
        <f aca="false">'1. Raw Data'!M759</f>
        <v>2</v>
      </c>
      <c r="N760" s="3" t="str">
        <f aca="false">'1. Raw Data'!N759</f>
        <v>No</v>
      </c>
    </row>
    <row r="761" customFormat="false" ht="15" hidden="false" customHeight="false" outlineLevel="0" collapsed="false">
      <c r="A761" s="3" t="str">
        <f aca="false">'1. Raw Data'!A760</f>
        <v>EMP-0759</v>
      </c>
      <c r="B761" s="3" t="n">
        <f aca="false">'1. Raw Data'!B760</f>
        <v>48</v>
      </c>
      <c r="C761" s="3" t="str">
        <f aca="false">'1. Raw Data'!C760</f>
        <v>Sales</v>
      </c>
      <c r="D761" s="3" t="str">
        <f aca="false">'1. Raw Data'!D760</f>
        <v>Mid</v>
      </c>
      <c r="E761" s="3" t="str">
        <f aca="false">'1. Raw Data'!E760</f>
        <v>Technical</v>
      </c>
      <c r="F761" s="3" t="n">
        <f aca="false">'1. Raw Data'!F760</f>
        <v>1.2</v>
      </c>
      <c r="G761" s="3" t="n">
        <f aca="false">IF('1. Raw Data'!G760="",ROUND(IFERROR(AVERAGEIFS('1. Raw Data'!G2:G1201,'1. Raw Data'!C2:C1201,'1. Raw Data'!C760,'1. Raw Data'!D2:D1201,'1. Raw Data'!D760),0),2),'1. Raw Data'!G760)</f>
        <v>4298.11</v>
      </c>
      <c r="H761" s="3" t="str">
        <f aca="false">PROPER('1. Raw Data'!H760)</f>
        <v>Yes</v>
      </c>
      <c r="I761" s="3" t="n">
        <f aca="false">'1. Raw Data'!I760</f>
        <v>4</v>
      </c>
      <c r="J761" s="3" t="n">
        <f aca="false">'1. Raw Data'!J760</f>
        <v>4</v>
      </c>
      <c r="K761" s="3" t="n">
        <f aca="false">'1. Raw Data'!K760</f>
        <v>15</v>
      </c>
      <c r="L761" s="3" t="n">
        <f aca="false">'1. Raw Data'!L760</f>
        <v>1</v>
      </c>
      <c r="M761" s="3" t="n">
        <f aca="false">'1. Raw Data'!M760</f>
        <v>1</v>
      </c>
      <c r="N761" s="3" t="str">
        <f aca="false">'1. Raw Data'!N760</f>
        <v>No</v>
      </c>
    </row>
    <row r="762" customFormat="false" ht="15" hidden="false" customHeight="false" outlineLevel="0" collapsed="false">
      <c r="A762" s="3" t="str">
        <f aca="false">'1. Raw Data'!A761</f>
        <v>EMP-0760</v>
      </c>
      <c r="B762" s="3" t="n">
        <f aca="false">'1. Raw Data'!B761</f>
        <v>31</v>
      </c>
      <c r="C762" s="3" t="str">
        <f aca="false">'1. Raw Data'!C761</f>
        <v>Sales</v>
      </c>
      <c r="D762" s="3" t="str">
        <f aca="false">'1. Raw Data'!D761</f>
        <v>Senior</v>
      </c>
      <c r="E762" s="3" t="str">
        <f aca="false">'1. Raw Data'!E761</f>
        <v>Other</v>
      </c>
      <c r="F762" s="3" t="n">
        <f aca="false">'1. Raw Data'!F761</f>
        <v>5.4</v>
      </c>
      <c r="G762" s="3" t="n">
        <f aca="false">IF('1. Raw Data'!G761="",ROUND(IFERROR(AVERAGEIFS('1. Raw Data'!G2:G1201,'1. Raw Data'!C2:C1201,'1. Raw Data'!C761,'1. Raw Data'!D2:D1201,'1. Raw Data'!D761),0),2),'1. Raw Data'!G761)</f>
        <v>8490.85</v>
      </c>
      <c r="H762" s="3" t="str">
        <f aca="false">PROPER('1. Raw Data'!H761)</f>
        <v>No</v>
      </c>
      <c r="I762" s="3" t="n">
        <f aca="false">'1. Raw Data'!I761</f>
        <v>3</v>
      </c>
      <c r="J762" s="3" t="n">
        <f aca="false">'1. Raw Data'!J761</f>
        <v>4</v>
      </c>
      <c r="K762" s="3" t="n">
        <f aca="false">'1. Raw Data'!K761</f>
        <v>3</v>
      </c>
      <c r="L762" s="3" t="n">
        <f aca="false">'1. Raw Data'!L761</f>
        <v>0</v>
      </c>
      <c r="M762" s="3" t="n">
        <f aca="false">'1. Raw Data'!M761</f>
        <v>0</v>
      </c>
      <c r="N762" s="3" t="str">
        <f aca="false">'1. Raw Data'!N761</f>
        <v>No</v>
      </c>
    </row>
    <row r="763" customFormat="false" ht="15" hidden="false" customHeight="false" outlineLevel="0" collapsed="false">
      <c r="A763" s="3" t="str">
        <f aca="false">'1. Raw Data'!A762</f>
        <v>EMP-0761</v>
      </c>
      <c r="B763" s="3" t="n">
        <f aca="false">'1. Raw Data'!B762</f>
        <v>31</v>
      </c>
      <c r="C763" s="3" t="str">
        <f aca="false">'1. Raw Data'!C762</f>
        <v>Customer Support</v>
      </c>
      <c r="D763" s="3" t="str">
        <f aca="false">'1. Raw Data'!D762</f>
        <v>Junior</v>
      </c>
      <c r="E763" s="3" t="str">
        <f aca="false">'1. Raw Data'!E762</f>
        <v>Other</v>
      </c>
      <c r="F763" s="3" t="n">
        <f aca="false">'1. Raw Data'!F762</f>
        <v>2.6</v>
      </c>
      <c r="G763" s="3" t="n">
        <f aca="false">IF('1. Raw Data'!G762="",ROUND(IFERROR(AVERAGEIFS('1. Raw Data'!G2:G1201,'1. Raw Data'!C2:C1201,'1. Raw Data'!C762,'1. Raw Data'!D2:D1201,'1. Raw Data'!D762),0),2),'1. Raw Data'!G762)</f>
        <v>3047.15</v>
      </c>
      <c r="H763" s="3" t="str">
        <f aca="false">PROPER('1. Raw Data'!H762)</f>
        <v>No</v>
      </c>
      <c r="I763" s="3" t="n">
        <f aca="false">'1. Raw Data'!I762</f>
        <v>3</v>
      </c>
      <c r="J763" s="3" t="n">
        <f aca="false">'1. Raw Data'!J762</f>
        <v>3</v>
      </c>
      <c r="K763" s="3" t="n">
        <f aca="false">'1. Raw Data'!K762</f>
        <v>6</v>
      </c>
      <c r="L763" s="3" t="n">
        <f aca="false">'1. Raw Data'!L762</f>
        <v>0</v>
      </c>
      <c r="M763" s="3" t="n">
        <f aca="false">'1. Raw Data'!M762</f>
        <v>2</v>
      </c>
      <c r="N763" s="3" t="str">
        <f aca="false">'1. Raw Data'!N762</f>
        <v>No</v>
      </c>
    </row>
    <row r="764" customFormat="false" ht="15" hidden="false" customHeight="false" outlineLevel="0" collapsed="false">
      <c r="A764" s="3" t="str">
        <f aca="false">'1. Raw Data'!A763</f>
        <v>EMP-0762</v>
      </c>
      <c r="B764" s="3" t="n">
        <f aca="false">'1. Raw Data'!B763</f>
        <v>29</v>
      </c>
      <c r="C764" s="3" t="str">
        <f aca="false">'1. Raw Data'!C763</f>
        <v>Engineering</v>
      </c>
      <c r="D764" s="3" t="str">
        <f aca="false">'1. Raw Data'!D763</f>
        <v>Mid</v>
      </c>
      <c r="E764" s="3" t="str">
        <f aca="false">'1. Raw Data'!E763</f>
        <v>Business</v>
      </c>
      <c r="F764" s="3" t="n">
        <f aca="false">'1. Raw Data'!F763</f>
        <v>0.5</v>
      </c>
      <c r="G764" s="3" t="n">
        <f aca="false">IF('1. Raw Data'!G763="",ROUND(IFERROR(AVERAGEIFS('1. Raw Data'!G2:G1201,'1. Raw Data'!C2:C1201,'1. Raw Data'!C763,'1. Raw Data'!D2:D1201,'1. Raw Data'!D763),0),2),'1. Raw Data'!G763)</f>
        <v>4530.48</v>
      </c>
      <c r="H764" s="3" t="str">
        <f aca="false">PROPER('1. Raw Data'!H763)</f>
        <v>Yes</v>
      </c>
      <c r="I764" s="3" t="n">
        <f aca="false">'1. Raw Data'!I763</f>
        <v>3</v>
      </c>
      <c r="J764" s="3" t="n">
        <f aca="false">'1. Raw Data'!J763</f>
        <v>4</v>
      </c>
      <c r="K764" s="3" t="n">
        <f aca="false">'1. Raw Data'!K763</f>
        <v>7</v>
      </c>
      <c r="L764" s="3" t="n">
        <f aca="false">'1. Raw Data'!L763</f>
        <v>0</v>
      </c>
      <c r="M764" s="3" t="n">
        <f aca="false">'1. Raw Data'!M763</f>
        <v>2</v>
      </c>
      <c r="N764" s="3" t="str">
        <f aca="false">'1. Raw Data'!N763</f>
        <v>No</v>
      </c>
    </row>
    <row r="765" customFormat="false" ht="15" hidden="false" customHeight="false" outlineLevel="0" collapsed="false">
      <c r="A765" s="3" t="str">
        <f aca="false">'1. Raw Data'!A764</f>
        <v>EMP-0763</v>
      </c>
      <c r="B765" s="3" t="n">
        <f aca="false">'1. Raw Data'!B764</f>
        <v>30</v>
      </c>
      <c r="C765" s="3" t="str">
        <f aca="false">'1. Raw Data'!C764</f>
        <v>Engineering</v>
      </c>
      <c r="D765" s="3" t="str">
        <f aca="false">'1. Raw Data'!D764</f>
        <v>Senior</v>
      </c>
      <c r="E765" s="3" t="str">
        <f aca="false">'1. Raw Data'!E764</f>
        <v>Technical</v>
      </c>
      <c r="F765" s="3" t="n">
        <f aca="false">'1. Raw Data'!F764</f>
        <v>9</v>
      </c>
      <c r="G765" s="3" t="n">
        <f aca="false">IF('1. Raw Data'!G764="",ROUND(IFERROR(AVERAGEIFS('1. Raw Data'!G2:G1201,'1. Raw Data'!C2:C1201,'1. Raw Data'!C764,'1. Raw Data'!D2:D1201,'1. Raw Data'!D764),0),2),'1. Raw Data'!G764)</f>
        <v>6845.95</v>
      </c>
      <c r="H765" s="3" t="str">
        <f aca="false">PROPER('1. Raw Data'!H764)</f>
        <v>No</v>
      </c>
      <c r="I765" s="3" t="n">
        <f aca="false">'1. Raw Data'!I764</f>
        <v>3</v>
      </c>
      <c r="J765" s="3" t="n">
        <f aca="false">'1. Raw Data'!J764</f>
        <v>2</v>
      </c>
      <c r="K765" s="3" t="n">
        <f aca="false">'1. Raw Data'!K764</f>
        <v>32</v>
      </c>
      <c r="L765" s="3" t="n">
        <f aca="false">'1. Raw Data'!L764</f>
        <v>2</v>
      </c>
      <c r="M765" s="3" t="n">
        <f aca="false">'1. Raw Data'!M764</f>
        <v>1</v>
      </c>
      <c r="N765" s="3" t="str">
        <f aca="false">'1. Raw Data'!N764</f>
        <v>No</v>
      </c>
    </row>
    <row r="766" customFormat="false" ht="15" hidden="false" customHeight="false" outlineLevel="0" collapsed="false">
      <c r="A766" s="3" t="str">
        <f aca="false">'1. Raw Data'!A765</f>
        <v>EMP-0764</v>
      </c>
      <c r="B766" s="3" t="n">
        <f aca="false">'1. Raw Data'!B765</f>
        <v>39</v>
      </c>
      <c r="C766" s="3" t="str">
        <f aca="false">'1. Raw Data'!C765</f>
        <v>Engineering</v>
      </c>
      <c r="D766" s="3" t="str">
        <f aca="false">'1. Raw Data'!D765</f>
        <v>Mid</v>
      </c>
      <c r="E766" s="3" t="str">
        <f aca="false">'1. Raw Data'!E765</f>
        <v>Marketing</v>
      </c>
      <c r="F766" s="3" t="n">
        <f aca="false">'1. Raw Data'!F765</f>
        <v>4.1</v>
      </c>
      <c r="G766" s="3" t="n">
        <f aca="false">IF('1. Raw Data'!G765="",ROUND(IFERROR(AVERAGEIFS('1. Raw Data'!G2:G1201,'1. Raw Data'!C2:C1201,'1. Raw Data'!C765,'1. Raw Data'!D2:D1201,'1. Raw Data'!D765),0),2),'1. Raw Data'!G765)</f>
        <v>5085.26</v>
      </c>
      <c r="H766" s="3" t="str">
        <f aca="false">PROPER('1. Raw Data'!H765)</f>
        <v>No</v>
      </c>
      <c r="I766" s="3" t="n">
        <f aca="false">'1. Raw Data'!I765</f>
        <v>3</v>
      </c>
      <c r="J766" s="3" t="n">
        <f aca="false">'1. Raw Data'!J765</f>
        <v>2</v>
      </c>
      <c r="K766" s="3" t="n">
        <f aca="false">'1. Raw Data'!K765</f>
        <v>2</v>
      </c>
      <c r="L766" s="3" t="n">
        <f aca="false">'1. Raw Data'!L765</f>
        <v>2</v>
      </c>
      <c r="M766" s="3" t="n">
        <f aca="false">'1. Raw Data'!M765</f>
        <v>1</v>
      </c>
      <c r="N766" s="3" t="str">
        <f aca="false">'1. Raw Data'!N765</f>
        <v>No</v>
      </c>
    </row>
    <row r="767" customFormat="false" ht="15" hidden="false" customHeight="false" outlineLevel="0" collapsed="false">
      <c r="A767" s="3" t="str">
        <f aca="false">'1. Raw Data'!A766</f>
        <v>EMP-0765</v>
      </c>
      <c r="B767" s="3" t="n">
        <f aca="false">'1. Raw Data'!B766</f>
        <v>21</v>
      </c>
      <c r="C767" s="3" t="str">
        <f aca="false">'1. Raw Data'!C766</f>
        <v>Sales</v>
      </c>
      <c r="D767" s="3" t="str">
        <f aca="false">'1. Raw Data'!D766</f>
        <v>Junior</v>
      </c>
      <c r="E767" s="3" t="str">
        <f aca="false">'1. Raw Data'!E766</f>
        <v>Business</v>
      </c>
      <c r="F767" s="3" t="n">
        <f aca="false">'1. Raw Data'!F766</f>
        <v>0</v>
      </c>
      <c r="G767" s="3" t="n">
        <f aca="false">IF('1. Raw Data'!G766="",ROUND(IFERROR(AVERAGEIFS('1. Raw Data'!G2:G1201,'1. Raw Data'!C2:C1201,'1. Raw Data'!C766,'1. Raw Data'!D2:D1201,'1. Raw Data'!D766),0),2),'1. Raw Data'!G766)</f>
        <v>3700.19</v>
      </c>
      <c r="H767" s="3" t="str">
        <f aca="false">PROPER('1. Raw Data'!H766)</f>
        <v>No</v>
      </c>
      <c r="I767" s="3" t="n">
        <f aca="false">'1. Raw Data'!I766</f>
        <v>1</v>
      </c>
      <c r="J767" s="3" t="n">
        <f aca="false">'1. Raw Data'!J766</f>
        <v>1</v>
      </c>
      <c r="K767" s="3" t="n">
        <f aca="false">'1. Raw Data'!K766</f>
        <v>6</v>
      </c>
      <c r="L767" s="3" t="n">
        <f aca="false">'1. Raw Data'!L766</f>
        <v>0</v>
      </c>
      <c r="M767" s="3" t="n">
        <f aca="false">'1. Raw Data'!M766</f>
        <v>2</v>
      </c>
      <c r="N767" s="3" t="str">
        <f aca="false">'1. Raw Data'!N766</f>
        <v>No</v>
      </c>
    </row>
    <row r="768" customFormat="false" ht="15" hidden="false" customHeight="false" outlineLevel="0" collapsed="false">
      <c r="A768" s="3" t="str">
        <f aca="false">'1. Raw Data'!A767</f>
        <v>EMP-0766</v>
      </c>
      <c r="B768" s="3" t="n">
        <f aca="false">'1. Raw Data'!B767</f>
        <v>33</v>
      </c>
      <c r="C768" s="3" t="str">
        <f aca="false">'1. Raw Data'!C767</f>
        <v>Engineering</v>
      </c>
      <c r="D768" s="3" t="str">
        <f aca="false">'1. Raw Data'!D767</f>
        <v>Junior</v>
      </c>
      <c r="E768" s="3" t="str">
        <f aca="false">'1. Raw Data'!E767</f>
        <v>Technical</v>
      </c>
      <c r="F768" s="3" t="n">
        <f aca="false">'1. Raw Data'!F767</f>
        <v>5.8</v>
      </c>
      <c r="G768" s="3" t="n">
        <f aca="false">IF('1. Raw Data'!G767="",ROUND(IFERROR(AVERAGEIFS('1. Raw Data'!G2:G1201,'1. Raw Data'!C2:C1201,'1. Raw Data'!C767,'1. Raw Data'!D2:D1201,'1. Raw Data'!D767),0),2),'1. Raw Data'!G767)</f>
        <v>3256.19</v>
      </c>
      <c r="H768" s="3" t="str">
        <f aca="false">PROPER('1. Raw Data'!H767)</f>
        <v>No</v>
      </c>
      <c r="I768" s="3" t="n">
        <f aca="false">'1. Raw Data'!I767</f>
        <v>3</v>
      </c>
      <c r="J768" s="3" t="n">
        <f aca="false">'1. Raw Data'!J767</f>
        <v>3</v>
      </c>
      <c r="K768" s="3" t="n">
        <f aca="false">'1. Raw Data'!K767</f>
        <v>12</v>
      </c>
      <c r="L768" s="3" t="n">
        <f aca="false">'1. Raw Data'!L767</f>
        <v>1</v>
      </c>
      <c r="M768" s="3" t="n">
        <f aca="false">'1. Raw Data'!M767</f>
        <v>1</v>
      </c>
      <c r="N768" s="3" t="str">
        <f aca="false">'1. Raw Data'!N767</f>
        <v>No</v>
      </c>
    </row>
    <row r="769" customFormat="false" ht="15" hidden="false" customHeight="false" outlineLevel="0" collapsed="false">
      <c r="A769" s="3" t="str">
        <f aca="false">'1. Raw Data'!A768</f>
        <v>EMP-0767</v>
      </c>
      <c r="B769" s="3" t="n">
        <f aca="false">'1. Raw Data'!B768</f>
        <v>34</v>
      </c>
      <c r="C769" s="3" t="str">
        <f aca="false">'1. Raw Data'!C768</f>
        <v>Sales</v>
      </c>
      <c r="D769" s="3" t="str">
        <f aca="false">'1. Raw Data'!D768</f>
        <v>Junior</v>
      </c>
      <c r="E769" s="3" t="str">
        <f aca="false">'1. Raw Data'!E768</f>
        <v>Technical</v>
      </c>
      <c r="F769" s="3" t="n">
        <f aca="false">'1. Raw Data'!F768</f>
        <v>1.3</v>
      </c>
      <c r="G769" s="3" t="n">
        <f aca="false">IF('1. Raw Data'!G768="",ROUND(IFERROR(AVERAGEIFS('1. Raw Data'!G2:G1201,'1. Raw Data'!C2:C1201,'1. Raw Data'!C768,'1. Raw Data'!D2:D1201,'1. Raw Data'!D768),0),2),'1. Raw Data'!G768)</f>
        <v>3213.18</v>
      </c>
      <c r="H769" s="3" t="str">
        <f aca="false">PROPER('1. Raw Data'!H768)</f>
        <v>Yes</v>
      </c>
      <c r="I769" s="3" t="n">
        <f aca="false">'1. Raw Data'!I768</f>
        <v>3</v>
      </c>
      <c r="J769" s="3" t="n">
        <f aca="false">'1. Raw Data'!J768</f>
        <v>3</v>
      </c>
      <c r="K769" s="3" t="n">
        <f aca="false">'1. Raw Data'!K768</f>
        <v>37</v>
      </c>
      <c r="L769" s="3" t="n">
        <f aca="false">'1. Raw Data'!L768</f>
        <v>1</v>
      </c>
      <c r="M769" s="3" t="n">
        <f aca="false">'1. Raw Data'!M768</f>
        <v>3</v>
      </c>
      <c r="N769" s="3" t="str">
        <f aca="false">'1. Raw Data'!N768</f>
        <v>No</v>
      </c>
    </row>
    <row r="770" customFormat="false" ht="15" hidden="false" customHeight="false" outlineLevel="0" collapsed="false">
      <c r="A770" s="3" t="str">
        <f aca="false">'1. Raw Data'!A769</f>
        <v>EMP-0768</v>
      </c>
      <c r="B770" s="3" t="n">
        <f aca="false">'1. Raw Data'!B769</f>
        <v>33</v>
      </c>
      <c r="C770" s="3" t="str">
        <f aca="false">'1. Raw Data'!C769</f>
        <v>Customer Support</v>
      </c>
      <c r="D770" s="3" t="str">
        <f aca="false">'1. Raw Data'!D769</f>
        <v>Mid</v>
      </c>
      <c r="E770" s="3" t="str">
        <f aca="false">'1. Raw Data'!E769</f>
        <v>Technical</v>
      </c>
      <c r="F770" s="3" t="n">
        <f aca="false">'1. Raw Data'!F769</f>
        <v>1.4</v>
      </c>
      <c r="G770" s="3" t="n">
        <f aca="false">IF('1. Raw Data'!G769="",ROUND(IFERROR(AVERAGEIFS('1. Raw Data'!G2:G1201,'1. Raw Data'!C2:C1201,'1. Raw Data'!C769,'1. Raw Data'!D2:D1201,'1. Raw Data'!D769),0),2),'1. Raw Data'!G769)</f>
        <v>4912.13</v>
      </c>
      <c r="H770" s="3" t="str">
        <f aca="false">PROPER('1. Raw Data'!H769)</f>
        <v>No</v>
      </c>
      <c r="I770" s="3" t="n">
        <f aca="false">'1. Raw Data'!I769</f>
        <v>4</v>
      </c>
      <c r="J770" s="3" t="n">
        <f aca="false">'1. Raw Data'!J769</f>
        <v>4</v>
      </c>
      <c r="K770" s="3" t="n">
        <f aca="false">'1. Raw Data'!K769</f>
        <v>9</v>
      </c>
      <c r="L770" s="3" t="n">
        <f aca="false">'1. Raw Data'!L769</f>
        <v>0</v>
      </c>
      <c r="M770" s="3" t="n">
        <f aca="false">'1. Raw Data'!M769</f>
        <v>1</v>
      </c>
      <c r="N770" s="3" t="str">
        <f aca="false">'1. Raw Data'!N769</f>
        <v>No</v>
      </c>
    </row>
    <row r="771" customFormat="false" ht="15" hidden="false" customHeight="false" outlineLevel="0" collapsed="false">
      <c r="A771" s="3" t="str">
        <f aca="false">'1. Raw Data'!A770</f>
        <v>EMP-0769</v>
      </c>
      <c r="B771" s="3" t="n">
        <f aca="false">'1. Raw Data'!B770</f>
        <v>46</v>
      </c>
      <c r="C771" s="3" t="str">
        <f aca="false">'1. Raw Data'!C770</f>
        <v>Sales</v>
      </c>
      <c r="D771" s="3" t="str">
        <f aca="false">'1. Raw Data'!D770</f>
        <v>Mid</v>
      </c>
      <c r="E771" s="3" t="str">
        <f aca="false">'1. Raw Data'!E770</f>
        <v>Other</v>
      </c>
      <c r="F771" s="3" t="n">
        <f aca="false">'1. Raw Data'!F770</f>
        <v>0.8</v>
      </c>
      <c r="G771" s="3" t="n">
        <f aca="false">IF('1. Raw Data'!G770="",ROUND(IFERROR(AVERAGEIFS('1. Raw Data'!G2:G1201,'1. Raw Data'!C2:C1201,'1. Raw Data'!C770,'1. Raw Data'!D2:D1201,'1. Raw Data'!D770),0),2),'1. Raw Data'!G770)</f>
        <v>4320.46</v>
      </c>
      <c r="H771" s="3" t="str">
        <f aca="false">PROPER('1. Raw Data'!H770)</f>
        <v>No</v>
      </c>
      <c r="I771" s="3" t="n">
        <f aca="false">'1. Raw Data'!I770</f>
        <v>1</v>
      </c>
      <c r="J771" s="3" t="n">
        <f aca="false">'1. Raw Data'!J770</f>
        <v>3</v>
      </c>
      <c r="K771" s="3" t="n">
        <f aca="false">'1. Raw Data'!K770</f>
        <v>8</v>
      </c>
      <c r="L771" s="3" t="n">
        <f aca="false">'1. Raw Data'!L770</f>
        <v>0</v>
      </c>
      <c r="M771" s="3" t="n">
        <f aca="false">'1. Raw Data'!M770</f>
        <v>1</v>
      </c>
      <c r="N771" s="3" t="str">
        <f aca="false">'1. Raw Data'!N770</f>
        <v>No</v>
      </c>
    </row>
    <row r="772" customFormat="false" ht="15" hidden="false" customHeight="false" outlineLevel="0" collapsed="false">
      <c r="A772" s="3" t="str">
        <f aca="false">'1. Raw Data'!A771</f>
        <v>EMP-0770</v>
      </c>
      <c r="B772" s="3" t="n">
        <f aca="false">'1. Raw Data'!B771</f>
        <v>26</v>
      </c>
      <c r="C772" s="3" t="str">
        <f aca="false">'1. Raw Data'!C771</f>
        <v>Engineering</v>
      </c>
      <c r="D772" s="3" t="str">
        <f aca="false">'1. Raw Data'!D771</f>
        <v>Lead</v>
      </c>
      <c r="E772" s="3" t="str">
        <f aca="false">'1. Raw Data'!E771</f>
        <v>Technical</v>
      </c>
      <c r="F772" s="3" t="n">
        <f aca="false">'1. Raw Data'!F771</f>
        <v>1.3</v>
      </c>
      <c r="G772" s="3" t="n">
        <f aca="false">IF('1. Raw Data'!G771="",ROUND(IFERROR(AVERAGEIFS('1. Raw Data'!G2:G1201,'1. Raw Data'!C2:C1201,'1. Raw Data'!C771,'1. Raw Data'!D2:D1201,'1. Raw Data'!D771),0),2),'1. Raw Data'!G771)</f>
        <v>10143.75</v>
      </c>
      <c r="H772" s="3" t="str">
        <f aca="false">PROPER('1. Raw Data'!H771)</f>
        <v>No</v>
      </c>
      <c r="I772" s="3" t="n">
        <f aca="false">'1. Raw Data'!I771</f>
        <v>2</v>
      </c>
      <c r="J772" s="3" t="n">
        <f aca="false">'1. Raw Data'!J771</f>
        <v>3</v>
      </c>
      <c r="K772" s="3" t="n">
        <f aca="false">'1. Raw Data'!K771</f>
        <v>11</v>
      </c>
      <c r="L772" s="3" t="n">
        <f aca="false">'1. Raw Data'!L771</f>
        <v>0</v>
      </c>
      <c r="M772" s="3" t="n">
        <f aca="false">'1. Raw Data'!M771</f>
        <v>1</v>
      </c>
      <c r="N772" s="3" t="str">
        <f aca="false">'1. Raw Data'!N771</f>
        <v>Yes</v>
      </c>
    </row>
    <row r="773" customFormat="false" ht="15" hidden="false" customHeight="false" outlineLevel="0" collapsed="false">
      <c r="A773" s="3" t="str">
        <f aca="false">'1. Raw Data'!A772</f>
        <v>EMP-0771</v>
      </c>
      <c r="B773" s="3" t="n">
        <f aca="false">'1. Raw Data'!B772</f>
        <v>37</v>
      </c>
      <c r="C773" s="3" t="str">
        <f aca="false">'1. Raw Data'!C772</f>
        <v>Engineering</v>
      </c>
      <c r="D773" s="3" t="str">
        <f aca="false">'1. Raw Data'!D772</f>
        <v>Mid</v>
      </c>
      <c r="E773" s="3" t="str">
        <f aca="false">'1. Raw Data'!E772</f>
        <v>Technical</v>
      </c>
      <c r="F773" s="3" t="n">
        <f aca="false">'1. Raw Data'!F772</f>
        <v>0.3</v>
      </c>
      <c r="G773" s="3" t="n">
        <f aca="false">IF('1. Raw Data'!G772="",ROUND(IFERROR(AVERAGEIFS('1. Raw Data'!G2:G1201,'1. Raw Data'!C2:C1201,'1. Raw Data'!C772,'1. Raw Data'!D2:D1201,'1. Raw Data'!D772),0),2),'1. Raw Data'!G772)</f>
        <v>5273.1</v>
      </c>
      <c r="H773" s="3" t="str">
        <f aca="false">PROPER('1. Raw Data'!H772)</f>
        <v>No</v>
      </c>
      <c r="I773" s="3" t="n">
        <f aca="false">'1. Raw Data'!I772</f>
        <v>3</v>
      </c>
      <c r="J773" s="3" t="n">
        <f aca="false">'1. Raw Data'!J772</f>
        <v>3</v>
      </c>
      <c r="K773" s="3" t="n">
        <f aca="false">'1. Raw Data'!K772</f>
        <v>1</v>
      </c>
      <c r="L773" s="3" t="n">
        <f aca="false">'1. Raw Data'!L772</f>
        <v>0</v>
      </c>
      <c r="M773" s="3" t="n">
        <f aca="false">'1. Raw Data'!M772</f>
        <v>4</v>
      </c>
      <c r="N773" s="3" t="str">
        <f aca="false">'1. Raw Data'!N772</f>
        <v>No</v>
      </c>
    </row>
    <row r="774" customFormat="false" ht="15" hidden="false" customHeight="false" outlineLevel="0" collapsed="false">
      <c r="A774" s="3" t="str">
        <f aca="false">'1. Raw Data'!A773</f>
        <v>EMP-0772</v>
      </c>
      <c r="B774" s="3" t="n">
        <f aca="false">'1. Raw Data'!B773</f>
        <v>36</v>
      </c>
      <c r="C774" s="3" t="str">
        <f aca="false">'1. Raw Data'!C773</f>
        <v>Sales</v>
      </c>
      <c r="D774" s="3" t="str">
        <f aca="false">'1. Raw Data'!D773</f>
        <v>Mid</v>
      </c>
      <c r="E774" s="3" t="str">
        <f aca="false">'1. Raw Data'!E773</f>
        <v>Technical</v>
      </c>
      <c r="F774" s="3" t="n">
        <f aca="false">'1. Raw Data'!F773</f>
        <v>1.8</v>
      </c>
      <c r="G774" s="3" t="n">
        <f aca="false">IF('1. Raw Data'!G773="",ROUND(IFERROR(AVERAGEIFS('1. Raw Data'!G2:G1201,'1. Raw Data'!C2:C1201,'1. Raw Data'!C773,'1. Raw Data'!D2:D1201,'1. Raw Data'!D773),0),2),'1. Raw Data'!G773)</f>
        <v>4757.97</v>
      </c>
      <c r="H774" s="3" t="str">
        <f aca="false">PROPER('1. Raw Data'!H773)</f>
        <v>Yes</v>
      </c>
      <c r="I774" s="3" t="n">
        <f aca="false">'1. Raw Data'!I773</f>
        <v>3</v>
      </c>
      <c r="J774" s="3" t="n">
        <f aca="false">'1. Raw Data'!J773</f>
        <v>2</v>
      </c>
      <c r="K774" s="3" t="n">
        <f aca="false">'1. Raw Data'!K773</f>
        <v>4</v>
      </c>
      <c r="L774" s="3" t="n">
        <f aca="false">'1. Raw Data'!L773</f>
        <v>0</v>
      </c>
      <c r="M774" s="3" t="n">
        <f aca="false">'1. Raw Data'!M773</f>
        <v>1</v>
      </c>
      <c r="N774" s="3" t="str">
        <f aca="false">'1. Raw Data'!N773</f>
        <v>No</v>
      </c>
    </row>
    <row r="775" customFormat="false" ht="15" hidden="false" customHeight="false" outlineLevel="0" collapsed="false">
      <c r="A775" s="3" t="str">
        <f aca="false">'1. Raw Data'!A774</f>
        <v>EMP-0773</v>
      </c>
      <c r="B775" s="3" t="n">
        <f aca="false">'1. Raw Data'!B774</f>
        <v>37</v>
      </c>
      <c r="C775" s="3" t="str">
        <f aca="false">'1. Raw Data'!C774</f>
        <v>Marketing</v>
      </c>
      <c r="D775" s="3" t="str">
        <f aca="false">'1. Raw Data'!D774</f>
        <v>Lead</v>
      </c>
      <c r="E775" s="3" t="str">
        <f aca="false">'1. Raw Data'!E774</f>
        <v>Other</v>
      </c>
      <c r="F775" s="3" t="n">
        <f aca="false">'1. Raw Data'!F774</f>
        <v>0.8</v>
      </c>
      <c r="G775" s="3" t="n">
        <f aca="false">IF('1. Raw Data'!G774="",ROUND(IFERROR(AVERAGEIFS('1. Raw Data'!G2:G1201,'1. Raw Data'!C2:C1201,'1. Raw Data'!C774,'1. Raw Data'!D2:D1201,'1. Raw Data'!D774),0),2),'1. Raw Data'!G774)</f>
        <v>9872.16</v>
      </c>
      <c r="H775" s="3" t="str">
        <f aca="false">PROPER('1. Raw Data'!H774)</f>
        <v>No</v>
      </c>
      <c r="I775" s="3" t="n">
        <f aca="false">'1. Raw Data'!I774</f>
        <v>3</v>
      </c>
      <c r="J775" s="3" t="n">
        <f aca="false">'1. Raw Data'!J774</f>
        <v>3</v>
      </c>
      <c r="K775" s="3" t="n">
        <f aca="false">'1. Raw Data'!K774</f>
        <v>5</v>
      </c>
      <c r="L775" s="3" t="n">
        <f aca="false">'1. Raw Data'!L774</f>
        <v>0</v>
      </c>
      <c r="M775" s="3" t="n">
        <f aca="false">'1. Raw Data'!M774</f>
        <v>5</v>
      </c>
      <c r="N775" s="3" t="str">
        <f aca="false">'1. Raw Data'!N774</f>
        <v>No</v>
      </c>
    </row>
    <row r="776" customFormat="false" ht="15" hidden="false" customHeight="false" outlineLevel="0" collapsed="false">
      <c r="A776" s="3" t="str">
        <f aca="false">'1. Raw Data'!A775</f>
        <v>EMP-0774</v>
      </c>
      <c r="B776" s="3" t="n">
        <f aca="false">'1. Raw Data'!B775</f>
        <v>32</v>
      </c>
      <c r="C776" s="3" t="str">
        <f aca="false">'1. Raw Data'!C775</f>
        <v>Customer Support</v>
      </c>
      <c r="D776" s="3" t="str">
        <f aca="false">'1. Raw Data'!D775</f>
        <v>Mid</v>
      </c>
      <c r="E776" s="3" t="str">
        <f aca="false">'1. Raw Data'!E775</f>
        <v>Technical</v>
      </c>
      <c r="F776" s="3" t="n">
        <f aca="false">'1. Raw Data'!F775</f>
        <v>7.9</v>
      </c>
      <c r="G776" s="3" t="n">
        <f aca="false">IF('1. Raw Data'!G775="",ROUND(IFERROR(AVERAGEIFS('1. Raw Data'!G2:G1201,'1. Raw Data'!C2:C1201,'1. Raw Data'!C775,'1. Raw Data'!D2:D1201,'1. Raw Data'!D775),0),2),'1. Raw Data'!G775)</f>
        <v>5642.4</v>
      </c>
      <c r="H776" s="3" t="str">
        <f aca="false">PROPER('1. Raw Data'!H775)</f>
        <v>Yes</v>
      </c>
      <c r="I776" s="3" t="n">
        <f aca="false">'1. Raw Data'!I775</f>
        <v>2</v>
      </c>
      <c r="J776" s="3" t="n">
        <f aca="false">'1. Raw Data'!J775</f>
        <v>4</v>
      </c>
      <c r="K776" s="3" t="n">
        <f aca="false">'1. Raw Data'!K775</f>
        <v>4</v>
      </c>
      <c r="L776" s="3" t="n">
        <f aca="false">'1. Raw Data'!L775</f>
        <v>0</v>
      </c>
      <c r="M776" s="3" t="n">
        <f aca="false">'1. Raw Data'!M775</f>
        <v>2</v>
      </c>
      <c r="N776" s="3" t="str">
        <f aca="false">'1. Raw Data'!N775</f>
        <v>Yes</v>
      </c>
    </row>
    <row r="777" customFormat="false" ht="15" hidden="false" customHeight="false" outlineLevel="0" collapsed="false">
      <c r="A777" s="3" t="str">
        <f aca="false">'1. Raw Data'!A776</f>
        <v>EMP-0775</v>
      </c>
      <c r="B777" s="3" t="n">
        <f aca="false">'1. Raw Data'!B776</f>
        <v>33</v>
      </c>
      <c r="C777" s="3" t="str">
        <f aca="false">'1. Raw Data'!C776</f>
        <v>Engineering</v>
      </c>
      <c r="D777" s="3" t="str">
        <f aca="false">'1. Raw Data'!D776</f>
        <v>Mid</v>
      </c>
      <c r="E777" s="3" t="str">
        <f aca="false">'1. Raw Data'!E776</f>
        <v>Technical</v>
      </c>
      <c r="F777" s="3" t="n">
        <f aca="false">'1. Raw Data'!F776</f>
        <v>0.1</v>
      </c>
      <c r="G777" s="3" t="n">
        <f aca="false">IF('1. Raw Data'!G776="",ROUND(IFERROR(AVERAGEIFS('1. Raw Data'!G2:G1201,'1. Raw Data'!C2:C1201,'1. Raw Data'!C776,'1. Raw Data'!D2:D1201,'1. Raw Data'!D776),0),2),'1. Raw Data'!G776)</f>
        <v>4825.98</v>
      </c>
      <c r="H777" s="3" t="str">
        <f aca="false">PROPER('1. Raw Data'!H776)</f>
        <v>No</v>
      </c>
      <c r="I777" s="3" t="n">
        <f aca="false">'1. Raw Data'!I776</f>
        <v>3</v>
      </c>
      <c r="J777" s="3" t="n">
        <f aca="false">'1. Raw Data'!J776</f>
        <v>2</v>
      </c>
      <c r="K777" s="3" t="n">
        <f aca="false">'1. Raw Data'!K776</f>
        <v>7</v>
      </c>
      <c r="L777" s="3" t="n">
        <f aca="false">'1. Raw Data'!L776</f>
        <v>0</v>
      </c>
      <c r="M777" s="3" t="n">
        <f aca="false">'1. Raw Data'!M776</f>
        <v>1</v>
      </c>
      <c r="N777" s="3" t="str">
        <f aca="false">'1. Raw Data'!N776</f>
        <v>No</v>
      </c>
    </row>
    <row r="778" customFormat="false" ht="15" hidden="false" customHeight="false" outlineLevel="0" collapsed="false">
      <c r="A778" s="3" t="str">
        <f aca="false">'1. Raw Data'!A777</f>
        <v>EMP-0776</v>
      </c>
      <c r="B778" s="3" t="n">
        <f aca="false">'1. Raw Data'!B777</f>
        <v>40</v>
      </c>
      <c r="C778" s="3" t="str">
        <f aca="false">'1. Raw Data'!C777</f>
        <v>Marketing</v>
      </c>
      <c r="D778" s="3" t="str">
        <f aca="false">'1. Raw Data'!D777</f>
        <v>Junior</v>
      </c>
      <c r="E778" s="3" t="str">
        <f aca="false">'1. Raw Data'!E777</f>
        <v>Business</v>
      </c>
      <c r="F778" s="3" t="n">
        <f aca="false">'1. Raw Data'!F777</f>
        <v>2.8</v>
      </c>
      <c r="G778" s="3" t="n">
        <f aca="false">IF('1. Raw Data'!G777="",ROUND(IFERROR(AVERAGEIFS('1. Raw Data'!G2:G1201,'1. Raw Data'!C2:C1201,'1. Raw Data'!C777,'1. Raw Data'!D2:D1201,'1. Raw Data'!D777),0),2),'1. Raw Data'!G777)</f>
        <v>3050.26</v>
      </c>
      <c r="H778" s="3" t="str">
        <f aca="false">PROPER('1. Raw Data'!H777)</f>
        <v>No</v>
      </c>
      <c r="I778" s="3" t="n">
        <f aca="false">'1. Raw Data'!I777</f>
        <v>4</v>
      </c>
      <c r="J778" s="3" t="n">
        <f aca="false">'1. Raw Data'!J777</f>
        <v>4</v>
      </c>
      <c r="K778" s="3" t="n">
        <f aca="false">'1. Raw Data'!K777</f>
        <v>6</v>
      </c>
      <c r="L778" s="3" t="n">
        <f aca="false">'1. Raw Data'!L777</f>
        <v>0</v>
      </c>
      <c r="M778" s="3" t="n">
        <f aca="false">'1. Raw Data'!M777</f>
        <v>1</v>
      </c>
      <c r="N778" s="3" t="str">
        <f aca="false">'1. Raw Data'!N777</f>
        <v>No</v>
      </c>
    </row>
    <row r="779" customFormat="false" ht="15" hidden="false" customHeight="false" outlineLevel="0" collapsed="false">
      <c r="A779" s="3" t="str">
        <f aca="false">'1. Raw Data'!A778</f>
        <v>EMP-0777</v>
      </c>
      <c r="B779" s="3" t="n">
        <f aca="false">'1. Raw Data'!B778</f>
        <v>41</v>
      </c>
      <c r="C779" s="3" t="str">
        <f aca="false">'1. Raw Data'!C778</f>
        <v>Customer Support</v>
      </c>
      <c r="D779" s="3" t="str">
        <f aca="false">'1. Raw Data'!D778</f>
        <v>Junior</v>
      </c>
      <c r="E779" s="3" t="str">
        <f aca="false">'1. Raw Data'!E778</f>
        <v>Other</v>
      </c>
      <c r="F779" s="3" t="n">
        <f aca="false">'1. Raw Data'!F778</f>
        <v>1.1</v>
      </c>
      <c r="G779" s="3" t="n">
        <f aca="false">IF('1. Raw Data'!G778="",ROUND(IFERROR(AVERAGEIFS('1. Raw Data'!G2:G1201,'1. Raw Data'!C2:C1201,'1. Raw Data'!C778,'1. Raw Data'!D2:D1201,'1. Raw Data'!D778),0),2),'1. Raw Data'!G778)</f>
        <v>3630</v>
      </c>
      <c r="H779" s="3" t="str">
        <f aca="false">PROPER('1. Raw Data'!H778)</f>
        <v>No</v>
      </c>
      <c r="I779" s="3" t="n">
        <f aca="false">'1. Raw Data'!I778</f>
        <v>3</v>
      </c>
      <c r="J779" s="3" t="n">
        <f aca="false">'1. Raw Data'!J778</f>
        <v>3</v>
      </c>
      <c r="K779" s="3" t="n">
        <f aca="false">'1. Raw Data'!K778</f>
        <v>4</v>
      </c>
      <c r="L779" s="3" t="n">
        <f aca="false">'1. Raw Data'!L778</f>
        <v>1</v>
      </c>
      <c r="M779" s="3" t="n">
        <f aca="false">'1. Raw Data'!M778</f>
        <v>1</v>
      </c>
      <c r="N779" s="3" t="str">
        <f aca="false">'1. Raw Data'!N778</f>
        <v>No</v>
      </c>
    </row>
    <row r="780" customFormat="false" ht="15" hidden="false" customHeight="false" outlineLevel="0" collapsed="false">
      <c r="A780" s="3" t="str">
        <f aca="false">'1. Raw Data'!A779</f>
        <v>EMP-0778</v>
      </c>
      <c r="B780" s="3" t="n">
        <f aca="false">'1. Raw Data'!B779</f>
        <v>41</v>
      </c>
      <c r="C780" s="3" t="str">
        <f aca="false">'1. Raw Data'!C779</f>
        <v>Sales</v>
      </c>
      <c r="D780" s="3" t="str">
        <f aca="false">'1. Raw Data'!D779</f>
        <v>Senior</v>
      </c>
      <c r="E780" s="3" t="str">
        <f aca="false">'1. Raw Data'!E779</f>
        <v>Technical</v>
      </c>
      <c r="F780" s="3" t="n">
        <f aca="false">'1. Raw Data'!F779</f>
        <v>6.1</v>
      </c>
      <c r="G780" s="3" t="n">
        <f aca="false">IF('1. Raw Data'!G779="",ROUND(IFERROR(AVERAGEIFS('1. Raw Data'!G2:G1201,'1. Raw Data'!C2:C1201,'1. Raw Data'!C779,'1. Raw Data'!D2:D1201,'1. Raw Data'!D779),0),2),'1. Raw Data'!G779)</f>
        <v>7546.95</v>
      </c>
      <c r="H780" s="3" t="str">
        <f aca="false">PROPER('1. Raw Data'!H779)</f>
        <v>Yes</v>
      </c>
      <c r="I780" s="3" t="n">
        <f aca="false">'1. Raw Data'!I779</f>
        <v>1</v>
      </c>
      <c r="J780" s="3" t="n">
        <f aca="false">'1. Raw Data'!J779</f>
        <v>4</v>
      </c>
      <c r="K780" s="3" t="n">
        <f aca="false">'1. Raw Data'!K779</f>
        <v>5</v>
      </c>
      <c r="L780" s="3" t="n">
        <f aca="false">'1. Raw Data'!L779</f>
        <v>1</v>
      </c>
      <c r="M780" s="3" t="n">
        <f aca="false">'1. Raw Data'!M779</f>
        <v>2</v>
      </c>
      <c r="N780" s="3" t="str">
        <f aca="false">'1. Raw Data'!N779</f>
        <v>No</v>
      </c>
    </row>
    <row r="781" customFormat="false" ht="15" hidden="false" customHeight="false" outlineLevel="0" collapsed="false">
      <c r="A781" s="3" t="str">
        <f aca="false">'1. Raw Data'!A780</f>
        <v>EMP-0779</v>
      </c>
      <c r="B781" s="3" t="n">
        <f aca="false">'1. Raw Data'!B780</f>
        <v>34</v>
      </c>
      <c r="C781" s="3" t="str">
        <f aca="false">'1. Raw Data'!C780</f>
        <v>Engineering</v>
      </c>
      <c r="D781" s="3" t="str">
        <f aca="false">'1. Raw Data'!D780</f>
        <v>Mid</v>
      </c>
      <c r="E781" s="3" t="str">
        <f aca="false">'1. Raw Data'!E780</f>
        <v>Business</v>
      </c>
      <c r="F781" s="3" t="n">
        <f aca="false">'1. Raw Data'!F780</f>
        <v>2.7</v>
      </c>
      <c r="G781" s="3" t="n">
        <f aca="false">IF('1. Raw Data'!G780="",ROUND(IFERROR(AVERAGEIFS('1. Raw Data'!G2:G1201,'1. Raw Data'!C2:C1201,'1. Raw Data'!C780,'1. Raw Data'!D2:D1201,'1. Raw Data'!D780),0),2),'1. Raw Data'!G780)</f>
        <v>5218.68</v>
      </c>
      <c r="H781" s="3" t="str">
        <f aca="false">PROPER('1. Raw Data'!H780)</f>
        <v>No</v>
      </c>
      <c r="I781" s="3" t="n">
        <f aca="false">'1. Raw Data'!I780</f>
        <v>2</v>
      </c>
      <c r="J781" s="3" t="n">
        <f aca="false">'1. Raw Data'!J780</f>
        <v>3</v>
      </c>
      <c r="K781" s="3" t="n">
        <f aca="false">'1. Raw Data'!K780</f>
        <v>3</v>
      </c>
      <c r="L781" s="3" t="n">
        <f aca="false">'1. Raw Data'!L780</f>
        <v>2</v>
      </c>
      <c r="M781" s="3" t="n">
        <f aca="false">'1. Raw Data'!M780</f>
        <v>2</v>
      </c>
      <c r="N781" s="3" t="str">
        <f aca="false">'1. Raw Data'!N780</f>
        <v>Yes</v>
      </c>
    </row>
    <row r="782" customFormat="false" ht="15" hidden="false" customHeight="false" outlineLevel="0" collapsed="false">
      <c r="A782" s="3" t="str">
        <f aca="false">'1. Raw Data'!A781</f>
        <v>EMP-0780</v>
      </c>
      <c r="B782" s="3" t="n">
        <f aca="false">'1. Raw Data'!B781</f>
        <v>46</v>
      </c>
      <c r="C782" s="3" t="str">
        <f aca="false">'1. Raw Data'!C781</f>
        <v>HR</v>
      </c>
      <c r="D782" s="3" t="str">
        <f aca="false">'1. Raw Data'!D781</f>
        <v>Senior</v>
      </c>
      <c r="E782" s="3" t="str">
        <f aca="false">'1. Raw Data'!E781</f>
        <v>Technical</v>
      </c>
      <c r="F782" s="3" t="n">
        <f aca="false">'1. Raw Data'!F781</f>
        <v>11.1</v>
      </c>
      <c r="G782" s="3" t="n">
        <f aca="false">IF('1. Raw Data'!G781="",ROUND(IFERROR(AVERAGEIFS('1. Raw Data'!G2:G1201,'1. Raw Data'!C2:C1201,'1. Raw Data'!C781,'1. Raw Data'!D2:D1201,'1. Raw Data'!D781),0),2),'1. Raw Data'!G781)</f>
        <v>6692.85</v>
      </c>
      <c r="H782" s="3" t="str">
        <f aca="false">PROPER('1. Raw Data'!H781)</f>
        <v>Yes</v>
      </c>
      <c r="I782" s="3" t="n">
        <f aca="false">'1. Raw Data'!I781</f>
        <v>3</v>
      </c>
      <c r="J782" s="3" t="n">
        <f aca="false">'1. Raw Data'!J781</f>
        <v>2</v>
      </c>
      <c r="K782" s="3" t="n">
        <f aca="false">'1. Raw Data'!K781</f>
        <v>19</v>
      </c>
      <c r="L782" s="3" t="n">
        <f aca="false">'1. Raw Data'!L781</f>
        <v>4</v>
      </c>
      <c r="M782" s="3" t="n">
        <f aca="false">'1. Raw Data'!M781</f>
        <v>2</v>
      </c>
      <c r="N782" s="3" t="str">
        <f aca="false">'1. Raw Data'!N781</f>
        <v>Yes</v>
      </c>
    </row>
    <row r="783" customFormat="false" ht="15" hidden="false" customHeight="false" outlineLevel="0" collapsed="false">
      <c r="A783" s="3" t="str">
        <f aca="false">'1. Raw Data'!A782</f>
        <v>EMP-0781</v>
      </c>
      <c r="B783" s="3" t="n">
        <f aca="false">'1. Raw Data'!B782</f>
        <v>28</v>
      </c>
      <c r="C783" s="3" t="str">
        <f aca="false">'1. Raw Data'!C782</f>
        <v>Engineering</v>
      </c>
      <c r="D783" s="3" t="str">
        <f aca="false">'1. Raw Data'!D782</f>
        <v>Mid</v>
      </c>
      <c r="E783" s="3" t="str">
        <f aca="false">'1. Raw Data'!E782</f>
        <v>Business</v>
      </c>
      <c r="F783" s="3" t="n">
        <f aca="false">'1. Raw Data'!F782</f>
        <v>0.4</v>
      </c>
      <c r="G783" s="3" t="n">
        <f aca="false">IF('1. Raw Data'!G782="",ROUND(IFERROR(AVERAGEIFS('1. Raw Data'!G2:G1201,'1. Raw Data'!C2:C1201,'1. Raw Data'!C782,'1. Raw Data'!D2:D1201,'1. Raw Data'!D782),0),2),'1. Raw Data'!G782)</f>
        <v>5103.68</v>
      </c>
      <c r="H783" s="3" t="str">
        <f aca="false">PROPER('1. Raw Data'!H782)</f>
        <v>No</v>
      </c>
      <c r="I783" s="3" t="n">
        <f aca="false">'1. Raw Data'!I782</f>
        <v>3</v>
      </c>
      <c r="J783" s="3" t="n">
        <f aca="false">'1. Raw Data'!J782</f>
        <v>3</v>
      </c>
      <c r="K783" s="3" t="n">
        <f aca="false">'1. Raw Data'!K782</f>
        <v>1</v>
      </c>
      <c r="L783" s="3" t="n">
        <f aca="false">'1. Raw Data'!L782</f>
        <v>0</v>
      </c>
      <c r="M783" s="3" t="n">
        <f aca="false">'1. Raw Data'!M782</f>
        <v>0</v>
      </c>
      <c r="N783" s="3" t="str">
        <f aca="false">'1. Raw Data'!N782</f>
        <v>No</v>
      </c>
    </row>
    <row r="784" customFormat="false" ht="15" hidden="false" customHeight="false" outlineLevel="0" collapsed="false">
      <c r="A784" s="3" t="str">
        <f aca="false">'1. Raw Data'!A783</f>
        <v>EMP-0782</v>
      </c>
      <c r="B784" s="3" t="n">
        <f aca="false">'1. Raw Data'!B783</f>
        <v>38</v>
      </c>
      <c r="C784" s="3" t="str">
        <f aca="false">'1. Raw Data'!C783</f>
        <v>Sales</v>
      </c>
      <c r="D784" s="3" t="str">
        <f aca="false">'1. Raw Data'!D783</f>
        <v>Senior</v>
      </c>
      <c r="E784" s="3" t="str">
        <f aca="false">'1. Raw Data'!E783</f>
        <v>Marketing</v>
      </c>
      <c r="F784" s="3" t="n">
        <f aca="false">'1. Raw Data'!F783</f>
        <v>0.5</v>
      </c>
      <c r="G784" s="3" t="n">
        <f aca="false">IF('1. Raw Data'!G783="",ROUND(IFERROR(AVERAGEIFS('1. Raw Data'!G2:G1201,'1. Raw Data'!C2:C1201,'1. Raw Data'!C783,'1. Raw Data'!D2:D1201,'1. Raw Data'!D783),0),2),'1. Raw Data'!G783)</f>
        <v>8340.82</v>
      </c>
      <c r="H784" s="3" t="str">
        <f aca="false">PROPER('1. Raw Data'!H783)</f>
        <v>Yes</v>
      </c>
      <c r="I784" s="3" t="n">
        <f aca="false">'1. Raw Data'!I783</f>
        <v>4</v>
      </c>
      <c r="J784" s="3" t="n">
        <f aca="false">'1. Raw Data'!J783</f>
        <v>1</v>
      </c>
      <c r="K784" s="3" t="n">
        <f aca="false">'1. Raw Data'!K783</f>
        <v>21</v>
      </c>
      <c r="L784" s="3" t="n">
        <f aca="false">'1. Raw Data'!L783</f>
        <v>0</v>
      </c>
      <c r="M784" s="3" t="n">
        <f aca="false">'1. Raw Data'!M783</f>
        <v>3</v>
      </c>
      <c r="N784" s="3" t="str">
        <f aca="false">'1. Raw Data'!N783</f>
        <v>Yes</v>
      </c>
    </row>
    <row r="785" customFormat="false" ht="15" hidden="false" customHeight="false" outlineLevel="0" collapsed="false">
      <c r="A785" s="3" t="str">
        <f aca="false">'1. Raw Data'!A784</f>
        <v>EMP-0783</v>
      </c>
      <c r="B785" s="3" t="n">
        <f aca="false">'1. Raw Data'!B784</f>
        <v>22</v>
      </c>
      <c r="C785" s="3" t="str">
        <f aca="false">'1. Raw Data'!C784</f>
        <v>Sales</v>
      </c>
      <c r="D785" s="3" t="str">
        <f aca="false">'1. Raw Data'!D784</f>
        <v>Senior</v>
      </c>
      <c r="E785" s="3" t="str">
        <f aca="false">'1. Raw Data'!E784</f>
        <v>Business</v>
      </c>
      <c r="F785" s="3" t="n">
        <f aca="false">'1. Raw Data'!F784</f>
        <v>1</v>
      </c>
      <c r="G785" s="3" t="n">
        <f aca="false">IF('1. Raw Data'!G784="",ROUND(IFERROR(AVERAGEIFS('1. Raw Data'!G2:G1201,'1. Raw Data'!C2:C1201,'1. Raw Data'!C784,'1. Raw Data'!D2:D1201,'1. Raw Data'!D784),0),2),'1. Raw Data'!G784)</f>
        <v>7560.08</v>
      </c>
      <c r="H785" s="3" t="str">
        <f aca="false">PROPER('1. Raw Data'!H784)</f>
        <v>No</v>
      </c>
      <c r="I785" s="3" t="n">
        <f aca="false">'1. Raw Data'!I784</f>
        <v>3</v>
      </c>
      <c r="J785" s="3" t="n">
        <f aca="false">'1. Raw Data'!J784</f>
        <v>3</v>
      </c>
      <c r="K785" s="3" t="n">
        <f aca="false">'1. Raw Data'!K784</f>
        <v>1</v>
      </c>
      <c r="L785" s="3" t="n">
        <f aca="false">'1. Raw Data'!L784</f>
        <v>1</v>
      </c>
      <c r="M785" s="3" t="n">
        <f aca="false">'1. Raw Data'!M784</f>
        <v>4</v>
      </c>
      <c r="N785" s="3" t="str">
        <f aca="false">'1. Raw Data'!N784</f>
        <v>Yes</v>
      </c>
    </row>
    <row r="786" customFormat="false" ht="15" hidden="false" customHeight="false" outlineLevel="0" collapsed="false">
      <c r="A786" s="3" t="str">
        <f aca="false">'1. Raw Data'!A785</f>
        <v>EMP-0784</v>
      </c>
      <c r="B786" s="3" t="n">
        <f aca="false">'1. Raw Data'!B785</f>
        <v>25</v>
      </c>
      <c r="C786" s="3" t="str">
        <f aca="false">'1. Raw Data'!C785</f>
        <v>Sales</v>
      </c>
      <c r="D786" s="3" t="str">
        <f aca="false">'1. Raw Data'!D785</f>
        <v>Junior</v>
      </c>
      <c r="E786" s="3" t="str">
        <f aca="false">'1. Raw Data'!E785</f>
        <v>Other</v>
      </c>
      <c r="F786" s="3" t="n">
        <f aca="false">'1. Raw Data'!F785</f>
        <v>3.7</v>
      </c>
      <c r="G786" s="3" t="n">
        <f aca="false">IF('1. Raw Data'!G785="",ROUND(IFERROR(AVERAGEIFS('1. Raw Data'!G2:G1201,'1. Raw Data'!C2:C1201,'1. Raw Data'!C785,'1. Raw Data'!D2:D1201,'1. Raw Data'!D785),0),2),'1. Raw Data'!G785)</f>
        <v>3612.45</v>
      </c>
      <c r="H786" s="3" t="str">
        <f aca="false">PROPER('1. Raw Data'!H785)</f>
        <v>No</v>
      </c>
      <c r="I786" s="3" t="n">
        <f aca="false">'1. Raw Data'!I785</f>
        <v>4</v>
      </c>
      <c r="J786" s="3" t="n">
        <f aca="false">'1. Raw Data'!J785</f>
        <v>3</v>
      </c>
      <c r="K786" s="3" t="n">
        <f aca="false">'1. Raw Data'!K785</f>
        <v>24</v>
      </c>
      <c r="L786" s="3" t="n">
        <f aca="false">'1. Raw Data'!L785</f>
        <v>0</v>
      </c>
      <c r="M786" s="3" t="n">
        <f aca="false">'1. Raw Data'!M785</f>
        <v>5</v>
      </c>
      <c r="N786" s="3" t="str">
        <f aca="false">'1. Raw Data'!N785</f>
        <v>No</v>
      </c>
    </row>
    <row r="787" customFormat="false" ht="15" hidden="false" customHeight="false" outlineLevel="0" collapsed="false">
      <c r="A787" s="3" t="str">
        <f aca="false">'1. Raw Data'!A786</f>
        <v>EMP-0785</v>
      </c>
      <c r="B787" s="3" t="n">
        <f aca="false">'1. Raw Data'!B786</f>
        <v>26</v>
      </c>
      <c r="C787" s="3" t="str">
        <f aca="false">'1. Raw Data'!C786</f>
        <v>Engineering</v>
      </c>
      <c r="D787" s="3" t="str">
        <f aca="false">'1. Raw Data'!D786</f>
        <v>Mid</v>
      </c>
      <c r="E787" s="3" t="str">
        <f aca="false">'1. Raw Data'!E786</f>
        <v>Other</v>
      </c>
      <c r="F787" s="3" t="n">
        <f aca="false">'1. Raw Data'!F786</f>
        <v>0.2</v>
      </c>
      <c r="G787" s="3" t="n">
        <f aca="false">IF('1. Raw Data'!G786="",ROUND(IFERROR(AVERAGEIFS('1. Raw Data'!G2:G1201,'1. Raw Data'!C2:C1201,'1. Raw Data'!C786,'1. Raw Data'!D2:D1201,'1. Raw Data'!D786),0),2),'1. Raw Data'!G786)</f>
        <v>4120.8</v>
      </c>
      <c r="H787" s="3" t="str">
        <f aca="false">PROPER('1. Raw Data'!H786)</f>
        <v>No</v>
      </c>
      <c r="I787" s="3" t="n">
        <f aca="false">'1. Raw Data'!I786</f>
        <v>4</v>
      </c>
      <c r="J787" s="3" t="n">
        <f aca="false">'1. Raw Data'!J786</f>
        <v>4</v>
      </c>
      <c r="K787" s="3" t="n">
        <f aca="false">'1. Raw Data'!K786</f>
        <v>1</v>
      </c>
      <c r="L787" s="3" t="n">
        <f aca="false">'1. Raw Data'!L786</f>
        <v>0</v>
      </c>
      <c r="M787" s="3" t="n">
        <f aca="false">'1. Raw Data'!M786</f>
        <v>1</v>
      </c>
      <c r="N787" s="3" t="str">
        <f aca="false">'1. Raw Data'!N786</f>
        <v>No</v>
      </c>
    </row>
    <row r="788" customFormat="false" ht="15" hidden="false" customHeight="false" outlineLevel="0" collapsed="false">
      <c r="A788" s="3" t="str">
        <f aca="false">'1. Raw Data'!A787</f>
        <v>EMP-0786</v>
      </c>
      <c r="B788" s="3" t="n">
        <f aca="false">'1. Raw Data'!B787</f>
        <v>37</v>
      </c>
      <c r="C788" s="3" t="str">
        <f aca="false">'1. Raw Data'!C787</f>
        <v>Finance</v>
      </c>
      <c r="D788" s="3" t="str">
        <f aca="false">'1. Raw Data'!D787</f>
        <v>Senior</v>
      </c>
      <c r="E788" s="3" t="str">
        <f aca="false">'1. Raw Data'!E787</f>
        <v>Technical</v>
      </c>
      <c r="F788" s="3" t="n">
        <f aca="false">'1. Raw Data'!F787</f>
        <v>0.3</v>
      </c>
      <c r="G788" s="3" t="n">
        <f aca="false">IF('1. Raw Data'!G787="",ROUND(IFERROR(AVERAGEIFS('1. Raw Data'!G2:G1201,'1. Raw Data'!C2:C1201,'1. Raw Data'!C787,'1. Raw Data'!D2:D1201,'1. Raw Data'!D787),0),2),'1. Raw Data'!G787)</f>
        <v>6804.17</v>
      </c>
      <c r="H788" s="3" t="str">
        <f aca="false">PROPER('1. Raw Data'!H787)</f>
        <v>Yes</v>
      </c>
      <c r="I788" s="3" t="n">
        <f aca="false">'1. Raw Data'!I787</f>
        <v>3</v>
      </c>
      <c r="J788" s="3" t="n">
        <f aca="false">'1. Raw Data'!J787</f>
        <v>2</v>
      </c>
      <c r="K788" s="3" t="n">
        <f aca="false">'1. Raw Data'!K787</f>
        <v>5</v>
      </c>
      <c r="L788" s="3" t="n">
        <f aca="false">'1. Raw Data'!L787</f>
        <v>0</v>
      </c>
      <c r="M788" s="3" t="n">
        <f aca="false">'1. Raw Data'!M787</f>
        <v>2</v>
      </c>
      <c r="N788" s="3" t="str">
        <f aca="false">'1. Raw Data'!N787</f>
        <v>No</v>
      </c>
    </row>
    <row r="789" customFormat="false" ht="15" hidden="false" customHeight="false" outlineLevel="0" collapsed="false">
      <c r="A789" s="3" t="str">
        <f aca="false">'1. Raw Data'!A788</f>
        <v>EMP-0787</v>
      </c>
      <c r="B789" s="3" t="n">
        <f aca="false">'1. Raw Data'!B788</f>
        <v>37</v>
      </c>
      <c r="C789" s="3" t="str">
        <f aca="false">'1. Raw Data'!C788</f>
        <v>Marketing</v>
      </c>
      <c r="D789" s="3" t="str">
        <f aca="false">'1. Raw Data'!D788</f>
        <v>Junior</v>
      </c>
      <c r="E789" s="3" t="str">
        <f aca="false">'1. Raw Data'!E788</f>
        <v>Marketing</v>
      </c>
      <c r="F789" s="3" t="n">
        <f aca="false">'1. Raw Data'!F788</f>
        <v>1.2</v>
      </c>
      <c r="G789" s="3" t="n">
        <f aca="false">IF('1. Raw Data'!G788="",ROUND(IFERROR(AVERAGEIFS('1. Raw Data'!G2:G1201,'1. Raw Data'!C2:C1201,'1. Raw Data'!C788,'1. Raw Data'!D2:D1201,'1. Raw Data'!D788),0),2),'1. Raw Data'!G788)</f>
        <v>3379.79</v>
      </c>
      <c r="H789" s="3" t="str">
        <f aca="false">PROPER('1. Raw Data'!H788)</f>
        <v>No</v>
      </c>
      <c r="I789" s="3" t="n">
        <f aca="false">'1. Raw Data'!I788</f>
        <v>4</v>
      </c>
      <c r="J789" s="3" t="n">
        <f aca="false">'1. Raw Data'!J788</f>
        <v>2</v>
      </c>
      <c r="K789" s="3" t="n">
        <f aca="false">'1. Raw Data'!K788</f>
        <v>3</v>
      </c>
      <c r="L789" s="3" t="n">
        <f aca="false">'1. Raw Data'!L788</f>
        <v>1</v>
      </c>
      <c r="M789" s="3" t="n">
        <f aca="false">'1. Raw Data'!M788</f>
        <v>1</v>
      </c>
      <c r="N789" s="3" t="str">
        <f aca="false">'1. Raw Data'!N788</f>
        <v>Yes</v>
      </c>
    </row>
    <row r="790" customFormat="false" ht="15" hidden="false" customHeight="false" outlineLevel="0" collapsed="false">
      <c r="A790" s="3" t="str">
        <f aca="false">'1. Raw Data'!A789</f>
        <v>EMP-0788</v>
      </c>
      <c r="B790" s="3" t="n">
        <f aca="false">'1. Raw Data'!B789</f>
        <v>33</v>
      </c>
      <c r="C790" s="3" t="str">
        <f aca="false">'1. Raw Data'!C789</f>
        <v>HR</v>
      </c>
      <c r="D790" s="3" t="str">
        <f aca="false">'1. Raw Data'!D789</f>
        <v>Mid</v>
      </c>
      <c r="E790" s="3" t="str">
        <f aca="false">'1. Raw Data'!E789</f>
        <v>Marketing</v>
      </c>
      <c r="F790" s="3" t="n">
        <f aca="false">'1. Raw Data'!F789</f>
        <v>2.2</v>
      </c>
      <c r="G790" s="3" t="n">
        <f aca="false">IF('1. Raw Data'!G789="",ROUND(IFERROR(AVERAGEIFS('1. Raw Data'!G2:G1201,'1. Raw Data'!C2:C1201,'1. Raw Data'!C789,'1. Raw Data'!D2:D1201,'1. Raw Data'!D789),0),2),'1. Raw Data'!G789)</f>
        <v>5210.88</v>
      </c>
      <c r="H790" s="3" t="str">
        <f aca="false">PROPER('1. Raw Data'!H789)</f>
        <v>No</v>
      </c>
      <c r="I790" s="3" t="n">
        <f aca="false">'1. Raw Data'!I789</f>
        <v>4</v>
      </c>
      <c r="J790" s="3" t="n">
        <f aca="false">'1. Raw Data'!J789</f>
        <v>2</v>
      </c>
      <c r="K790" s="3" t="n">
        <f aca="false">'1. Raw Data'!K789</f>
        <v>9</v>
      </c>
      <c r="L790" s="3" t="n">
        <f aca="false">'1. Raw Data'!L789</f>
        <v>1</v>
      </c>
      <c r="M790" s="3" t="n">
        <f aca="false">'1. Raw Data'!M789</f>
        <v>1</v>
      </c>
      <c r="N790" s="3" t="str">
        <f aca="false">'1. Raw Data'!N789</f>
        <v>No</v>
      </c>
    </row>
    <row r="791" customFormat="false" ht="15" hidden="false" customHeight="false" outlineLevel="0" collapsed="false">
      <c r="A791" s="3" t="str">
        <f aca="false">'1. Raw Data'!A790</f>
        <v>EMP-0789</v>
      </c>
      <c r="B791" s="3" t="n">
        <f aca="false">'1. Raw Data'!B790</f>
        <v>25</v>
      </c>
      <c r="C791" s="3" t="str">
        <f aca="false">'1. Raw Data'!C790</f>
        <v>Marketing</v>
      </c>
      <c r="D791" s="3" t="str">
        <f aca="false">'1. Raw Data'!D790</f>
        <v>Junior</v>
      </c>
      <c r="E791" s="3" t="str">
        <f aca="false">'1. Raw Data'!E790</f>
        <v>Other</v>
      </c>
      <c r="F791" s="3" t="n">
        <f aca="false">'1. Raw Data'!F790</f>
        <v>0.4</v>
      </c>
      <c r="G791" s="3" t="n">
        <f aca="false">IF('1. Raw Data'!G790="",ROUND(IFERROR(AVERAGEIFS('1. Raw Data'!G2:G1201,'1. Raw Data'!C2:C1201,'1. Raw Data'!C790,'1. Raw Data'!D2:D1201,'1. Raw Data'!D790),0),2),'1. Raw Data'!G790)</f>
        <v>3435.92</v>
      </c>
      <c r="H791" s="3" t="str">
        <f aca="false">PROPER('1. Raw Data'!H790)</f>
        <v>No</v>
      </c>
      <c r="I791" s="3" t="n">
        <f aca="false">'1. Raw Data'!I790</f>
        <v>1</v>
      </c>
      <c r="J791" s="3" t="n">
        <f aca="false">'1. Raw Data'!J790</f>
        <v>2</v>
      </c>
      <c r="K791" s="3" t="n">
        <f aca="false">'1. Raw Data'!K790</f>
        <v>1</v>
      </c>
      <c r="L791" s="3" t="n">
        <f aca="false">'1. Raw Data'!L790</f>
        <v>0</v>
      </c>
      <c r="M791" s="3" t="n">
        <f aca="false">'1. Raw Data'!M790</f>
        <v>0</v>
      </c>
      <c r="N791" s="3" t="str">
        <f aca="false">'1. Raw Data'!N790</f>
        <v>Yes</v>
      </c>
    </row>
    <row r="792" customFormat="false" ht="15" hidden="false" customHeight="false" outlineLevel="0" collapsed="false">
      <c r="A792" s="3" t="str">
        <f aca="false">'1. Raw Data'!A791</f>
        <v>EMP-0790</v>
      </c>
      <c r="B792" s="3" t="n">
        <f aca="false">'1. Raw Data'!B791</f>
        <v>41</v>
      </c>
      <c r="C792" s="3" t="str">
        <f aca="false">'1. Raw Data'!C791</f>
        <v>Sales</v>
      </c>
      <c r="D792" s="3" t="str">
        <f aca="false">'1. Raw Data'!D791</f>
        <v>Senior</v>
      </c>
      <c r="E792" s="3" t="str">
        <f aca="false">'1. Raw Data'!E791</f>
        <v>Marketing</v>
      </c>
      <c r="F792" s="3" t="n">
        <f aca="false">'1. Raw Data'!F791</f>
        <v>0.6</v>
      </c>
      <c r="G792" s="3" t="n">
        <f aca="false">IF('1. Raw Data'!G791="",ROUND(IFERROR(AVERAGEIFS('1. Raw Data'!G2:G1201,'1. Raw Data'!C2:C1201,'1. Raw Data'!C791,'1. Raw Data'!D2:D1201,'1. Raw Data'!D791),0),2),'1. Raw Data'!G791)</f>
        <v>6157.04</v>
      </c>
      <c r="H792" s="3" t="str">
        <f aca="false">PROPER('1. Raw Data'!H791)</f>
        <v>Yes</v>
      </c>
      <c r="I792" s="3" t="n">
        <f aca="false">'1. Raw Data'!I791</f>
        <v>3</v>
      </c>
      <c r="J792" s="3" t="n">
        <f aca="false">'1. Raw Data'!J791</f>
        <v>3</v>
      </c>
      <c r="K792" s="3" t="n">
        <f aca="false">'1. Raw Data'!K791</f>
        <v>1</v>
      </c>
      <c r="L792" s="3" t="n">
        <f aca="false">'1. Raw Data'!L791</f>
        <v>0</v>
      </c>
      <c r="M792" s="3" t="n">
        <f aca="false">'1. Raw Data'!M791</f>
        <v>3</v>
      </c>
      <c r="N792" s="3" t="str">
        <f aca="false">'1. Raw Data'!N791</f>
        <v>No</v>
      </c>
    </row>
    <row r="793" customFormat="false" ht="15" hidden="false" customHeight="false" outlineLevel="0" collapsed="false">
      <c r="A793" s="3" t="str">
        <f aca="false">'1. Raw Data'!A792</f>
        <v>EMP-0791</v>
      </c>
      <c r="B793" s="3" t="n">
        <f aca="false">'1. Raw Data'!B792</f>
        <v>51</v>
      </c>
      <c r="C793" s="3" t="str">
        <f aca="false">'1. Raw Data'!C792</f>
        <v>Marketing</v>
      </c>
      <c r="D793" s="3" t="str">
        <f aca="false">'1. Raw Data'!D792</f>
        <v>Junior</v>
      </c>
      <c r="E793" s="3" t="str">
        <f aca="false">'1. Raw Data'!E792</f>
        <v>Marketing</v>
      </c>
      <c r="F793" s="3" t="n">
        <f aca="false">'1. Raw Data'!F792</f>
        <v>5</v>
      </c>
      <c r="G793" s="3" t="n">
        <f aca="false">IF('1. Raw Data'!G792="",ROUND(IFERROR(AVERAGEIFS('1. Raw Data'!G2:G1201,'1. Raw Data'!C2:C1201,'1. Raw Data'!C792,'1. Raw Data'!D2:D1201,'1. Raw Data'!D792),0),2),'1. Raw Data'!G792)</f>
        <v>2818.17</v>
      </c>
      <c r="H793" s="3" t="str">
        <f aca="false">PROPER('1. Raw Data'!H792)</f>
        <v>No</v>
      </c>
      <c r="I793" s="3" t="n">
        <f aca="false">'1. Raw Data'!I792</f>
        <v>1</v>
      </c>
      <c r="J793" s="3" t="n">
        <f aca="false">'1. Raw Data'!J792</f>
        <v>4</v>
      </c>
      <c r="K793" s="3" t="n">
        <f aca="false">'1. Raw Data'!K792</f>
        <v>14</v>
      </c>
      <c r="L793" s="3" t="n">
        <f aca="false">'1. Raw Data'!L792</f>
        <v>0</v>
      </c>
      <c r="M793" s="3" t="n">
        <f aca="false">'1. Raw Data'!M792</f>
        <v>4</v>
      </c>
      <c r="N793" s="3" t="str">
        <f aca="false">'1. Raw Data'!N792</f>
        <v>No</v>
      </c>
    </row>
    <row r="794" customFormat="false" ht="15" hidden="false" customHeight="false" outlineLevel="0" collapsed="false">
      <c r="A794" s="3" t="str">
        <f aca="false">'1. Raw Data'!A793</f>
        <v>EMP-0792</v>
      </c>
      <c r="B794" s="3" t="n">
        <f aca="false">'1. Raw Data'!B793</f>
        <v>43</v>
      </c>
      <c r="C794" s="3" t="str">
        <f aca="false">'1. Raw Data'!C793</f>
        <v>Sales</v>
      </c>
      <c r="D794" s="3" t="str">
        <f aca="false">'1. Raw Data'!D793</f>
        <v>Senior</v>
      </c>
      <c r="E794" s="3" t="str">
        <f aca="false">'1. Raw Data'!E793</f>
        <v>Technical</v>
      </c>
      <c r="F794" s="3" t="n">
        <f aca="false">'1. Raw Data'!F793</f>
        <v>2.3</v>
      </c>
      <c r="G794" s="3" t="n">
        <f aca="false">IF('1. Raw Data'!G793="",ROUND(IFERROR(AVERAGEIFS('1. Raw Data'!G2:G1201,'1. Raw Data'!C2:C1201,'1. Raw Data'!C793,'1. Raw Data'!D2:D1201,'1. Raw Data'!D793),0),2),'1. Raw Data'!G793)</f>
        <v>8061.3</v>
      </c>
      <c r="H794" s="3" t="str">
        <f aca="false">PROPER('1. Raw Data'!H793)</f>
        <v>No</v>
      </c>
      <c r="I794" s="3" t="n">
        <f aca="false">'1. Raw Data'!I793</f>
        <v>2</v>
      </c>
      <c r="J794" s="3" t="n">
        <f aca="false">'1. Raw Data'!J793</f>
        <v>3</v>
      </c>
      <c r="K794" s="3" t="n">
        <f aca="false">'1. Raw Data'!K793</f>
        <v>9</v>
      </c>
      <c r="L794" s="3" t="n">
        <f aca="false">'1. Raw Data'!L793</f>
        <v>0</v>
      </c>
      <c r="M794" s="3" t="n">
        <f aca="false">'1. Raw Data'!M793</f>
        <v>1</v>
      </c>
      <c r="N794" s="3" t="str">
        <f aca="false">'1. Raw Data'!N793</f>
        <v>No</v>
      </c>
    </row>
    <row r="795" customFormat="false" ht="15" hidden="false" customHeight="false" outlineLevel="0" collapsed="false">
      <c r="A795" s="3" t="str">
        <f aca="false">'1. Raw Data'!A794</f>
        <v>EMP-0793</v>
      </c>
      <c r="B795" s="3" t="n">
        <f aca="false">'1. Raw Data'!B794</f>
        <v>33</v>
      </c>
      <c r="C795" s="3" t="str">
        <f aca="false">'1. Raw Data'!C794</f>
        <v>HR</v>
      </c>
      <c r="D795" s="3" t="str">
        <f aca="false">'1. Raw Data'!D794</f>
        <v>Junior</v>
      </c>
      <c r="E795" s="3" t="str">
        <f aca="false">'1. Raw Data'!E794</f>
        <v>Business</v>
      </c>
      <c r="F795" s="3" t="n">
        <f aca="false">'1. Raw Data'!F794</f>
        <v>3.3</v>
      </c>
      <c r="G795" s="3" t="n">
        <f aca="false">IF('1. Raw Data'!G794="",ROUND(IFERROR(AVERAGEIFS('1. Raw Data'!G2:G1201,'1. Raw Data'!C2:C1201,'1. Raw Data'!C794,'1. Raw Data'!D2:D1201,'1. Raw Data'!D794),0),2),'1. Raw Data'!G794)</f>
        <v>3461.18</v>
      </c>
      <c r="H795" s="3" t="str">
        <f aca="false">PROPER('1. Raw Data'!H794)</f>
        <v>No</v>
      </c>
      <c r="I795" s="3" t="n">
        <f aca="false">'1. Raw Data'!I794</f>
        <v>3</v>
      </c>
      <c r="J795" s="3" t="n">
        <f aca="false">'1. Raw Data'!J794</f>
        <v>3</v>
      </c>
      <c r="K795" s="3" t="n">
        <f aca="false">'1. Raw Data'!K794</f>
        <v>8</v>
      </c>
      <c r="L795" s="3" t="n">
        <f aca="false">'1. Raw Data'!L794</f>
        <v>1</v>
      </c>
      <c r="M795" s="3" t="n">
        <f aca="false">'1. Raw Data'!M794</f>
        <v>3</v>
      </c>
      <c r="N795" s="3" t="str">
        <f aca="false">'1. Raw Data'!N794</f>
        <v>No</v>
      </c>
    </row>
    <row r="796" customFormat="false" ht="15" hidden="false" customHeight="false" outlineLevel="0" collapsed="false">
      <c r="A796" s="3" t="str">
        <f aca="false">'1. Raw Data'!A795</f>
        <v>EMP-0794</v>
      </c>
      <c r="B796" s="3" t="n">
        <f aca="false">'1. Raw Data'!B795</f>
        <v>31</v>
      </c>
      <c r="C796" s="3" t="str">
        <f aca="false">'1. Raw Data'!C795</f>
        <v>Customer Support</v>
      </c>
      <c r="D796" s="3" t="str">
        <f aca="false">'1. Raw Data'!D795</f>
        <v>Mid</v>
      </c>
      <c r="E796" s="3" t="str">
        <f aca="false">'1. Raw Data'!E795</f>
        <v>Marketing</v>
      </c>
      <c r="F796" s="3" t="n">
        <f aca="false">'1. Raw Data'!F795</f>
        <v>1.8</v>
      </c>
      <c r="G796" s="3" t="n">
        <f aca="false">IF('1. Raw Data'!G795="",ROUND(IFERROR(AVERAGEIFS('1. Raw Data'!G2:G1201,'1. Raw Data'!C2:C1201,'1. Raw Data'!C795,'1. Raw Data'!D2:D1201,'1. Raw Data'!D795),0),2),'1. Raw Data'!G795)</f>
        <v>4379.11</v>
      </c>
      <c r="H796" s="3" t="str">
        <f aca="false">PROPER('1. Raw Data'!H795)</f>
        <v>No</v>
      </c>
      <c r="I796" s="3" t="n">
        <f aca="false">'1. Raw Data'!I795</f>
        <v>1</v>
      </c>
      <c r="J796" s="3" t="n">
        <f aca="false">'1. Raw Data'!J795</f>
        <v>2</v>
      </c>
      <c r="K796" s="3" t="n">
        <f aca="false">'1. Raw Data'!K795</f>
        <v>7</v>
      </c>
      <c r="L796" s="3" t="n">
        <f aca="false">'1. Raw Data'!L795</f>
        <v>0</v>
      </c>
      <c r="M796" s="3" t="n">
        <f aca="false">'1. Raw Data'!M795</f>
        <v>0</v>
      </c>
      <c r="N796" s="3" t="str">
        <f aca="false">'1. Raw Data'!N795</f>
        <v>No</v>
      </c>
    </row>
    <row r="797" customFormat="false" ht="15" hidden="false" customHeight="false" outlineLevel="0" collapsed="false">
      <c r="A797" s="3" t="str">
        <f aca="false">'1. Raw Data'!A796</f>
        <v>EMP-0795</v>
      </c>
      <c r="B797" s="3" t="n">
        <f aca="false">'1. Raw Data'!B796</f>
        <v>30</v>
      </c>
      <c r="C797" s="3" t="str">
        <f aca="false">'1. Raw Data'!C796</f>
        <v>Sales</v>
      </c>
      <c r="D797" s="3" t="str">
        <f aca="false">'1. Raw Data'!D796</f>
        <v>Senior</v>
      </c>
      <c r="E797" s="3" t="str">
        <f aca="false">'1. Raw Data'!E796</f>
        <v>Marketing</v>
      </c>
      <c r="F797" s="3" t="n">
        <f aca="false">'1. Raw Data'!F796</f>
        <v>8.4</v>
      </c>
      <c r="G797" s="3" t="n">
        <f aca="false">IF('1. Raw Data'!G796="",ROUND(IFERROR(AVERAGEIFS('1. Raw Data'!G2:G1201,'1. Raw Data'!C2:C1201,'1. Raw Data'!C796,'1. Raw Data'!D2:D1201,'1. Raw Data'!D796),0),2),'1. Raw Data'!G796)</f>
        <v>6709.36</v>
      </c>
      <c r="H797" s="3" t="str">
        <f aca="false">PROPER('1. Raw Data'!H796)</f>
        <v>Yes</v>
      </c>
      <c r="I797" s="3" t="n">
        <f aca="false">'1. Raw Data'!I796</f>
        <v>4</v>
      </c>
      <c r="J797" s="3" t="n">
        <f aca="false">'1. Raw Data'!J796</f>
        <v>3</v>
      </c>
      <c r="K797" s="3" t="n">
        <f aca="false">'1. Raw Data'!K796</f>
        <v>17</v>
      </c>
      <c r="L797" s="3" t="n">
        <f aca="false">'1. Raw Data'!L796</f>
        <v>1</v>
      </c>
      <c r="M797" s="3" t="n">
        <f aca="false">'1. Raw Data'!M796</f>
        <v>0</v>
      </c>
      <c r="N797" s="3" t="str">
        <f aca="false">'1. Raw Data'!N796</f>
        <v>Yes</v>
      </c>
    </row>
    <row r="798" customFormat="false" ht="15" hidden="false" customHeight="false" outlineLevel="0" collapsed="false">
      <c r="A798" s="3" t="str">
        <f aca="false">'1. Raw Data'!A797</f>
        <v>EMP-0796</v>
      </c>
      <c r="B798" s="3" t="n">
        <f aca="false">'1. Raw Data'!B797</f>
        <v>38</v>
      </c>
      <c r="C798" s="3" t="str">
        <f aca="false">'1. Raw Data'!C797</f>
        <v>Customer Support</v>
      </c>
      <c r="D798" s="3" t="str">
        <f aca="false">'1. Raw Data'!D797</f>
        <v>Lead</v>
      </c>
      <c r="E798" s="3" t="str">
        <f aca="false">'1. Raw Data'!E797</f>
        <v>Technical</v>
      </c>
      <c r="F798" s="3" t="n">
        <f aca="false">'1. Raw Data'!F797</f>
        <v>0.1</v>
      </c>
      <c r="G798" s="3" t="n">
        <f aca="false">IF('1. Raw Data'!G797="",ROUND(IFERROR(AVERAGEIFS('1. Raw Data'!G2:G1201,'1. Raw Data'!C2:C1201,'1. Raw Data'!C797,'1. Raw Data'!D2:D1201,'1. Raw Data'!D797),0),2),'1. Raw Data'!G797)</f>
        <v>10321.65</v>
      </c>
      <c r="H798" s="3" t="str">
        <f aca="false">PROPER('1. Raw Data'!H797)</f>
        <v>Yes</v>
      </c>
      <c r="I798" s="3" t="n">
        <f aca="false">'1. Raw Data'!I797</f>
        <v>4</v>
      </c>
      <c r="J798" s="3" t="n">
        <f aca="false">'1. Raw Data'!J797</f>
        <v>3</v>
      </c>
      <c r="K798" s="3" t="n">
        <f aca="false">'1. Raw Data'!K797</f>
        <v>3</v>
      </c>
      <c r="L798" s="3" t="n">
        <f aca="false">'1. Raw Data'!L797</f>
        <v>0</v>
      </c>
      <c r="M798" s="3" t="n">
        <f aca="false">'1. Raw Data'!M797</f>
        <v>3</v>
      </c>
      <c r="N798" s="3" t="str">
        <f aca="false">'1. Raw Data'!N797</f>
        <v>Yes</v>
      </c>
    </row>
    <row r="799" customFormat="false" ht="15" hidden="false" customHeight="false" outlineLevel="0" collapsed="false">
      <c r="A799" s="3" t="str">
        <f aca="false">'1. Raw Data'!A798</f>
        <v>EMP-0797</v>
      </c>
      <c r="B799" s="3" t="n">
        <f aca="false">'1. Raw Data'!B798</f>
        <v>45</v>
      </c>
      <c r="C799" s="3" t="str">
        <f aca="false">'1. Raw Data'!C798</f>
        <v>Customer Support</v>
      </c>
      <c r="D799" s="3" t="str">
        <f aca="false">'1. Raw Data'!D798</f>
        <v>Senior</v>
      </c>
      <c r="E799" s="3" t="str">
        <f aca="false">'1. Raw Data'!E798</f>
        <v>Marketing</v>
      </c>
      <c r="F799" s="3" t="n">
        <f aca="false">'1. Raw Data'!F798</f>
        <v>1.7</v>
      </c>
      <c r="G799" s="3" t="n">
        <f aca="false">IF('1. Raw Data'!G798="",ROUND(IFERROR(AVERAGEIFS('1. Raw Data'!G2:G1201,'1. Raw Data'!C2:C1201,'1. Raw Data'!C798,'1. Raw Data'!D2:D1201,'1. Raw Data'!D798),0),2),'1. Raw Data'!G798)</f>
        <v>7480.77</v>
      </c>
      <c r="H799" s="3" t="str">
        <f aca="false">PROPER('1. Raw Data'!H798)</f>
        <v>Yes</v>
      </c>
      <c r="I799" s="3" t="n">
        <f aca="false">'1. Raw Data'!I798</f>
        <v>3</v>
      </c>
      <c r="J799" s="3" t="n">
        <f aca="false">'1. Raw Data'!J798</f>
        <v>4</v>
      </c>
      <c r="K799" s="3" t="n">
        <f aca="false">'1. Raw Data'!K798</f>
        <v>19</v>
      </c>
      <c r="L799" s="3" t="n">
        <f aca="false">'1. Raw Data'!L798</f>
        <v>0</v>
      </c>
      <c r="M799" s="3" t="n">
        <f aca="false">'1. Raw Data'!M798</f>
        <v>5</v>
      </c>
      <c r="N799" s="3" t="str">
        <f aca="false">'1. Raw Data'!N798</f>
        <v>No</v>
      </c>
    </row>
    <row r="800" customFormat="false" ht="15" hidden="false" customHeight="false" outlineLevel="0" collapsed="false">
      <c r="A800" s="3" t="str">
        <f aca="false">'1. Raw Data'!A799</f>
        <v>EMP-0798</v>
      </c>
      <c r="B800" s="3" t="n">
        <f aca="false">'1. Raw Data'!B799</f>
        <v>40</v>
      </c>
      <c r="C800" s="3" t="str">
        <f aca="false">'1. Raw Data'!C799</f>
        <v>Marketing</v>
      </c>
      <c r="D800" s="3" t="str">
        <f aca="false">'1. Raw Data'!D799</f>
        <v>Mid</v>
      </c>
      <c r="E800" s="3" t="str">
        <f aca="false">'1. Raw Data'!E799</f>
        <v>Marketing</v>
      </c>
      <c r="F800" s="3" t="n">
        <f aca="false">'1. Raw Data'!F799</f>
        <v>7.7</v>
      </c>
      <c r="G800" s="3" t="n">
        <f aca="false">IF('1. Raw Data'!G799="",ROUND(IFERROR(AVERAGEIFS('1. Raw Data'!G2:G1201,'1. Raw Data'!C2:C1201,'1. Raw Data'!C799,'1. Raw Data'!D2:D1201,'1. Raw Data'!D799),0),2),'1. Raw Data'!G799)</f>
        <v>4928.17</v>
      </c>
      <c r="H800" s="3" t="str">
        <f aca="false">PROPER('1. Raw Data'!H799)</f>
        <v>Yes</v>
      </c>
      <c r="I800" s="3" t="n">
        <f aca="false">'1. Raw Data'!I799</f>
        <v>3</v>
      </c>
      <c r="J800" s="3" t="n">
        <f aca="false">'1. Raw Data'!J799</f>
        <v>3</v>
      </c>
      <c r="K800" s="3" t="n">
        <f aca="false">'1. Raw Data'!K799</f>
        <v>1</v>
      </c>
      <c r="L800" s="3" t="n">
        <f aca="false">'1. Raw Data'!L799</f>
        <v>0</v>
      </c>
      <c r="M800" s="3" t="n">
        <f aca="false">'1. Raw Data'!M799</f>
        <v>0</v>
      </c>
      <c r="N800" s="3" t="str">
        <f aca="false">'1. Raw Data'!N799</f>
        <v>Yes</v>
      </c>
    </row>
    <row r="801" customFormat="false" ht="15" hidden="false" customHeight="false" outlineLevel="0" collapsed="false">
      <c r="A801" s="3" t="str">
        <f aca="false">'1. Raw Data'!A800</f>
        <v>EMP-0799</v>
      </c>
      <c r="B801" s="3" t="n">
        <f aca="false">'1. Raw Data'!B800</f>
        <v>36</v>
      </c>
      <c r="C801" s="3" t="str">
        <f aca="false">'1. Raw Data'!C800</f>
        <v>Marketing</v>
      </c>
      <c r="D801" s="3" t="str">
        <f aca="false">'1. Raw Data'!D800</f>
        <v>Junior</v>
      </c>
      <c r="E801" s="3" t="str">
        <f aca="false">'1. Raw Data'!E800</f>
        <v>Marketing</v>
      </c>
      <c r="F801" s="3" t="n">
        <f aca="false">'1. Raw Data'!F800</f>
        <v>1.7</v>
      </c>
      <c r="G801" s="3" t="n">
        <f aca="false">IF('1. Raw Data'!G800="",ROUND(IFERROR(AVERAGEIFS('1. Raw Data'!G2:G1201,'1. Raw Data'!C2:C1201,'1. Raw Data'!C800,'1. Raw Data'!D2:D1201,'1. Raw Data'!D800),0),2),'1. Raw Data'!G800)</f>
        <v>2877.8</v>
      </c>
      <c r="H801" s="3" t="str">
        <f aca="false">PROPER('1. Raw Data'!H800)</f>
        <v>No</v>
      </c>
      <c r="I801" s="3" t="n">
        <f aca="false">'1. Raw Data'!I800</f>
        <v>3</v>
      </c>
      <c r="J801" s="3" t="n">
        <f aca="false">'1. Raw Data'!J800</f>
        <v>4</v>
      </c>
      <c r="K801" s="3" t="n">
        <f aca="false">'1. Raw Data'!K800</f>
        <v>1</v>
      </c>
      <c r="L801" s="3" t="n">
        <f aca="false">'1. Raw Data'!L800</f>
        <v>1</v>
      </c>
      <c r="M801" s="3" t="n">
        <f aca="false">'1. Raw Data'!M800</f>
        <v>4</v>
      </c>
      <c r="N801" s="3" t="str">
        <f aca="false">'1. Raw Data'!N800</f>
        <v>No</v>
      </c>
    </row>
    <row r="802" customFormat="false" ht="15" hidden="false" customHeight="false" outlineLevel="0" collapsed="false">
      <c r="A802" s="3" t="str">
        <f aca="false">'1. Raw Data'!A801</f>
        <v>EMP-0800</v>
      </c>
      <c r="B802" s="3" t="n">
        <f aca="false">'1. Raw Data'!B801</f>
        <v>29</v>
      </c>
      <c r="C802" s="3" t="str">
        <f aca="false">'1. Raw Data'!C801</f>
        <v>Marketing</v>
      </c>
      <c r="D802" s="3" t="str">
        <f aca="false">'1. Raw Data'!D801</f>
        <v>Senior</v>
      </c>
      <c r="E802" s="3" t="str">
        <f aca="false">'1. Raw Data'!E801</f>
        <v>Business</v>
      </c>
      <c r="F802" s="3" t="n">
        <f aca="false">'1. Raw Data'!F801</f>
        <v>3.8</v>
      </c>
      <c r="G802" s="3" t="n">
        <f aca="false">IF('1. Raw Data'!G801="",ROUND(IFERROR(AVERAGEIFS('1. Raw Data'!G2:G1201,'1. Raw Data'!C2:C1201,'1. Raw Data'!C801,'1. Raw Data'!D2:D1201,'1. Raw Data'!D801),0),2),'1. Raw Data'!G801)</f>
        <v>7674.69</v>
      </c>
      <c r="H802" s="3" t="str">
        <f aca="false">PROPER('1. Raw Data'!H801)</f>
        <v>No</v>
      </c>
      <c r="I802" s="3" t="n">
        <f aca="false">'1. Raw Data'!I801</f>
        <v>3</v>
      </c>
      <c r="J802" s="3" t="n">
        <f aca="false">'1. Raw Data'!J801</f>
        <v>3</v>
      </c>
      <c r="K802" s="3" t="n">
        <f aca="false">'1. Raw Data'!K801</f>
        <v>20</v>
      </c>
      <c r="L802" s="3" t="n">
        <f aca="false">'1. Raw Data'!L801</f>
        <v>0</v>
      </c>
      <c r="M802" s="3" t="n">
        <f aca="false">'1. Raw Data'!M801</f>
        <v>0</v>
      </c>
      <c r="N802" s="3" t="str">
        <f aca="false">'1. Raw Data'!N801</f>
        <v>No</v>
      </c>
    </row>
    <row r="803" customFormat="false" ht="15" hidden="false" customHeight="false" outlineLevel="0" collapsed="false">
      <c r="A803" s="3" t="str">
        <f aca="false">'1. Raw Data'!A802</f>
        <v>EMP-0801</v>
      </c>
      <c r="B803" s="3" t="n">
        <f aca="false">'1. Raw Data'!B802</f>
        <v>27</v>
      </c>
      <c r="C803" s="3" t="str">
        <f aca="false">'1. Raw Data'!C802</f>
        <v>Marketing</v>
      </c>
      <c r="D803" s="3" t="str">
        <f aca="false">'1. Raw Data'!D802</f>
        <v>Mid</v>
      </c>
      <c r="E803" s="3" t="str">
        <f aca="false">'1. Raw Data'!E802</f>
        <v>Business</v>
      </c>
      <c r="F803" s="3" t="n">
        <f aca="false">'1. Raw Data'!F802</f>
        <v>3</v>
      </c>
      <c r="G803" s="3" t="n">
        <f aca="false">IF('1. Raw Data'!G802="",ROUND(IFERROR(AVERAGEIFS('1. Raw Data'!G2:G1201,'1. Raw Data'!C2:C1201,'1. Raw Data'!C802,'1. Raw Data'!D2:D1201,'1. Raw Data'!D802),0),2),'1. Raw Data'!G802)</f>
        <v>5211.19</v>
      </c>
      <c r="H803" s="3" t="str">
        <f aca="false">PROPER('1. Raw Data'!H802)</f>
        <v>Yes</v>
      </c>
      <c r="I803" s="3" t="n">
        <f aca="false">'1. Raw Data'!I802</f>
        <v>4</v>
      </c>
      <c r="J803" s="3" t="n">
        <f aca="false">'1. Raw Data'!J802</f>
        <v>1</v>
      </c>
      <c r="K803" s="3" t="n">
        <f aca="false">'1. Raw Data'!K802</f>
        <v>18</v>
      </c>
      <c r="L803" s="3" t="n">
        <f aca="false">'1. Raw Data'!L802</f>
        <v>0</v>
      </c>
      <c r="M803" s="3" t="n">
        <f aca="false">'1. Raw Data'!M802</f>
        <v>1</v>
      </c>
      <c r="N803" s="3" t="str">
        <f aca="false">'1. Raw Data'!N802</f>
        <v>No</v>
      </c>
    </row>
    <row r="804" customFormat="false" ht="15" hidden="false" customHeight="false" outlineLevel="0" collapsed="false">
      <c r="A804" s="3" t="str">
        <f aca="false">'1. Raw Data'!A803</f>
        <v>EMP-0802</v>
      </c>
      <c r="B804" s="3" t="n">
        <f aca="false">'1. Raw Data'!B803</f>
        <v>43</v>
      </c>
      <c r="C804" s="3" t="str">
        <f aca="false">'1. Raw Data'!C803</f>
        <v>Finance</v>
      </c>
      <c r="D804" s="3" t="str">
        <f aca="false">'1. Raw Data'!D803</f>
        <v>Junior</v>
      </c>
      <c r="E804" s="3" t="str">
        <f aca="false">'1. Raw Data'!E803</f>
        <v>Marketing</v>
      </c>
      <c r="F804" s="3" t="n">
        <f aca="false">'1. Raw Data'!F803</f>
        <v>2.6</v>
      </c>
      <c r="G804" s="3" t="n">
        <f aca="false">IF('1. Raw Data'!G803="",ROUND(IFERROR(AVERAGEIFS('1. Raw Data'!G2:G1201,'1. Raw Data'!C2:C1201,'1. Raw Data'!C803,'1. Raw Data'!D2:D1201,'1. Raw Data'!D803),0),2),'1. Raw Data'!G803)</f>
        <v>3716.72</v>
      </c>
      <c r="H804" s="3" t="str">
        <f aca="false">PROPER('1. Raw Data'!H803)</f>
        <v>No</v>
      </c>
      <c r="I804" s="3" t="n">
        <f aca="false">'1. Raw Data'!I803</f>
        <v>1</v>
      </c>
      <c r="J804" s="3" t="n">
        <f aca="false">'1. Raw Data'!J803</f>
        <v>4</v>
      </c>
      <c r="K804" s="3" t="n">
        <f aca="false">'1. Raw Data'!K803</f>
        <v>27</v>
      </c>
      <c r="L804" s="3" t="n">
        <f aca="false">'1. Raw Data'!L803</f>
        <v>2</v>
      </c>
      <c r="M804" s="3" t="n">
        <f aca="false">'1. Raw Data'!M803</f>
        <v>1</v>
      </c>
      <c r="N804" s="3" t="str">
        <f aca="false">'1. Raw Data'!N803</f>
        <v>Yes</v>
      </c>
    </row>
    <row r="805" customFormat="false" ht="15" hidden="false" customHeight="false" outlineLevel="0" collapsed="false">
      <c r="A805" s="3" t="str">
        <f aca="false">'1. Raw Data'!A804</f>
        <v>EMP-0803</v>
      </c>
      <c r="B805" s="3" t="n">
        <f aca="false">'1. Raw Data'!B804</f>
        <v>32</v>
      </c>
      <c r="C805" s="3" t="str">
        <f aca="false">'1. Raw Data'!C804</f>
        <v>HR</v>
      </c>
      <c r="D805" s="3" t="str">
        <f aca="false">'1. Raw Data'!D804</f>
        <v>Junior</v>
      </c>
      <c r="E805" s="3" t="str">
        <f aca="false">'1. Raw Data'!E804</f>
        <v>Other</v>
      </c>
      <c r="F805" s="3" t="n">
        <f aca="false">'1. Raw Data'!F804</f>
        <v>1.2</v>
      </c>
      <c r="G805" s="3" t="n">
        <f aca="false">IF('1. Raw Data'!G804="",ROUND(IFERROR(AVERAGEIFS('1. Raw Data'!G2:G1201,'1. Raw Data'!C2:C1201,'1. Raw Data'!C804,'1. Raw Data'!D2:D1201,'1. Raw Data'!D804),0),2),'1. Raw Data'!G804)</f>
        <v>3431.94</v>
      </c>
      <c r="H805" s="3" t="str">
        <f aca="false">PROPER('1. Raw Data'!H804)</f>
        <v>Yes</v>
      </c>
      <c r="I805" s="3" t="n">
        <f aca="false">'1. Raw Data'!I804</f>
        <v>4</v>
      </c>
      <c r="J805" s="3" t="n">
        <f aca="false">'1. Raw Data'!J804</f>
        <v>1</v>
      </c>
      <c r="K805" s="3" t="n">
        <f aca="false">'1. Raw Data'!K804</f>
        <v>1</v>
      </c>
      <c r="L805" s="3" t="n">
        <f aca="false">'1. Raw Data'!L804</f>
        <v>0</v>
      </c>
      <c r="M805" s="3" t="n">
        <f aca="false">'1. Raw Data'!M804</f>
        <v>0</v>
      </c>
      <c r="N805" s="3" t="str">
        <f aca="false">'1. Raw Data'!N804</f>
        <v>No</v>
      </c>
    </row>
    <row r="806" customFormat="false" ht="15" hidden="false" customHeight="false" outlineLevel="0" collapsed="false">
      <c r="A806" s="3" t="str">
        <f aca="false">'1. Raw Data'!A805</f>
        <v>EMP-0804</v>
      </c>
      <c r="B806" s="3" t="n">
        <f aca="false">'1. Raw Data'!B805</f>
        <v>37</v>
      </c>
      <c r="C806" s="3" t="str">
        <f aca="false">'1. Raw Data'!C805</f>
        <v>Marketing</v>
      </c>
      <c r="D806" s="3" t="str">
        <f aca="false">'1. Raw Data'!D805</f>
        <v>Mid</v>
      </c>
      <c r="E806" s="3" t="str">
        <f aca="false">'1. Raw Data'!E805</f>
        <v>Technical</v>
      </c>
      <c r="F806" s="3" t="n">
        <f aca="false">'1. Raw Data'!F805</f>
        <v>2.7</v>
      </c>
      <c r="G806" s="3" t="n">
        <f aca="false">IF('1. Raw Data'!G805="",ROUND(IFERROR(AVERAGEIFS('1. Raw Data'!G2:G1201,'1. Raw Data'!C2:C1201,'1. Raw Data'!C805,'1. Raw Data'!D2:D1201,'1. Raw Data'!D805),0),2),'1. Raw Data'!G805)</f>
        <v>4334.55</v>
      </c>
      <c r="H806" s="3" t="str">
        <f aca="false">PROPER('1. Raw Data'!H805)</f>
        <v>Yes</v>
      </c>
      <c r="I806" s="3" t="n">
        <f aca="false">'1. Raw Data'!I805</f>
        <v>3</v>
      </c>
      <c r="J806" s="3" t="n">
        <f aca="false">'1. Raw Data'!J805</f>
        <v>3</v>
      </c>
      <c r="K806" s="3" t="n">
        <f aca="false">'1. Raw Data'!K805</f>
        <v>4</v>
      </c>
      <c r="L806" s="3" t="n">
        <f aca="false">'1. Raw Data'!L805</f>
        <v>2</v>
      </c>
      <c r="M806" s="3" t="n">
        <f aca="false">'1. Raw Data'!M805</f>
        <v>3</v>
      </c>
      <c r="N806" s="3" t="str">
        <f aca="false">'1. Raw Data'!N805</f>
        <v>No</v>
      </c>
    </row>
    <row r="807" customFormat="false" ht="15" hidden="false" customHeight="false" outlineLevel="0" collapsed="false">
      <c r="A807" s="3" t="str">
        <f aca="false">'1. Raw Data'!A806</f>
        <v>EMP-0805</v>
      </c>
      <c r="B807" s="3" t="n">
        <f aca="false">'1. Raw Data'!B806</f>
        <v>39</v>
      </c>
      <c r="C807" s="3" t="str">
        <f aca="false">'1. Raw Data'!C806</f>
        <v>Engineering</v>
      </c>
      <c r="D807" s="3" t="str">
        <f aca="false">'1. Raw Data'!D806</f>
        <v>Junior</v>
      </c>
      <c r="E807" s="3" t="str">
        <f aca="false">'1. Raw Data'!E806</f>
        <v>Other</v>
      </c>
      <c r="F807" s="3" t="n">
        <f aca="false">'1. Raw Data'!F806</f>
        <v>1.7</v>
      </c>
      <c r="G807" s="3" t="n">
        <f aca="false">IF('1. Raw Data'!G806="",ROUND(IFERROR(AVERAGEIFS('1. Raw Data'!G2:G1201,'1. Raw Data'!C2:C1201,'1. Raw Data'!C806,'1. Raw Data'!D2:D1201,'1. Raw Data'!D806),0),2),'1. Raw Data'!G806)</f>
        <v>3124.71</v>
      </c>
      <c r="H807" s="3" t="str">
        <f aca="false">PROPER('1. Raw Data'!H806)</f>
        <v>No</v>
      </c>
      <c r="I807" s="3" t="n">
        <f aca="false">'1. Raw Data'!I806</f>
        <v>3</v>
      </c>
      <c r="J807" s="3" t="n">
        <f aca="false">'1. Raw Data'!J806</f>
        <v>3</v>
      </c>
      <c r="K807" s="3" t="n">
        <f aca="false">'1. Raw Data'!K806</f>
        <v>2</v>
      </c>
      <c r="L807" s="3" t="n">
        <f aca="false">'1. Raw Data'!L806</f>
        <v>1</v>
      </c>
      <c r="M807" s="3" t="n">
        <f aca="false">'1. Raw Data'!M806</f>
        <v>2</v>
      </c>
      <c r="N807" s="3" t="str">
        <f aca="false">'1. Raw Data'!N806</f>
        <v>No</v>
      </c>
    </row>
    <row r="808" customFormat="false" ht="15" hidden="false" customHeight="false" outlineLevel="0" collapsed="false">
      <c r="A808" s="3" t="str">
        <f aca="false">'1. Raw Data'!A807</f>
        <v>EMP-0806</v>
      </c>
      <c r="B808" s="3" t="n">
        <f aca="false">'1. Raw Data'!B807</f>
        <v>29</v>
      </c>
      <c r="C808" s="3" t="str">
        <f aca="false">'1. Raw Data'!C807</f>
        <v>Engineering</v>
      </c>
      <c r="D808" s="3" t="str">
        <f aca="false">'1. Raw Data'!D807</f>
        <v>Junior</v>
      </c>
      <c r="E808" s="3" t="str">
        <f aca="false">'1. Raw Data'!E807</f>
        <v>Other</v>
      </c>
      <c r="F808" s="3" t="n">
        <f aca="false">'1. Raw Data'!F807</f>
        <v>3.7</v>
      </c>
      <c r="G808" s="3" t="n">
        <f aca="false">IF('1. Raw Data'!G807="",ROUND(IFERROR(AVERAGEIFS('1. Raw Data'!G2:G1201,'1. Raw Data'!C2:C1201,'1. Raw Data'!C807,'1. Raw Data'!D2:D1201,'1. Raw Data'!D807),0),2),'1. Raw Data'!G807)</f>
        <v>2899.25</v>
      </c>
      <c r="H808" s="3" t="str">
        <f aca="false">PROPER('1. Raw Data'!H807)</f>
        <v>No</v>
      </c>
      <c r="I808" s="3" t="n">
        <f aca="false">'1. Raw Data'!I807</f>
        <v>3</v>
      </c>
      <c r="J808" s="3" t="n">
        <f aca="false">'1. Raw Data'!J807</f>
        <v>4</v>
      </c>
      <c r="K808" s="3" t="n">
        <f aca="false">'1. Raw Data'!K807</f>
        <v>2</v>
      </c>
      <c r="L808" s="3" t="n">
        <f aca="false">'1. Raw Data'!L807</f>
        <v>1</v>
      </c>
      <c r="M808" s="3" t="n">
        <f aca="false">'1. Raw Data'!M807</f>
        <v>1</v>
      </c>
      <c r="N808" s="3" t="str">
        <f aca="false">'1. Raw Data'!N807</f>
        <v>No</v>
      </c>
    </row>
    <row r="809" customFormat="false" ht="15" hidden="false" customHeight="false" outlineLevel="0" collapsed="false">
      <c r="A809" s="3" t="str">
        <f aca="false">'1. Raw Data'!A808</f>
        <v>EMP-0807</v>
      </c>
      <c r="B809" s="3" t="n">
        <f aca="false">'1. Raw Data'!B808</f>
        <v>42</v>
      </c>
      <c r="C809" s="3" t="str">
        <f aca="false">'1. Raw Data'!C808</f>
        <v>Customer Support</v>
      </c>
      <c r="D809" s="3" t="str">
        <f aca="false">'1. Raw Data'!D808</f>
        <v>Mid</v>
      </c>
      <c r="E809" s="3" t="str">
        <f aca="false">'1. Raw Data'!E808</f>
        <v>Technical</v>
      </c>
      <c r="F809" s="3" t="n">
        <f aca="false">'1. Raw Data'!F808</f>
        <v>2.5</v>
      </c>
      <c r="G809" s="3" t="n">
        <f aca="false">IF('1. Raw Data'!G808="",ROUND(IFERROR(AVERAGEIFS('1. Raw Data'!G2:G1201,'1. Raw Data'!C2:C1201,'1. Raw Data'!C808,'1. Raw Data'!D2:D1201,'1. Raw Data'!D808),0),2),'1. Raw Data'!G808)</f>
        <v>4585.63</v>
      </c>
      <c r="H809" s="3" t="str">
        <f aca="false">PROPER('1. Raw Data'!H808)</f>
        <v>Yes</v>
      </c>
      <c r="I809" s="3" t="n">
        <f aca="false">'1. Raw Data'!I808</f>
        <v>3</v>
      </c>
      <c r="J809" s="3" t="n">
        <f aca="false">'1. Raw Data'!J808</f>
        <v>1</v>
      </c>
      <c r="K809" s="3" t="n">
        <f aca="false">'1. Raw Data'!K808</f>
        <v>7</v>
      </c>
      <c r="L809" s="3" t="n">
        <f aca="false">'1. Raw Data'!L808</f>
        <v>0</v>
      </c>
      <c r="M809" s="3" t="n">
        <f aca="false">'1. Raw Data'!M808</f>
        <v>5</v>
      </c>
      <c r="N809" s="3" t="str">
        <f aca="false">'1. Raw Data'!N808</f>
        <v>No</v>
      </c>
    </row>
    <row r="810" customFormat="false" ht="15" hidden="false" customHeight="false" outlineLevel="0" collapsed="false">
      <c r="A810" s="3" t="str">
        <f aca="false">'1. Raw Data'!A809</f>
        <v>EMP-0808</v>
      </c>
      <c r="B810" s="3" t="n">
        <f aca="false">'1. Raw Data'!B809</f>
        <v>40</v>
      </c>
      <c r="C810" s="3" t="str">
        <f aca="false">'1. Raw Data'!C809</f>
        <v>Engineering</v>
      </c>
      <c r="D810" s="3" t="str">
        <f aca="false">'1. Raw Data'!D809</f>
        <v>Mid</v>
      </c>
      <c r="E810" s="3" t="str">
        <f aca="false">'1. Raw Data'!E809</f>
        <v>Technical</v>
      </c>
      <c r="F810" s="3" t="n">
        <f aca="false">'1. Raw Data'!F809</f>
        <v>15.5</v>
      </c>
      <c r="G810" s="3" t="n">
        <f aca="false">IF('1. Raw Data'!G809="",ROUND(IFERROR(AVERAGEIFS('1. Raw Data'!G2:G1201,'1. Raw Data'!C2:C1201,'1. Raw Data'!C809,'1. Raw Data'!D2:D1201,'1. Raw Data'!D809),0),2),'1. Raw Data'!G809)</f>
        <v>4432.05</v>
      </c>
      <c r="H810" s="3" t="str">
        <f aca="false">PROPER('1. Raw Data'!H809)</f>
        <v>No</v>
      </c>
      <c r="I810" s="3" t="n">
        <f aca="false">'1. Raw Data'!I809</f>
        <v>4</v>
      </c>
      <c r="J810" s="3" t="n">
        <f aca="false">'1. Raw Data'!J809</f>
        <v>4</v>
      </c>
      <c r="K810" s="3" t="n">
        <f aca="false">'1. Raw Data'!K809</f>
        <v>9</v>
      </c>
      <c r="L810" s="3" t="n">
        <f aca="false">'1. Raw Data'!L809</f>
        <v>2</v>
      </c>
      <c r="M810" s="3" t="n">
        <f aca="false">'1. Raw Data'!M809</f>
        <v>2</v>
      </c>
      <c r="N810" s="3" t="str">
        <f aca="false">'1. Raw Data'!N809</f>
        <v>No</v>
      </c>
    </row>
    <row r="811" customFormat="false" ht="15" hidden="false" customHeight="false" outlineLevel="0" collapsed="false">
      <c r="A811" s="3" t="str">
        <f aca="false">'1. Raw Data'!A810</f>
        <v>EMP-0809</v>
      </c>
      <c r="B811" s="3" t="n">
        <f aca="false">'1. Raw Data'!B810</f>
        <v>39</v>
      </c>
      <c r="C811" s="3" t="str">
        <f aca="false">'1. Raw Data'!C810</f>
        <v>Customer Support</v>
      </c>
      <c r="D811" s="3" t="str">
        <f aca="false">'1. Raw Data'!D810</f>
        <v>Junior</v>
      </c>
      <c r="E811" s="3" t="str">
        <f aca="false">'1. Raw Data'!E810</f>
        <v>Marketing</v>
      </c>
      <c r="F811" s="3" t="n">
        <f aca="false">'1. Raw Data'!F810</f>
        <v>0.7</v>
      </c>
      <c r="G811" s="3" t="n">
        <f aca="false">IF('1. Raw Data'!G810="",ROUND(IFERROR(AVERAGEIFS('1. Raw Data'!G2:G1201,'1. Raw Data'!C2:C1201,'1. Raw Data'!C810,'1. Raw Data'!D2:D1201,'1. Raw Data'!D810),0),2),'1. Raw Data'!G810)</f>
        <v>3568.61</v>
      </c>
      <c r="H811" s="3" t="str">
        <f aca="false">PROPER('1. Raw Data'!H810)</f>
        <v>Yes</v>
      </c>
      <c r="I811" s="3" t="n">
        <f aca="false">'1. Raw Data'!I810</f>
        <v>2</v>
      </c>
      <c r="J811" s="3" t="n">
        <f aca="false">'1. Raw Data'!J810</f>
        <v>4</v>
      </c>
      <c r="K811" s="3" t="n">
        <f aca="false">'1. Raw Data'!K810</f>
        <v>16</v>
      </c>
      <c r="L811" s="3" t="n">
        <f aca="false">'1. Raw Data'!L810</f>
        <v>0</v>
      </c>
      <c r="M811" s="3" t="n">
        <f aca="false">'1. Raw Data'!M810</f>
        <v>0</v>
      </c>
      <c r="N811" s="3" t="str">
        <f aca="false">'1. Raw Data'!N810</f>
        <v>No</v>
      </c>
    </row>
    <row r="812" customFormat="false" ht="15" hidden="false" customHeight="false" outlineLevel="0" collapsed="false">
      <c r="A812" s="3" t="str">
        <f aca="false">'1. Raw Data'!A811</f>
        <v>EMP-0810</v>
      </c>
      <c r="B812" s="3" t="n">
        <f aca="false">'1. Raw Data'!B811</f>
        <v>37</v>
      </c>
      <c r="C812" s="3" t="str">
        <f aca="false">'1. Raw Data'!C811</f>
        <v>Sales</v>
      </c>
      <c r="D812" s="3" t="str">
        <f aca="false">'1. Raw Data'!D811</f>
        <v>Junior</v>
      </c>
      <c r="E812" s="3" t="str">
        <f aca="false">'1. Raw Data'!E811</f>
        <v>Technical</v>
      </c>
      <c r="F812" s="3" t="n">
        <f aca="false">'1. Raw Data'!F811</f>
        <v>9.2</v>
      </c>
      <c r="G812" s="3" t="n">
        <f aca="false">IF('1. Raw Data'!G811="",ROUND(IFERROR(AVERAGEIFS('1. Raw Data'!G2:G1201,'1. Raw Data'!C2:C1201,'1. Raw Data'!C811,'1. Raw Data'!D2:D1201,'1. Raw Data'!D811),0),2),'1. Raw Data'!G811)</f>
        <v>3243.14</v>
      </c>
      <c r="H812" s="3" t="str">
        <f aca="false">PROPER('1. Raw Data'!H811)</f>
        <v>Yes</v>
      </c>
      <c r="I812" s="3" t="n">
        <f aca="false">'1. Raw Data'!I811</f>
        <v>3</v>
      </c>
      <c r="J812" s="3" t="n">
        <f aca="false">'1. Raw Data'!J811</f>
        <v>1</v>
      </c>
      <c r="K812" s="3" t="n">
        <f aca="false">'1. Raw Data'!K811</f>
        <v>1</v>
      </c>
      <c r="L812" s="3" t="n">
        <f aca="false">'1. Raw Data'!L811</f>
        <v>4</v>
      </c>
      <c r="M812" s="3" t="n">
        <f aca="false">'1. Raw Data'!M811</f>
        <v>2</v>
      </c>
      <c r="N812" s="3" t="str">
        <f aca="false">'1. Raw Data'!N811</f>
        <v>No</v>
      </c>
    </row>
    <row r="813" customFormat="false" ht="15" hidden="false" customHeight="false" outlineLevel="0" collapsed="false">
      <c r="A813" s="3" t="str">
        <f aca="false">'1. Raw Data'!A812</f>
        <v>EMP-0811</v>
      </c>
      <c r="B813" s="3" t="n">
        <f aca="false">'1. Raw Data'!B812</f>
        <v>29</v>
      </c>
      <c r="C813" s="3" t="str">
        <f aca="false">'1. Raw Data'!C812</f>
        <v>Customer Support</v>
      </c>
      <c r="D813" s="3" t="str">
        <f aca="false">'1. Raw Data'!D812</f>
        <v>Junior</v>
      </c>
      <c r="E813" s="3" t="str">
        <f aca="false">'1. Raw Data'!E812</f>
        <v>Business</v>
      </c>
      <c r="F813" s="3" t="n">
        <f aca="false">'1. Raw Data'!F812</f>
        <v>0.3</v>
      </c>
      <c r="G813" s="3" t="n">
        <f aca="false">IF('1. Raw Data'!G812="",ROUND(IFERROR(AVERAGEIFS('1. Raw Data'!G2:G1201,'1. Raw Data'!C2:C1201,'1. Raw Data'!C812,'1. Raw Data'!D2:D1201,'1. Raw Data'!D812),0),2),'1. Raw Data'!G812)</f>
        <v>3118.79</v>
      </c>
      <c r="H813" s="3" t="str">
        <f aca="false">PROPER('1. Raw Data'!H812)</f>
        <v>No</v>
      </c>
      <c r="I813" s="3" t="n">
        <f aca="false">'1. Raw Data'!I812</f>
        <v>2</v>
      </c>
      <c r="J813" s="3" t="n">
        <f aca="false">'1. Raw Data'!J812</f>
        <v>2</v>
      </c>
      <c r="K813" s="3" t="n">
        <f aca="false">'1. Raw Data'!K812</f>
        <v>2</v>
      </c>
      <c r="L813" s="3" t="n">
        <f aca="false">'1. Raw Data'!L812</f>
        <v>0</v>
      </c>
      <c r="M813" s="3" t="n">
        <f aca="false">'1. Raw Data'!M812</f>
        <v>1</v>
      </c>
      <c r="N813" s="3" t="str">
        <f aca="false">'1. Raw Data'!N812</f>
        <v>No</v>
      </c>
    </row>
    <row r="814" customFormat="false" ht="15" hidden="false" customHeight="false" outlineLevel="0" collapsed="false">
      <c r="A814" s="3" t="str">
        <f aca="false">'1. Raw Data'!A813</f>
        <v>EMP-0812</v>
      </c>
      <c r="B814" s="3" t="n">
        <f aca="false">'1. Raw Data'!B813</f>
        <v>31</v>
      </c>
      <c r="C814" s="3" t="str">
        <f aca="false">'1. Raw Data'!C813</f>
        <v>Sales</v>
      </c>
      <c r="D814" s="3" t="str">
        <f aca="false">'1. Raw Data'!D813</f>
        <v>Junior</v>
      </c>
      <c r="E814" s="3" t="str">
        <f aca="false">'1. Raw Data'!E813</f>
        <v>Business</v>
      </c>
      <c r="F814" s="3" t="n">
        <f aca="false">'1. Raw Data'!F813</f>
        <v>5.9</v>
      </c>
      <c r="G814" s="3" t="n">
        <f aca="false">IF('1. Raw Data'!G813="",ROUND(IFERROR(AVERAGEIFS('1. Raw Data'!G2:G1201,'1. Raw Data'!C2:C1201,'1. Raw Data'!C813,'1. Raw Data'!D2:D1201,'1. Raw Data'!D813),0),2),'1. Raw Data'!G813)</f>
        <v>3447.31</v>
      </c>
      <c r="H814" s="3" t="str">
        <f aca="false">PROPER('1. Raw Data'!H813)</f>
        <v>No</v>
      </c>
      <c r="I814" s="3" t="n">
        <f aca="false">'1. Raw Data'!I813</f>
        <v>3</v>
      </c>
      <c r="J814" s="3" t="n">
        <f aca="false">'1. Raw Data'!J813</f>
        <v>3</v>
      </c>
      <c r="K814" s="3" t="n">
        <f aca="false">'1. Raw Data'!K813</f>
        <v>1</v>
      </c>
      <c r="L814" s="3" t="n">
        <f aca="false">'1. Raw Data'!L813</f>
        <v>4</v>
      </c>
      <c r="M814" s="3" t="n">
        <f aca="false">'1. Raw Data'!M813</f>
        <v>1</v>
      </c>
      <c r="N814" s="3" t="str">
        <f aca="false">'1. Raw Data'!N813</f>
        <v>No</v>
      </c>
    </row>
    <row r="815" customFormat="false" ht="15" hidden="false" customHeight="false" outlineLevel="0" collapsed="false">
      <c r="A815" s="3" t="str">
        <f aca="false">'1. Raw Data'!A814</f>
        <v>EMP-0813</v>
      </c>
      <c r="B815" s="3" t="n">
        <f aca="false">'1. Raw Data'!B814</f>
        <v>35</v>
      </c>
      <c r="C815" s="3" t="str">
        <f aca="false">'1. Raw Data'!C814</f>
        <v>Sales</v>
      </c>
      <c r="D815" s="3" t="str">
        <f aca="false">'1. Raw Data'!D814</f>
        <v>Junior</v>
      </c>
      <c r="E815" s="3" t="str">
        <f aca="false">'1. Raw Data'!E814</f>
        <v>Technical</v>
      </c>
      <c r="F815" s="3" t="n">
        <f aca="false">'1. Raw Data'!F814</f>
        <v>0.5</v>
      </c>
      <c r="G815" s="3" t="n">
        <f aca="false">IF('1. Raw Data'!G814="",ROUND(IFERROR(AVERAGEIFS('1. Raw Data'!G2:G1201,'1. Raw Data'!C2:C1201,'1. Raw Data'!C814,'1. Raw Data'!D2:D1201,'1. Raw Data'!D814),0),2),'1. Raw Data'!G814)</f>
        <v>3698.15</v>
      </c>
      <c r="H815" s="3" t="str">
        <f aca="false">PROPER('1. Raw Data'!H814)</f>
        <v>Yes</v>
      </c>
      <c r="I815" s="3" t="n">
        <f aca="false">'1. Raw Data'!I814</f>
        <v>4</v>
      </c>
      <c r="J815" s="3" t="n">
        <f aca="false">'1. Raw Data'!J814</f>
        <v>3</v>
      </c>
      <c r="K815" s="3" t="n">
        <f aca="false">'1. Raw Data'!K814</f>
        <v>12</v>
      </c>
      <c r="L815" s="3" t="n">
        <f aca="false">'1. Raw Data'!L814</f>
        <v>0</v>
      </c>
      <c r="M815" s="3" t="n">
        <f aca="false">'1. Raw Data'!M814</f>
        <v>6</v>
      </c>
      <c r="N815" s="3" t="str">
        <f aca="false">'1. Raw Data'!N814</f>
        <v>No</v>
      </c>
    </row>
    <row r="816" customFormat="false" ht="15" hidden="false" customHeight="false" outlineLevel="0" collapsed="false">
      <c r="A816" s="3" t="str">
        <f aca="false">'1. Raw Data'!A815</f>
        <v>EMP-0814</v>
      </c>
      <c r="B816" s="3" t="n">
        <f aca="false">'1. Raw Data'!B815</f>
        <v>45</v>
      </c>
      <c r="C816" s="3" t="str">
        <f aca="false">'1. Raw Data'!C815</f>
        <v>HR</v>
      </c>
      <c r="D816" s="3" t="str">
        <f aca="false">'1. Raw Data'!D815</f>
        <v>Mid</v>
      </c>
      <c r="E816" s="3" t="str">
        <f aca="false">'1. Raw Data'!E815</f>
        <v>Other</v>
      </c>
      <c r="F816" s="3" t="n">
        <f aca="false">'1. Raw Data'!F815</f>
        <v>2.8</v>
      </c>
      <c r="G816" s="3" t="n">
        <f aca="false">IF('1. Raw Data'!G815="",ROUND(IFERROR(AVERAGEIFS('1. Raw Data'!G2:G1201,'1. Raw Data'!C2:C1201,'1. Raw Data'!C815,'1. Raw Data'!D2:D1201,'1. Raw Data'!D815),0),2),'1. Raw Data'!G815)</f>
        <v>5743.78</v>
      </c>
      <c r="H816" s="3" t="str">
        <f aca="false">PROPER('1. Raw Data'!H815)</f>
        <v>No</v>
      </c>
      <c r="I816" s="3" t="n">
        <f aca="false">'1. Raw Data'!I815</f>
        <v>3</v>
      </c>
      <c r="J816" s="3" t="n">
        <f aca="false">'1. Raw Data'!J815</f>
        <v>4</v>
      </c>
      <c r="K816" s="3" t="n">
        <f aca="false">'1. Raw Data'!K815</f>
        <v>24</v>
      </c>
      <c r="L816" s="3" t="n">
        <f aca="false">'1. Raw Data'!L815</f>
        <v>2</v>
      </c>
      <c r="M816" s="3" t="n">
        <f aca="false">'1. Raw Data'!M815</f>
        <v>1</v>
      </c>
      <c r="N816" s="3" t="str">
        <f aca="false">'1. Raw Data'!N815</f>
        <v>No</v>
      </c>
    </row>
    <row r="817" customFormat="false" ht="15" hidden="false" customHeight="false" outlineLevel="0" collapsed="false">
      <c r="A817" s="3" t="str">
        <f aca="false">'1. Raw Data'!A816</f>
        <v>EMP-0815</v>
      </c>
      <c r="B817" s="3" t="n">
        <f aca="false">'1. Raw Data'!B816</f>
        <v>53</v>
      </c>
      <c r="C817" s="3" t="str">
        <f aca="false">'1. Raw Data'!C816</f>
        <v>Sales</v>
      </c>
      <c r="D817" s="3" t="str">
        <f aca="false">'1. Raw Data'!D816</f>
        <v>Junior</v>
      </c>
      <c r="E817" s="3" t="str">
        <f aca="false">'1. Raw Data'!E816</f>
        <v>Other</v>
      </c>
      <c r="F817" s="3" t="n">
        <f aca="false">'1. Raw Data'!F816</f>
        <v>1.3</v>
      </c>
      <c r="G817" s="3" t="n">
        <f aca="false">IF('1. Raw Data'!G816="",ROUND(IFERROR(AVERAGEIFS('1. Raw Data'!G2:G1201,'1. Raw Data'!C2:C1201,'1. Raw Data'!C816,'1. Raw Data'!D2:D1201,'1. Raw Data'!D816),0),2),'1. Raw Data'!G816)</f>
        <v>3046.92</v>
      </c>
      <c r="H817" s="3" t="str">
        <f aca="false">PROPER('1. Raw Data'!H816)</f>
        <v>No</v>
      </c>
      <c r="I817" s="3" t="n">
        <f aca="false">'1. Raw Data'!I816</f>
        <v>1</v>
      </c>
      <c r="J817" s="3" t="n">
        <f aca="false">'1. Raw Data'!J816</f>
        <v>3</v>
      </c>
      <c r="K817" s="3" t="n">
        <f aca="false">'1. Raw Data'!K816</f>
        <v>4</v>
      </c>
      <c r="L817" s="3" t="n">
        <f aca="false">'1. Raw Data'!L816</f>
        <v>0</v>
      </c>
      <c r="M817" s="3" t="n">
        <f aca="false">'1. Raw Data'!M816</f>
        <v>0</v>
      </c>
      <c r="N817" s="3" t="str">
        <f aca="false">'1. Raw Data'!N816</f>
        <v>Yes</v>
      </c>
    </row>
    <row r="818" customFormat="false" ht="15" hidden="false" customHeight="false" outlineLevel="0" collapsed="false">
      <c r="A818" s="3" t="str">
        <f aca="false">'1. Raw Data'!A817</f>
        <v>EMP-0816</v>
      </c>
      <c r="B818" s="3" t="n">
        <f aca="false">'1. Raw Data'!B817</f>
        <v>28</v>
      </c>
      <c r="C818" s="3" t="str">
        <f aca="false">'1. Raw Data'!C817</f>
        <v>Sales</v>
      </c>
      <c r="D818" s="3" t="str">
        <f aca="false">'1. Raw Data'!D817</f>
        <v>Mid</v>
      </c>
      <c r="E818" s="3" t="str">
        <f aca="false">'1. Raw Data'!E817</f>
        <v>Marketing</v>
      </c>
      <c r="F818" s="3" t="n">
        <f aca="false">'1. Raw Data'!F817</f>
        <v>0.3</v>
      </c>
      <c r="G818" s="3" t="n">
        <f aca="false">IF('1. Raw Data'!G817="",ROUND(IFERROR(AVERAGEIFS('1. Raw Data'!G2:G1201,'1. Raw Data'!C2:C1201,'1. Raw Data'!C817,'1. Raw Data'!D2:D1201,'1. Raw Data'!D817),0),2),'1. Raw Data'!G817)</f>
        <v>4530.68</v>
      </c>
      <c r="H818" s="3" t="str">
        <f aca="false">PROPER('1. Raw Data'!H817)</f>
        <v>No</v>
      </c>
      <c r="I818" s="3" t="n">
        <f aca="false">'1. Raw Data'!I817</f>
        <v>4</v>
      </c>
      <c r="J818" s="3" t="n">
        <f aca="false">'1. Raw Data'!J817</f>
        <v>3</v>
      </c>
      <c r="K818" s="3" t="n">
        <f aca="false">'1. Raw Data'!K817</f>
        <v>5</v>
      </c>
      <c r="L818" s="3" t="n">
        <f aca="false">'1. Raw Data'!L817</f>
        <v>0</v>
      </c>
      <c r="M818" s="3" t="n">
        <f aca="false">'1. Raw Data'!M817</f>
        <v>2</v>
      </c>
      <c r="N818" s="3" t="str">
        <f aca="false">'1. Raw Data'!N817</f>
        <v>No</v>
      </c>
    </row>
    <row r="819" customFormat="false" ht="15" hidden="false" customHeight="false" outlineLevel="0" collapsed="false">
      <c r="A819" s="3" t="str">
        <f aca="false">'1. Raw Data'!A818</f>
        <v>EMP-0817</v>
      </c>
      <c r="B819" s="3" t="n">
        <f aca="false">'1. Raw Data'!B818</f>
        <v>36</v>
      </c>
      <c r="C819" s="3" t="str">
        <f aca="false">'1. Raw Data'!C818</f>
        <v>Sales</v>
      </c>
      <c r="D819" s="3" t="str">
        <f aca="false">'1. Raw Data'!D818</f>
        <v>Senior</v>
      </c>
      <c r="E819" s="3" t="str">
        <f aca="false">'1. Raw Data'!E818</f>
        <v>Technical</v>
      </c>
      <c r="F819" s="3" t="n">
        <f aca="false">'1. Raw Data'!F818</f>
        <v>3.6</v>
      </c>
      <c r="G819" s="3" t="n">
        <f aca="false">IF('1. Raw Data'!G818="",ROUND(IFERROR(AVERAGEIFS('1. Raw Data'!G2:G1201,'1. Raw Data'!C2:C1201,'1. Raw Data'!C818,'1. Raw Data'!D2:D1201,'1. Raw Data'!D818),0),2),'1. Raw Data'!G818)</f>
        <v>7523.91</v>
      </c>
      <c r="H819" s="3" t="str">
        <f aca="false">PROPER('1. Raw Data'!H818)</f>
        <v>Yes</v>
      </c>
      <c r="I819" s="3" t="n">
        <f aca="false">'1. Raw Data'!I818</f>
        <v>4</v>
      </c>
      <c r="J819" s="3" t="n">
        <f aca="false">'1. Raw Data'!J818</f>
        <v>2</v>
      </c>
      <c r="K819" s="3" t="n">
        <f aca="false">'1. Raw Data'!K818</f>
        <v>6</v>
      </c>
      <c r="L819" s="3" t="n">
        <f aca="false">'1. Raw Data'!L818</f>
        <v>0</v>
      </c>
      <c r="M819" s="3" t="n">
        <f aca="false">'1. Raw Data'!M818</f>
        <v>1</v>
      </c>
      <c r="N819" s="3" t="str">
        <f aca="false">'1. Raw Data'!N818</f>
        <v>No</v>
      </c>
    </row>
    <row r="820" customFormat="false" ht="15" hidden="false" customHeight="false" outlineLevel="0" collapsed="false">
      <c r="A820" s="3" t="str">
        <f aca="false">'1. Raw Data'!A819</f>
        <v>EMP-0818</v>
      </c>
      <c r="B820" s="3" t="n">
        <f aca="false">'1. Raw Data'!B819</f>
        <v>33</v>
      </c>
      <c r="C820" s="3" t="str">
        <f aca="false">'1. Raw Data'!C819</f>
        <v>Engineering</v>
      </c>
      <c r="D820" s="3" t="str">
        <f aca="false">'1. Raw Data'!D819</f>
        <v>Senior</v>
      </c>
      <c r="E820" s="3" t="str">
        <f aca="false">'1. Raw Data'!E819</f>
        <v>Other</v>
      </c>
      <c r="F820" s="3" t="n">
        <f aca="false">'1. Raw Data'!F819</f>
        <v>3.1</v>
      </c>
      <c r="G820" s="3" t="n">
        <f aca="false">IF('1. Raw Data'!G819="",ROUND(IFERROR(AVERAGEIFS('1. Raw Data'!G2:G1201,'1. Raw Data'!C2:C1201,'1. Raw Data'!C819,'1. Raw Data'!D2:D1201,'1. Raw Data'!D819),0),2),'1. Raw Data'!G819)</f>
        <v>7287.99</v>
      </c>
      <c r="H820" s="3" t="str">
        <f aca="false">PROPER('1. Raw Data'!H819)</f>
        <v>Yes</v>
      </c>
      <c r="I820" s="3" t="n">
        <f aca="false">'1. Raw Data'!I819</f>
        <v>4</v>
      </c>
      <c r="J820" s="3" t="n">
        <f aca="false">'1. Raw Data'!J819</f>
        <v>3</v>
      </c>
      <c r="K820" s="3" t="n">
        <f aca="false">'1. Raw Data'!K819</f>
        <v>12</v>
      </c>
      <c r="L820" s="3" t="n">
        <f aca="false">'1. Raw Data'!L819</f>
        <v>2</v>
      </c>
      <c r="M820" s="3" t="n">
        <f aca="false">'1. Raw Data'!M819</f>
        <v>1</v>
      </c>
      <c r="N820" s="3" t="str">
        <f aca="false">'1. Raw Data'!N819</f>
        <v>No</v>
      </c>
    </row>
    <row r="821" customFormat="false" ht="15" hidden="false" customHeight="false" outlineLevel="0" collapsed="false">
      <c r="A821" s="3" t="str">
        <f aca="false">'1. Raw Data'!A820</f>
        <v>EMP-0819</v>
      </c>
      <c r="B821" s="3" t="n">
        <f aca="false">'1. Raw Data'!B820</f>
        <v>45</v>
      </c>
      <c r="C821" s="3" t="str">
        <f aca="false">'1. Raw Data'!C820</f>
        <v>Finance</v>
      </c>
      <c r="D821" s="3" t="str">
        <f aca="false">'1. Raw Data'!D820</f>
        <v>Junior</v>
      </c>
      <c r="E821" s="3" t="str">
        <f aca="false">'1. Raw Data'!E820</f>
        <v>Technical</v>
      </c>
      <c r="F821" s="3" t="n">
        <f aca="false">'1. Raw Data'!F820</f>
        <v>1.3</v>
      </c>
      <c r="G821" s="3" t="n">
        <f aca="false">IF('1. Raw Data'!G820="",ROUND(IFERROR(AVERAGEIFS('1. Raw Data'!G2:G1201,'1. Raw Data'!C2:C1201,'1. Raw Data'!C820,'1. Raw Data'!D2:D1201,'1. Raw Data'!D820),0),2),'1. Raw Data'!G820)</f>
        <v>3623.44</v>
      </c>
      <c r="H821" s="3" t="str">
        <f aca="false">PROPER('1. Raw Data'!H820)</f>
        <v>No</v>
      </c>
      <c r="I821" s="3" t="n">
        <f aca="false">'1. Raw Data'!I820</f>
        <v>1</v>
      </c>
      <c r="J821" s="3" t="n">
        <f aca="false">'1. Raw Data'!J820</f>
        <v>2</v>
      </c>
      <c r="K821" s="3" t="n">
        <f aca="false">'1. Raw Data'!K820</f>
        <v>8</v>
      </c>
      <c r="L821" s="3" t="n">
        <f aca="false">'1. Raw Data'!L820</f>
        <v>1</v>
      </c>
      <c r="M821" s="3" t="n">
        <f aca="false">'1. Raw Data'!M820</f>
        <v>2</v>
      </c>
      <c r="N821" s="3" t="str">
        <f aca="false">'1. Raw Data'!N820</f>
        <v>Yes</v>
      </c>
    </row>
    <row r="822" customFormat="false" ht="15" hidden="false" customHeight="false" outlineLevel="0" collapsed="false">
      <c r="A822" s="3" t="str">
        <f aca="false">'1. Raw Data'!A821</f>
        <v>EMP-0820</v>
      </c>
      <c r="B822" s="3" t="n">
        <f aca="false">'1. Raw Data'!B821</f>
        <v>31</v>
      </c>
      <c r="C822" s="3" t="str">
        <f aca="false">'1. Raw Data'!C821</f>
        <v>Customer Support</v>
      </c>
      <c r="D822" s="3" t="str">
        <f aca="false">'1. Raw Data'!D821</f>
        <v>Mid</v>
      </c>
      <c r="E822" s="3" t="str">
        <f aca="false">'1. Raw Data'!E821</f>
        <v>Other</v>
      </c>
      <c r="F822" s="3" t="n">
        <f aca="false">'1. Raw Data'!F821</f>
        <v>0.6</v>
      </c>
      <c r="G822" s="3" t="n">
        <f aca="false">IF('1. Raw Data'!G821="",ROUND(IFERROR(AVERAGEIFS('1. Raw Data'!G2:G1201,'1. Raw Data'!C2:C1201,'1. Raw Data'!C821,'1. Raw Data'!D2:D1201,'1. Raw Data'!D821),0),2),'1. Raw Data'!G821)</f>
        <v>5506.23</v>
      </c>
      <c r="H822" s="3" t="str">
        <f aca="false">PROPER('1. Raw Data'!H821)</f>
        <v>No</v>
      </c>
      <c r="I822" s="3" t="n">
        <f aca="false">'1. Raw Data'!I821</f>
        <v>3</v>
      </c>
      <c r="J822" s="3" t="n">
        <f aca="false">'1. Raw Data'!J821</f>
        <v>4</v>
      </c>
      <c r="K822" s="3" t="n">
        <f aca="false">'1. Raw Data'!K821</f>
        <v>28</v>
      </c>
      <c r="L822" s="3" t="n">
        <f aca="false">'1. Raw Data'!L821</f>
        <v>0</v>
      </c>
      <c r="M822" s="3" t="n">
        <f aca="false">'1. Raw Data'!M821</f>
        <v>3</v>
      </c>
      <c r="N822" s="3" t="str">
        <f aca="false">'1. Raw Data'!N821</f>
        <v>No</v>
      </c>
    </row>
    <row r="823" customFormat="false" ht="15" hidden="false" customHeight="false" outlineLevel="0" collapsed="false">
      <c r="A823" s="3" t="str">
        <f aca="false">'1. Raw Data'!A822</f>
        <v>EMP-0821</v>
      </c>
      <c r="B823" s="3" t="n">
        <f aca="false">'1. Raw Data'!B822</f>
        <v>26</v>
      </c>
      <c r="C823" s="3" t="str">
        <f aca="false">'1. Raw Data'!C822</f>
        <v>Finance</v>
      </c>
      <c r="D823" s="3" t="str">
        <f aca="false">'1. Raw Data'!D822</f>
        <v>Junior</v>
      </c>
      <c r="E823" s="3" t="str">
        <f aca="false">'1. Raw Data'!E822</f>
        <v>Marketing</v>
      </c>
      <c r="F823" s="3" t="n">
        <f aca="false">'1. Raw Data'!F822</f>
        <v>5</v>
      </c>
      <c r="G823" s="3" t="n">
        <f aca="false">IF('1. Raw Data'!G822="",ROUND(IFERROR(AVERAGEIFS('1. Raw Data'!G2:G1201,'1. Raw Data'!C2:C1201,'1. Raw Data'!C822,'1. Raw Data'!D2:D1201,'1. Raw Data'!D822),0),2),'1. Raw Data'!G822)</f>
        <v>3447.14</v>
      </c>
      <c r="H823" s="3" t="str">
        <f aca="false">PROPER('1. Raw Data'!H822)</f>
        <v>Yes</v>
      </c>
      <c r="I823" s="3" t="n">
        <f aca="false">'1. Raw Data'!I822</f>
        <v>2</v>
      </c>
      <c r="J823" s="3" t="n">
        <f aca="false">'1. Raw Data'!J822</f>
        <v>3</v>
      </c>
      <c r="K823" s="3" t="n">
        <f aca="false">'1. Raw Data'!K822</f>
        <v>3</v>
      </c>
      <c r="L823" s="3" t="n">
        <f aca="false">'1. Raw Data'!L822</f>
        <v>0</v>
      </c>
      <c r="M823" s="3" t="n">
        <f aca="false">'1. Raw Data'!M822</f>
        <v>0</v>
      </c>
      <c r="N823" s="3" t="str">
        <f aca="false">'1. Raw Data'!N822</f>
        <v>No</v>
      </c>
    </row>
    <row r="824" customFormat="false" ht="15" hidden="false" customHeight="false" outlineLevel="0" collapsed="false">
      <c r="A824" s="3" t="str">
        <f aca="false">'1. Raw Data'!A823</f>
        <v>EMP-0822</v>
      </c>
      <c r="B824" s="3" t="n">
        <f aca="false">'1. Raw Data'!B823</f>
        <v>41</v>
      </c>
      <c r="C824" s="3" t="str">
        <f aca="false">'1. Raw Data'!C823</f>
        <v>Sales</v>
      </c>
      <c r="D824" s="3" t="str">
        <f aca="false">'1. Raw Data'!D823</f>
        <v>Mid</v>
      </c>
      <c r="E824" s="3" t="str">
        <f aca="false">'1. Raw Data'!E823</f>
        <v>Business</v>
      </c>
      <c r="F824" s="3" t="n">
        <f aca="false">'1. Raw Data'!F823</f>
        <v>5.2</v>
      </c>
      <c r="G824" s="3" t="n">
        <f aca="false">IF('1. Raw Data'!G823="",ROUND(IFERROR(AVERAGEIFS('1. Raw Data'!G2:G1201,'1. Raw Data'!C2:C1201,'1. Raw Data'!C823,'1. Raw Data'!D2:D1201,'1. Raw Data'!D823),0),2),'1. Raw Data'!G823)</f>
        <v>5710.63</v>
      </c>
      <c r="H824" s="3" t="str">
        <f aca="false">PROPER('1. Raw Data'!H823)</f>
        <v>Yes</v>
      </c>
      <c r="I824" s="3" t="n">
        <f aca="false">'1. Raw Data'!I823</f>
        <v>2</v>
      </c>
      <c r="J824" s="3" t="n">
        <f aca="false">'1. Raw Data'!J823</f>
        <v>2</v>
      </c>
      <c r="K824" s="3" t="n">
        <f aca="false">'1. Raw Data'!K823</f>
        <v>6</v>
      </c>
      <c r="L824" s="3" t="n">
        <f aca="false">'1. Raw Data'!L823</f>
        <v>0</v>
      </c>
      <c r="M824" s="3" t="n">
        <f aca="false">'1. Raw Data'!M823</f>
        <v>1</v>
      </c>
      <c r="N824" s="3" t="str">
        <f aca="false">'1. Raw Data'!N823</f>
        <v>No</v>
      </c>
    </row>
    <row r="825" customFormat="false" ht="15" hidden="false" customHeight="false" outlineLevel="0" collapsed="false">
      <c r="A825" s="3" t="str">
        <f aca="false">'1. Raw Data'!A824</f>
        <v>EMP-0823</v>
      </c>
      <c r="B825" s="3" t="n">
        <f aca="false">'1. Raw Data'!B824</f>
        <v>34</v>
      </c>
      <c r="C825" s="3" t="str">
        <f aca="false">'1. Raw Data'!C824</f>
        <v>Sales</v>
      </c>
      <c r="D825" s="3" t="str">
        <f aca="false">'1. Raw Data'!D824</f>
        <v>Junior</v>
      </c>
      <c r="E825" s="3" t="str">
        <f aca="false">'1. Raw Data'!E824</f>
        <v>Technical</v>
      </c>
      <c r="F825" s="3" t="n">
        <f aca="false">'1. Raw Data'!F824</f>
        <v>2.2</v>
      </c>
      <c r="G825" s="3" t="n">
        <f aca="false">IF('1. Raw Data'!G824="",ROUND(IFERROR(AVERAGEIFS('1. Raw Data'!G2:G1201,'1. Raw Data'!C2:C1201,'1. Raw Data'!C824,'1. Raw Data'!D2:D1201,'1. Raw Data'!D824),0),2),'1. Raw Data'!G824)</f>
        <v>3235.27</v>
      </c>
      <c r="H825" s="3" t="str">
        <f aca="false">PROPER('1. Raw Data'!H824)</f>
        <v>No</v>
      </c>
      <c r="I825" s="3" t="n">
        <f aca="false">'1. Raw Data'!I824</f>
        <v>3</v>
      </c>
      <c r="J825" s="3" t="n">
        <f aca="false">'1. Raw Data'!J824</f>
        <v>4</v>
      </c>
      <c r="K825" s="3" t="n">
        <f aca="false">'1. Raw Data'!K824</f>
        <v>10</v>
      </c>
      <c r="L825" s="3" t="n">
        <f aca="false">'1. Raw Data'!L824</f>
        <v>2</v>
      </c>
      <c r="M825" s="3" t="n">
        <f aca="false">'1. Raw Data'!M824</f>
        <v>2</v>
      </c>
      <c r="N825" s="3" t="str">
        <f aca="false">'1. Raw Data'!N824</f>
        <v>No</v>
      </c>
    </row>
    <row r="826" customFormat="false" ht="15" hidden="false" customHeight="false" outlineLevel="0" collapsed="false">
      <c r="A826" s="3" t="str">
        <f aca="false">'1. Raw Data'!A825</f>
        <v>EMP-0824</v>
      </c>
      <c r="B826" s="3" t="n">
        <f aca="false">'1. Raw Data'!B825</f>
        <v>35</v>
      </c>
      <c r="C826" s="3" t="str">
        <f aca="false">'1. Raw Data'!C825</f>
        <v>Sales</v>
      </c>
      <c r="D826" s="3" t="str">
        <f aca="false">'1. Raw Data'!D825</f>
        <v>Junior</v>
      </c>
      <c r="E826" s="3" t="str">
        <f aca="false">'1. Raw Data'!E825</f>
        <v>Business</v>
      </c>
      <c r="F826" s="3" t="n">
        <f aca="false">'1. Raw Data'!F825</f>
        <v>0.6</v>
      </c>
      <c r="G826" s="3" t="n">
        <f aca="false">IF('1. Raw Data'!G825="",ROUND(IFERROR(AVERAGEIFS('1. Raw Data'!G2:G1201,'1. Raw Data'!C2:C1201,'1. Raw Data'!C825,'1. Raw Data'!D2:D1201,'1. Raw Data'!D825),0),2),'1. Raw Data'!G825)</f>
        <v>3495.75</v>
      </c>
      <c r="H826" s="3" t="str">
        <f aca="false">PROPER('1. Raw Data'!H825)</f>
        <v>No</v>
      </c>
      <c r="I826" s="3" t="n">
        <f aca="false">'1. Raw Data'!I825</f>
        <v>4</v>
      </c>
      <c r="J826" s="3" t="n">
        <f aca="false">'1. Raw Data'!J825</f>
        <v>2</v>
      </c>
      <c r="K826" s="3" t="n">
        <f aca="false">'1. Raw Data'!K825</f>
        <v>18</v>
      </c>
      <c r="L826" s="3" t="n">
        <f aca="false">'1. Raw Data'!L825</f>
        <v>0</v>
      </c>
      <c r="M826" s="3" t="n">
        <f aca="false">'1. Raw Data'!M825</f>
        <v>2</v>
      </c>
      <c r="N826" s="3" t="str">
        <f aca="false">'1. Raw Data'!N825</f>
        <v>Yes</v>
      </c>
    </row>
    <row r="827" customFormat="false" ht="15" hidden="false" customHeight="false" outlineLevel="0" collapsed="false">
      <c r="A827" s="3" t="str">
        <f aca="false">'1. Raw Data'!A826</f>
        <v>EMP-0825</v>
      </c>
      <c r="B827" s="3" t="n">
        <f aca="false">'1. Raw Data'!B826</f>
        <v>35</v>
      </c>
      <c r="C827" s="3" t="str">
        <f aca="false">'1. Raw Data'!C826</f>
        <v>Sales</v>
      </c>
      <c r="D827" s="3" t="str">
        <f aca="false">'1. Raw Data'!D826</f>
        <v>Mid</v>
      </c>
      <c r="E827" s="3" t="str">
        <f aca="false">'1. Raw Data'!E826</f>
        <v>Marketing</v>
      </c>
      <c r="F827" s="3" t="n">
        <f aca="false">'1. Raw Data'!F826</f>
        <v>0.2</v>
      </c>
      <c r="G827" s="3" t="n">
        <f aca="false">IF('1. Raw Data'!G826="",ROUND(IFERROR(AVERAGEIFS('1. Raw Data'!G2:G1201,'1. Raw Data'!C2:C1201,'1. Raw Data'!C826,'1. Raw Data'!D2:D1201,'1. Raw Data'!D826),0),2),'1. Raw Data'!G826)</f>
        <v>4768.26</v>
      </c>
      <c r="H827" s="3" t="str">
        <f aca="false">PROPER('1. Raw Data'!H826)</f>
        <v>No</v>
      </c>
      <c r="I827" s="3" t="n">
        <f aca="false">'1. Raw Data'!I826</f>
        <v>2</v>
      </c>
      <c r="J827" s="3" t="n">
        <f aca="false">'1. Raw Data'!J826</f>
        <v>1</v>
      </c>
      <c r="K827" s="3" t="n">
        <f aca="false">'1. Raw Data'!K826</f>
        <v>1</v>
      </c>
      <c r="L827" s="3" t="n">
        <f aca="false">'1. Raw Data'!L826</f>
        <v>0</v>
      </c>
      <c r="M827" s="3" t="n">
        <f aca="false">'1. Raw Data'!M826</f>
        <v>0</v>
      </c>
      <c r="N827" s="3" t="str">
        <f aca="false">'1. Raw Data'!N826</f>
        <v>No</v>
      </c>
    </row>
    <row r="828" customFormat="false" ht="15" hidden="false" customHeight="false" outlineLevel="0" collapsed="false">
      <c r="A828" s="3" t="str">
        <f aca="false">'1. Raw Data'!A827</f>
        <v>EMP-0826</v>
      </c>
      <c r="B828" s="3" t="n">
        <f aca="false">'1. Raw Data'!B827</f>
        <v>32</v>
      </c>
      <c r="C828" s="3" t="str">
        <f aca="false">'1. Raw Data'!C827</f>
        <v>Engineering</v>
      </c>
      <c r="D828" s="3" t="str">
        <f aca="false">'1. Raw Data'!D827</f>
        <v>Mid</v>
      </c>
      <c r="E828" s="3" t="str">
        <f aca="false">'1. Raw Data'!E827</f>
        <v>Business</v>
      </c>
      <c r="F828" s="3" t="n">
        <f aca="false">'1. Raw Data'!F827</f>
        <v>4.8</v>
      </c>
      <c r="G828" s="3" t="n">
        <f aca="false">IF('1. Raw Data'!G827="",ROUND(IFERROR(AVERAGEIFS('1. Raw Data'!G2:G1201,'1. Raw Data'!C2:C1201,'1. Raw Data'!C827,'1. Raw Data'!D2:D1201,'1. Raw Data'!D827),0),2),'1. Raw Data'!G827)</f>
        <v>4365.77</v>
      </c>
      <c r="H828" s="3" t="str">
        <f aca="false">PROPER('1. Raw Data'!H827)</f>
        <v>Yes</v>
      </c>
      <c r="I828" s="3" t="n">
        <f aca="false">'1. Raw Data'!I827</f>
        <v>3</v>
      </c>
      <c r="J828" s="3" t="n">
        <f aca="false">'1. Raw Data'!J827</f>
        <v>2</v>
      </c>
      <c r="K828" s="3" t="n">
        <f aca="false">'1. Raw Data'!K827</f>
        <v>7</v>
      </c>
      <c r="L828" s="3" t="n">
        <f aca="false">'1. Raw Data'!L827</f>
        <v>0</v>
      </c>
      <c r="M828" s="3" t="n">
        <f aca="false">'1. Raw Data'!M827</f>
        <v>2</v>
      </c>
      <c r="N828" s="3" t="str">
        <f aca="false">'1. Raw Data'!N827</f>
        <v>Yes</v>
      </c>
    </row>
    <row r="829" customFormat="false" ht="15" hidden="false" customHeight="false" outlineLevel="0" collapsed="false">
      <c r="A829" s="3" t="str">
        <f aca="false">'1. Raw Data'!A828</f>
        <v>EMP-0827</v>
      </c>
      <c r="B829" s="3" t="n">
        <f aca="false">'1. Raw Data'!B828</f>
        <v>21</v>
      </c>
      <c r="C829" s="3" t="str">
        <f aca="false">'1. Raw Data'!C828</f>
        <v>Sales</v>
      </c>
      <c r="D829" s="3" t="str">
        <f aca="false">'1. Raw Data'!D828</f>
        <v>Lead</v>
      </c>
      <c r="E829" s="3" t="str">
        <f aca="false">'1. Raw Data'!E828</f>
        <v>Other</v>
      </c>
      <c r="F829" s="3" t="n">
        <f aca="false">'1. Raw Data'!F828</f>
        <v>0</v>
      </c>
      <c r="G829" s="3" t="n">
        <f aca="false">IF('1. Raw Data'!G828="",ROUND(IFERROR(AVERAGEIFS('1. Raw Data'!G2:G1201,'1. Raw Data'!C2:C1201,'1. Raw Data'!C828,'1. Raw Data'!D2:D1201,'1. Raw Data'!D828),0),2),'1. Raw Data'!G828)</f>
        <v>11097.3</v>
      </c>
      <c r="H829" s="3" t="str">
        <f aca="false">PROPER('1. Raw Data'!H828)</f>
        <v>No</v>
      </c>
      <c r="I829" s="3" t="n">
        <f aca="false">'1. Raw Data'!I828</f>
        <v>2</v>
      </c>
      <c r="J829" s="3" t="n">
        <f aca="false">'1. Raw Data'!J828</f>
        <v>2</v>
      </c>
      <c r="K829" s="3" t="n">
        <f aca="false">'1. Raw Data'!K828</f>
        <v>15</v>
      </c>
      <c r="L829" s="3" t="n">
        <f aca="false">'1. Raw Data'!L828</f>
        <v>0</v>
      </c>
      <c r="M829" s="3" t="n">
        <f aca="false">'1. Raw Data'!M828</f>
        <v>3</v>
      </c>
      <c r="N829" s="3" t="str">
        <f aca="false">'1. Raw Data'!N828</f>
        <v>Yes</v>
      </c>
    </row>
    <row r="830" customFormat="false" ht="15" hidden="false" customHeight="false" outlineLevel="0" collapsed="false">
      <c r="A830" s="3" t="str">
        <f aca="false">'1. Raw Data'!A829</f>
        <v>EMP-0828</v>
      </c>
      <c r="B830" s="3" t="n">
        <f aca="false">'1. Raw Data'!B829</f>
        <v>36</v>
      </c>
      <c r="C830" s="3" t="str">
        <f aca="false">'1. Raw Data'!C829</f>
        <v>Sales</v>
      </c>
      <c r="D830" s="3" t="str">
        <f aca="false">'1. Raw Data'!D829</f>
        <v>Senior</v>
      </c>
      <c r="E830" s="3" t="str">
        <f aca="false">'1. Raw Data'!E829</f>
        <v>Marketing</v>
      </c>
      <c r="F830" s="3" t="n">
        <f aca="false">'1. Raw Data'!F829</f>
        <v>0.5</v>
      </c>
      <c r="G830" s="3" t="n">
        <f aca="false">IF('1. Raw Data'!G829="",ROUND(IFERROR(AVERAGEIFS('1. Raw Data'!G2:G1201,'1. Raw Data'!C2:C1201,'1. Raw Data'!C829,'1. Raw Data'!D2:D1201,'1. Raw Data'!D829),0),2),'1. Raw Data'!G829)</f>
        <v>7756.81</v>
      </c>
      <c r="H830" s="3" t="str">
        <f aca="false">PROPER('1. Raw Data'!H829)</f>
        <v>No</v>
      </c>
      <c r="I830" s="3" t="n">
        <f aca="false">'1. Raw Data'!I829</f>
        <v>1</v>
      </c>
      <c r="J830" s="3" t="n">
        <f aca="false">'1. Raw Data'!J829</f>
        <v>2</v>
      </c>
      <c r="K830" s="3" t="n">
        <f aca="false">'1. Raw Data'!K829</f>
        <v>1</v>
      </c>
      <c r="L830" s="3" t="n">
        <f aca="false">'1. Raw Data'!L829</f>
        <v>0</v>
      </c>
      <c r="M830" s="3" t="n">
        <f aca="false">'1. Raw Data'!M829</f>
        <v>0</v>
      </c>
      <c r="N830" s="3" t="str">
        <f aca="false">'1. Raw Data'!N829</f>
        <v>Yes</v>
      </c>
    </row>
    <row r="831" customFormat="false" ht="15" hidden="false" customHeight="false" outlineLevel="0" collapsed="false">
      <c r="A831" s="3" t="str">
        <f aca="false">'1. Raw Data'!A830</f>
        <v>EMP-0829</v>
      </c>
      <c r="B831" s="3" t="n">
        <f aca="false">'1. Raw Data'!B830</f>
        <v>39</v>
      </c>
      <c r="C831" s="3" t="str">
        <f aca="false">'1. Raw Data'!C830</f>
        <v>Sales</v>
      </c>
      <c r="D831" s="3" t="str">
        <f aca="false">'1. Raw Data'!D830</f>
        <v>Mid</v>
      </c>
      <c r="E831" s="3" t="str">
        <f aca="false">'1. Raw Data'!E830</f>
        <v>Other</v>
      </c>
      <c r="F831" s="3" t="n">
        <f aca="false">'1. Raw Data'!F830</f>
        <v>1.2</v>
      </c>
      <c r="G831" s="3" t="n">
        <f aca="false">IF('1. Raw Data'!G830="",ROUND(IFERROR(AVERAGEIFS('1. Raw Data'!G2:G1201,'1. Raw Data'!C2:C1201,'1. Raw Data'!C830,'1. Raw Data'!D2:D1201,'1. Raw Data'!D830),0),2),'1. Raw Data'!G830)</f>
        <v>4228.38</v>
      </c>
      <c r="H831" s="3" t="str">
        <f aca="false">PROPER('1. Raw Data'!H830)</f>
        <v>Yes</v>
      </c>
      <c r="I831" s="3" t="n">
        <f aca="false">'1. Raw Data'!I830</f>
        <v>3</v>
      </c>
      <c r="J831" s="3" t="n">
        <f aca="false">'1. Raw Data'!J830</f>
        <v>1</v>
      </c>
      <c r="K831" s="3" t="n">
        <f aca="false">'1. Raw Data'!K830</f>
        <v>17</v>
      </c>
      <c r="L831" s="3" t="n">
        <f aca="false">'1. Raw Data'!L830</f>
        <v>1</v>
      </c>
      <c r="M831" s="3" t="n">
        <f aca="false">'1. Raw Data'!M830</f>
        <v>1</v>
      </c>
      <c r="N831" s="3" t="str">
        <f aca="false">'1. Raw Data'!N830</f>
        <v>No</v>
      </c>
    </row>
    <row r="832" customFormat="false" ht="15" hidden="false" customHeight="false" outlineLevel="0" collapsed="false">
      <c r="A832" s="3" t="str">
        <f aca="false">'1. Raw Data'!A831</f>
        <v>EMP-0830</v>
      </c>
      <c r="B832" s="3" t="n">
        <f aca="false">'1. Raw Data'!B831</f>
        <v>27</v>
      </c>
      <c r="C832" s="3" t="str">
        <f aca="false">'1. Raw Data'!C831</f>
        <v>Customer Support</v>
      </c>
      <c r="D832" s="3" t="str">
        <f aca="false">'1. Raw Data'!D831</f>
        <v>Senior</v>
      </c>
      <c r="E832" s="3" t="str">
        <f aca="false">'1. Raw Data'!E831</f>
        <v>Marketing</v>
      </c>
      <c r="F832" s="3" t="n">
        <f aca="false">'1. Raw Data'!F831</f>
        <v>2.4</v>
      </c>
      <c r="G832" s="3" t="n">
        <f aca="false">IF('1. Raw Data'!G831="",ROUND(IFERROR(AVERAGEIFS('1. Raw Data'!G2:G1201,'1. Raw Data'!C2:C1201,'1. Raw Data'!C831,'1. Raw Data'!D2:D1201,'1. Raw Data'!D831),0),2),'1. Raw Data'!G831)</f>
        <v>6251.68</v>
      </c>
      <c r="H832" s="3" t="str">
        <f aca="false">PROPER('1. Raw Data'!H831)</f>
        <v>No</v>
      </c>
      <c r="I832" s="3" t="n">
        <f aca="false">'1. Raw Data'!I831</f>
        <v>3</v>
      </c>
      <c r="J832" s="3" t="n">
        <f aca="false">'1. Raw Data'!J831</f>
        <v>3</v>
      </c>
      <c r="K832" s="3" t="n">
        <f aca="false">'1. Raw Data'!K831</f>
        <v>1</v>
      </c>
      <c r="L832" s="3" t="n">
        <f aca="false">'1. Raw Data'!L831</f>
        <v>2</v>
      </c>
      <c r="M832" s="3" t="n">
        <f aca="false">'1. Raw Data'!M831</f>
        <v>2</v>
      </c>
      <c r="N832" s="3" t="str">
        <f aca="false">'1. Raw Data'!N831</f>
        <v>Yes</v>
      </c>
    </row>
    <row r="833" customFormat="false" ht="15" hidden="false" customHeight="false" outlineLevel="0" collapsed="false">
      <c r="A833" s="3" t="str">
        <f aca="false">'1. Raw Data'!A832</f>
        <v>EMP-0831</v>
      </c>
      <c r="B833" s="3" t="n">
        <f aca="false">'1. Raw Data'!B832</f>
        <v>41</v>
      </c>
      <c r="C833" s="3" t="str">
        <f aca="false">'1. Raw Data'!C832</f>
        <v>Sales</v>
      </c>
      <c r="D833" s="3" t="str">
        <f aca="false">'1. Raw Data'!D832</f>
        <v>Senior</v>
      </c>
      <c r="E833" s="3" t="str">
        <f aca="false">'1. Raw Data'!E832</f>
        <v>Marketing</v>
      </c>
      <c r="F833" s="3" t="n">
        <f aca="false">'1. Raw Data'!F832</f>
        <v>1.7</v>
      </c>
      <c r="G833" s="3" t="n">
        <f aca="false">IF('1. Raw Data'!G832="",ROUND(IFERROR(AVERAGEIFS('1. Raw Data'!G2:G1201,'1. Raw Data'!C2:C1201,'1. Raw Data'!C832,'1. Raw Data'!D2:D1201,'1. Raw Data'!D832),0),2),'1. Raw Data'!G832)</f>
        <v>8252.95</v>
      </c>
      <c r="H833" s="3" t="str">
        <f aca="false">PROPER('1. Raw Data'!H832)</f>
        <v>No</v>
      </c>
      <c r="I833" s="3" t="n">
        <f aca="false">'1. Raw Data'!I832</f>
        <v>3</v>
      </c>
      <c r="J833" s="3" t="n">
        <f aca="false">'1. Raw Data'!J832</f>
        <v>3</v>
      </c>
      <c r="K833" s="3" t="n">
        <f aca="false">'1. Raw Data'!K832</f>
        <v>4</v>
      </c>
      <c r="L833" s="3" t="n">
        <f aca="false">'1. Raw Data'!L832</f>
        <v>1</v>
      </c>
      <c r="M833" s="3" t="n">
        <f aca="false">'1. Raw Data'!M832</f>
        <v>0</v>
      </c>
      <c r="N833" s="3" t="str">
        <f aca="false">'1. Raw Data'!N832</f>
        <v>No</v>
      </c>
    </row>
    <row r="834" customFormat="false" ht="15" hidden="false" customHeight="false" outlineLevel="0" collapsed="false">
      <c r="A834" s="3" t="str">
        <f aca="false">'1. Raw Data'!A833</f>
        <v>EMP-0832</v>
      </c>
      <c r="B834" s="3" t="n">
        <f aca="false">'1. Raw Data'!B833</f>
        <v>38</v>
      </c>
      <c r="C834" s="3" t="str">
        <f aca="false">'1. Raw Data'!C833</f>
        <v>Customer Support</v>
      </c>
      <c r="D834" s="3" t="str">
        <f aca="false">'1. Raw Data'!D833</f>
        <v>Lead</v>
      </c>
      <c r="E834" s="3" t="str">
        <f aca="false">'1. Raw Data'!E833</f>
        <v>Marketing</v>
      </c>
      <c r="F834" s="3" t="n">
        <f aca="false">'1. Raw Data'!F833</f>
        <v>2.5</v>
      </c>
      <c r="G834" s="3" t="n">
        <f aca="false">IF('1. Raw Data'!G833="",ROUND(IFERROR(AVERAGEIFS('1. Raw Data'!G2:G1201,'1. Raw Data'!C2:C1201,'1. Raw Data'!C833,'1. Raw Data'!D2:D1201,'1. Raw Data'!D833),0),2),'1. Raw Data'!G833)</f>
        <v>8474.52</v>
      </c>
      <c r="H834" s="3" t="str">
        <f aca="false">PROPER('1. Raw Data'!H833)</f>
        <v>Yes</v>
      </c>
      <c r="I834" s="3" t="n">
        <f aca="false">'1. Raw Data'!I833</f>
        <v>4</v>
      </c>
      <c r="J834" s="3" t="n">
        <f aca="false">'1. Raw Data'!J833</f>
        <v>3</v>
      </c>
      <c r="K834" s="3" t="n">
        <f aca="false">'1. Raw Data'!K833</f>
        <v>13</v>
      </c>
      <c r="L834" s="3" t="n">
        <f aca="false">'1. Raw Data'!L833</f>
        <v>2</v>
      </c>
      <c r="M834" s="3" t="n">
        <f aca="false">'1. Raw Data'!M833</f>
        <v>2</v>
      </c>
      <c r="N834" s="3" t="str">
        <f aca="false">'1. Raw Data'!N833</f>
        <v>No</v>
      </c>
    </row>
    <row r="835" customFormat="false" ht="15" hidden="false" customHeight="false" outlineLevel="0" collapsed="false">
      <c r="A835" s="3" t="str">
        <f aca="false">'1. Raw Data'!A834</f>
        <v>EMP-0833</v>
      </c>
      <c r="B835" s="3" t="n">
        <f aca="false">'1. Raw Data'!B834</f>
        <v>38</v>
      </c>
      <c r="C835" s="3" t="str">
        <f aca="false">'1. Raw Data'!C834</f>
        <v>Customer Support</v>
      </c>
      <c r="D835" s="3" t="str">
        <f aca="false">'1. Raw Data'!D834</f>
        <v>Junior</v>
      </c>
      <c r="E835" s="3" t="str">
        <f aca="false">'1. Raw Data'!E834</f>
        <v>Business</v>
      </c>
      <c r="F835" s="3" t="n">
        <f aca="false">'1. Raw Data'!F834</f>
        <v>1</v>
      </c>
      <c r="G835" s="3" t="n">
        <f aca="false">IF('1. Raw Data'!G834="",ROUND(IFERROR(AVERAGEIFS('1. Raw Data'!G2:G1201,'1. Raw Data'!C2:C1201,'1. Raw Data'!C834,'1. Raw Data'!D2:D1201,'1. Raw Data'!D834),0),2),'1. Raw Data'!G834)</f>
        <v>2777.84</v>
      </c>
      <c r="H835" s="3" t="str">
        <f aca="false">PROPER('1. Raw Data'!H834)</f>
        <v>Yes</v>
      </c>
      <c r="I835" s="3" t="n">
        <f aca="false">'1. Raw Data'!I834</f>
        <v>3</v>
      </c>
      <c r="J835" s="3" t="n">
        <f aca="false">'1. Raw Data'!J834</f>
        <v>3</v>
      </c>
      <c r="K835" s="3" t="n">
        <f aca="false">'1. Raw Data'!K834</f>
        <v>1</v>
      </c>
      <c r="L835" s="3" t="n">
        <f aca="false">'1. Raw Data'!L834</f>
        <v>1</v>
      </c>
      <c r="M835" s="3" t="n">
        <f aca="false">'1. Raw Data'!M834</f>
        <v>2</v>
      </c>
      <c r="N835" s="3" t="str">
        <f aca="false">'1. Raw Data'!N834</f>
        <v>No</v>
      </c>
    </row>
    <row r="836" customFormat="false" ht="15" hidden="false" customHeight="false" outlineLevel="0" collapsed="false">
      <c r="A836" s="3" t="str">
        <f aca="false">'1. Raw Data'!A835</f>
        <v>EMP-0834</v>
      </c>
      <c r="B836" s="3" t="n">
        <f aca="false">'1. Raw Data'!B835</f>
        <v>28</v>
      </c>
      <c r="C836" s="3" t="str">
        <f aca="false">'1. Raw Data'!C835</f>
        <v>Sales</v>
      </c>
      <c r="D836" s="3" t="str">
        <f aca="false">'1. Raw Data'!D835</f>
        <v>Mid</v>
      </c>
      <c r="E836" s="3" t="str">
        <f aca="false">'1. Raw Data'!E835</f>
        <v>Technical</v>
      </c>
      <c r="F836" s="3" t="n">
        <f aca="false">'1. Raw Data'!F835</f>
        <v>0.9</v>
      </c>
      <c r="G836" s="3" t="n">
        <f aca="false">IF('1. Raw Data'!G835="",ROUND(IFERROR(AVERAGEIFS('1. Raw Data'!G2:G1201,'1. Raw Data'!C2:C1201,'1. Raw Data'!C835,'1. Raw Data'!D2:D1201,'1. Raw Data'!D835),0),2),'1. Raw Data'!G835)</f>
        <v>4293.93</v>
      </c>
      <c r="H836" s="3" t="str">
        <f aca="false">PROPER('1. Raw Data'!H835)</f>
        <v>No</v>
      </c>
      <c r="I836" s="3" t="n">
        <f aca="false">'1. Raw Data'!I835</f>
        <v>1</v>
      </c>
      <c r="J836" s="3" t="n">
        <f aca="false">'1. Raw Data'!J835</f>
        <v>4</v>
      </c>
      <c r="K836" s="3" t="n">
        <f aca="false">'1. Raw Data'!K835</f>
        <v>2</v>
      </c>
      <c r="L836" s="3" t="n">
        <f aca="false">'1. Raw Data'!L835</f>
        <v>0</v>
      </c>
      <c r="M836" s="3" t="n">
        <f aca="false">'1. Raw Data'!M835</f>
        <v>1</v>
      </c>
      <c r="N836" s="3" t="str">
        <f aca="false">'1. Raw Data'!N835</f>
        <v>No</v>
      </c>
    </row>
    <row r="837" customFormat="false" ht="15" hidden="false" customHeight="false" outlineLevel="0" collapsed="false">
      <c r="A837" s="3" t="str">
        <f aca="false">'1. Raw Data'!A836</f>
        <v>EMP-0835</v>
      </c>
      <c r="B837" s="3" t="n">
        <f aca="false">'1. Raw Data'!B836</f>
        <v>36</v>
      </c>
      <c r="C837" s="3" t="str">
        <f aca="false">'1. Raw Data'!C836</f>
        <v>Engineering</v>
      </c>
      <c r="D837" s="3" t="str">
        <f aca="false">'1. Raw Data'!D836</f>
        <v>Junior</v>
      </c>
      <c r="E837" s="3" t="str">
        <f aca="false">'1. Raw Data'!E836</f>
        <v>Technical</v>
      </c>
      <c r="F837" s="3" t="n">
        <f aca="false">'1. Raw Data'!F836</f>
        <v>0.3</v>
      </c>
      <c r="G837" s="3" t="n">
        <f aca="false">IF('1. Raw Data'!G836="",ROUND(IFERROR(AVERAGEIFS('1. Raw Data'!G2:G1201,'1. Raw Data'!C2:C1201,'1. Raw Data'!C836,'1. Raw Data'!D2:D1201,'1. Raw Data'!D836),0),2),'1. Raw Data'!G836)</f>
        <v>2774.05</v>
      </c>
      <c r="H837" s="3" t="str">
        <f aca="false">PROPER('1. Raw Data'!H836)</f>
        <v>No</v>
      </c>
      <c r="I837" s="3" t="n">
        <f aca="false">'1. Raw Data'!I836</f>
        <v>3</v>
      </c>
      <c r="J837" s="3" t="n">
        <f aca="false">'1. Raw Data'!J836</f>
        <v>3</v>
      </c>
      <c r="K837" s="3" t="n">
        <f aca="false">'1. Raw Data'!K836</f>
        <v>12</v>
      </c>
      <c r="L837" s="3" t="n">
        <f aca="false">'1. Raw Data'!L836</f>
        <v>0</v>
      </c>
      <c r="M837" s="3" t="n">
        <f aca="false">'1. Raw Data'!M836</f>
        <v>3</v>
      </c>
      <c r="N837" s="3" t="str">
        <f aca="false">'1. Raw Data'!N836</f>
        <v>No</v>
      </c>
    </row>
    <row r="838" customFormat="false" ht="15" hidden="false" customHeight="false" outlineLevel="0" collapsed="false">
      <c r="A838" s="3" t="str">
        <f aca="false">'1. Raw Data'!A837</f>
        <v>EMP-0836</v>
      </c>
      <c r="B838" s="3" t="n">
        <f aca="false">'1. Raw Data'!B837</f>
        <v>36</v>
      </c>
      <c r="C838" s="3" t="str">
        <f aca="false">'1. Raw Data'!C837</f>
        <v>Sales</v>
      </c>
      <c r="D838" s="3" t="str">
        <f aca="false">'1. Raw Data'!D837</f>
        <v>Senior</v>
      </c>
      <c r="E838" s="3" t="str">
        <f aca="false">'1. Raw Data'!E837</f>
        <v>Marketing</v>
      </c>
      <c r="F838" s="3" t="n">
        <f aca="false">'1. Raw Data'!F837</f>
        <v>2.2</v>
      </c>
      <c r="G838" s="3" t="n">
        <f aca="false">IF('1. Raw Data'!G837="",ROUND(IFERROR(AVERAGEIFS('1. Raw Data'!G2:G1201,'1. Raw Data'!C2:C1201,'1. Raw Data'!C837,'1. Raw Data'!D2:D1201,'1. Raw Data'!D837),0),2),'1. Raw Data'!G837)</f>
        <v>7158.89</v>
      </c>
      <c r="H838" s="3" t="str">
        <f aca="false">PROPER('1. Raw Data'!H837)</f>
        <v>Yes</v>
      </c>
      <c r="I838" s="3" t="n">
        <f aca="false">'1. Raw Data'!I837</f>
        <v>2</v>
      </c>
      <c r="J838" s="3" t="n">
        <f aca="false">'1. Raw Data'!J837</f>
        <v>3</v>
      </c>
      <c r="K838" s="3" t="n">
        <f aca="false">'1. Raw Data'!K837</f>
        <v>19</v>
      </c>
      <c r="L838" s="3" t="n">
        <f aca="false">'1. Raw Data'!L837</f>
        <v>0</v>
      </c>
      <c r="M838" s="3" t="n">
        <f aca="false">'1. Raw Data'!M837</f>
        <v>1</v>
      </c>
      <c r="N838" s="3" t="str">
        <f aca="false">'1. Raw Data'!N837</f>
        <v>No</v>
      </c>
    </row>
    <row r="839" customFormat="false" ht="15" hidden="false" customHeight="false" outlineLevel="0" collapsed="false">
      <c r="A839" s="3" t="str">
        <f aca="false">'1. Raw Data'!A838</f>
        <v>EMP-0837</v>
      </c>
      <c r="B839" s="3" t="n">
        <f aca="false">'1. Raw Data'!B838</f>
        <v>31</v>
      </c>
      <c r="C839" s="3" t="str">
        <f aca="false">'1. Raw Data'!C838</f>
        <v>HR</v>
      </c>
      <c r="D839" s="3" t="str">
        <f aca="false">'1. Raw Data'!D838</f>
        <v>Junior</v>
      </c>
      <c r="E839" s="3" t="str">
        <f aca="false">'1. Raw Data'!E838</f>
        <v>Technical</v>
      </c>
      <c r="F839" s="3" t="n">
        <f aca="false">'1. Raw Data'!F838</f>
        <v>8.3</v>
      </c>
      <c r="G839" s="3" t="n">
        <f aca="false">IF('1. Raw Data'!G838="",ROUND(IFERROR(AVERAGEIFS('1. Raw Data'!G2:G1201,'1. Raw Data'!C2:C1201,'1. Raw Data'!C838,'1. Raw Data'!D2:D1201,'1. Raw Data'!D838),0),2),'1. Raw Data'!G838)</f>
        <v>2975.38</v>
      </c>
      <c r="H839" s="3" t="str">
        <f aca="false">PROPER('1. Raw Data'!H838)</f>
        <v>No</v>
      </c>
      <c r="I839" s="3" t="n">
        <f aca="false">'1. Raw Data'!I838</f>
        <v>2</v>
      </c>
      <c r="J839" s="3" t="n">
        <f aca="false">'1. Raw Data'!J838</f>
        <v>1</v>
      </c>
      <c r="K839" s="3" t="n">
        <f aca="false">'1. Raw Data'!K838</f>
        <v>2</v>
      </c>
      <c r="L839" s="3" t="n">
        <f aca="false">'1. Raw Data'!L838</f>
        <v>2</v>
      </c>
      <c r="M839" s="3" t="n">
        <f aca="false">'1. Raw Data'!M838</f>
        <v>1</v>
      </c>
      <c r="N839" s="3" t="str">
        <f aca="false">'1. Raw Data'!N838</f>
        <v>No</v>
      </c>
    </row>
    <row r="840" customFormat="false" ht="15" hidden="false" customHeight="false" outlineLevel="0" collapsed="false">
      <c r="A840" s="3" t="str">
        <f aca="false">'1. Raw Data'!A839</f>
        <v>EMP-0838</v>
      </c>
      <c r="B840" s="3" t="n">
        <f aca="false">'1. Raw Data'!B839</f>
        <v>31</v>
      </c>
      <c r="C840" s="3" t="str">
        <f aca="false">'1. Raw Data'!C839</f>
        <v>Customer Support</v>
      </c>
      <c r="D840" s="3" t="str">
        <f aca="false">'1. Raw Data'!D839</f>
        <v>Mid</v>
      </c>
      <c r="E840" s="3" t="str">
        <f aca="false">'1. Raw Data'!E839</f>
        <v>Technical</v>
      </c>
      <c r="F840" s="3" t="n">
        <f aca="false">'1. Raw Data'!F839</f>
        <v>0.6</v>
      </c>
      <c r="G840" s="3" t="n">
        <f aca="false">IF('1. Raw Data'!G839="",ROUND(IFERROR(AVERAGEIFS('1. Raw Data'!G2:G1201,'1. Raw Data'!C2:C1201,'1. Raw Data'!C839,'1. Raw Data'!D2:D1201,'1. Raw Data'!D839),0),2),'1. Raw Data'!G839)</f>
        <v>4524.54</v>
      </c>
      <c r="H840" s="3" t="str">
        <f aca="false">PROPER('1. Raw Data'!H839)</f>
        <v>Yes</v>
      </c>
      <c r="I840" s="3" t="n">
        <f aca="false">'1. Raw Data'!I839</f>
        <v>3</v>
      </c>
      <c r="J840" s="3" t="n">
        <f aca="false">'1. Raw Data'!J839</f>
        <v>4</v>
      </c>
      <c r="K840" s="3" t="n">
        <f aca="false">'1. Raw Data'!K839</f>
        <v>22</v>
      </c>
      <c r="L840" s="3" t="n">
        <f aca="false">'1. Raw Data'!L839</f>
        <v>0</v>
      </c>
      <c r="M840" s="3" t="n">
        <f aca="false">'1. Raw Data'!M839</f>
        <v>2</v>
      </c>
      <c r="N840" s="3" t="str">
        <f aca="false">'1. Raw Data'!N839</f>
        <v>No</v>
      </c>
    </row>
    <row r="841" customFormat="false" ht="15" hidden="false" customHeight="false" outlineLevel="0" collapsed="false">
      <c r="A841" s="3" t="str">
        <f aca="false">'1. Raw Data'!A840</f>
        <v>EMP-0839</v>
      </c>
      <c r="B841" s="3" t="n">
        <f aca="false">'1. Raw Data'!B840</f>
        <v>34</v>
      </c>
      <c r="C841" s="3" t="str">
        <f aca="false">'1. Raw Data'!C840</f>
        <v>Engineering</v>
      </c>
      <c r="D841" s="3" t="str">
        <f aca="false">'1. Raw Data'!D840</f>
        <v>Mid</v>
      </c>
      <c r="E841" s="3" t="str">
        <f aca="false">'1. Raw Data'!E840</f>
        <v>Marketing</v>
      </c>
      <c r="F841" s="3" t="n">
        <f aca="false">'1. Raw Data'!F840</f>
        <v>3.5</v>
      </c>
      <c r="G841" s="3" t="n">
        <f aca="false">IF('1. Raw Data'!G840="",ROUND(IFERROR(AVERAGEIFS('1. Raw Data'!G2:G1201,'1. Raw Data'!C2:C1201,'1. Raw Data'!C840,'1. Raw Data'!D2:D1201,'1. Raw Data'!D840),0),2),'1. Raw Data'!G840)</f>
        <v>4849.22</v>
      </c>
      <c r="H841" s="3" t="str">
        <f aca="false">PROPER('1. Raw Data'!H840)</f>
        <v>Yes</v>
      </c>
      <c r="I841" s="3" t="n">
        <f aca="false">'1. Raw Data'!I840</f>
        <v>1</v>
      </c>
      <c r="J841" s="3" t="n">
        <f aca="false">'1. Raw Data'!J840</f>
        <v>4</v>
      </c>
      <c r="K841" s="3" t="n">
        <f aca="false">'1. Raw Data'!K840</f>
        <v>5</v>
      </c>
      <c r="L841" s="3" t="n">
        <f aca="false">'1. Raw Data'!L840</f>
        <v>0</v>
      </c>
      <c r="M841" s="3" t="n">
        <f aca="false">'1. Raw Data'!M840</f>
        <v>2</v>
      </c>
      <c r="N841" s="3" t="str">
        <f aca="false">'1. Raw Data'!N840</f>
        <v>No</v>
      </c>
    </row>
    <row r="842" customFormat="false" ht="15" hidden="false" customHeight="false" outlineLevel="0" collapsed="false">
      <c r="A842" s="3" t="str">
        <f aca="false">'1. Raw Data'!A841</f>
        <v>EMP-0840</v>
      </c>
      <c r="B842" s="3" t="n">
        <f aca="false">'1. Raw Data'!B841</f>
        <v>33</v>
      </c>
      <c r="C842" s="3" t="str">
        <f aca="false">'1. Raw Data'!C841</f>
        <v>Finance</v>
      </c>
      <c r="D842" s="3" t="str">
        <f aca="false">'1. Raw Data'!D841</f>
        <v>Junior</v>
      </c>
      <c r="E842" s="3" t="str">
        <f aca="false">'1. Raw Data'!E841</f>
        <v>Business</v>
      </c>
      <c r="F842" s="3" t="n">
        <f aca="false">'1. Raw Data'!F841</f>
        <v>3</v>
      </c>
      <c r="G842" s="3" t="n">
        <f aca="false">IF('1. Raw Data'!G841="",ROUND(IFERROR(AVERAGEIFS('1. Raw Data'!G2:G1201,'1. Raw Data'!C2:C1201,'1. Raw Data'!C841,'1. Raw Data'!D2:D1201,'1. Raw Data'!D841),0),2),'1. Raw Data'!G841)</f>
        <v>3232</v>
      </c>
      <c r="H842" s="3" t="str">
        <f aca="false">PROPER('1. Raw Data'!H841)</f>
        <v>Yes</v>
      </c>
      <c r="I842" s="3" t="n">
        <f aca="false">'1. Raw Data'!I841</f>
        <v>4</v>
      </c>
      <c r="J842" s="3" t="n">
        <f aca="false">'1. Raw Data'!J841</f>
        <v>1</v>
      </c>
      <c r="K842" s="3" t="n">
        <f aca="false">'1. Raw Data'!K841</f>
        <v>15</v>
      </c>
      <c r="L842" s="3" t="n">
        <f aca="false">'1. Raw Data'!L841</f>
        <v>1</v>
      </c>
      <c r="M842" s="3" t="n">
        <f aca="false">'1. Raw Data'!M841</f>
        <v>2</v>
      </c>
      <c r="N842" s="3" t="str">
        <f aca="false">'1. Raw Data'!N841</f>
        <v>Yes</v>
      </c>
    </row>
    <row r="843" customFormat="false" ht="15" hidden="false" customHeight="false" outlineLevel="0" collapsed="false">
      <c r="A843" s="3" t="str">
        <f aca="false">'1. Raw Data'!A842</f>
        <v>EMP-0841</v>
      </c>
      <c r="B843" s="3" t="n">
        <f aca="false">'1. Raw Data'!B842</f>
        <v>29</v>
      </c>
      <c r="C843" s="3" t="str">
        <f aca="false">'1. Raw Data'!C842</f>
        <v>Sales</v>
      </c>
      <c r="D843" s="3" t="str">
        <f aca="false">'1. Raw Data'!D842</f>
        <v>Mid</v>
      </c>
      <c r="E843" s="3" t="str">
        <f aca="false">'1. Raw Data'!E842</f>
        <v>Other</v>
      </c>
      <c r="F843" s="3" t="n">
        <f aca="false">'1. Raw Data'!F842</f>
        <v>1.3</v>
      </c>
      <c r="G843" s="3" t="n">
        <f aca="false">IF('1. Raw Data'!G842="",ROUND(IFERROR(AVERAGEIFS('1. Raw Data'!G2:G1201,'1. Raw Data'!C2:C1201,'1. Raw Data'!C842,'1. Raw Data'!D2:D1201,'1. Raw Data'!D842),0),2),'1. Raw Data'!G842)</f>
        <v>4425.06</v>
      </c>
      <c r="H843" s="3" t="str">
        <f aca="false">PROPER('1. Raw Data'!H842)</f>
        <v>No</v>
      </c>
      <c r="I843" s="3" t="n">
        <f aca="false">'1. Raw Data'!I842</f>
        <v>2</v>
      </c>
      <c r="J843" s="3" t="n">
        <f aca="false">'1. Raw Data'!J842</f>
        <v>1</v>
      </c>
      <c r="K843" s="3" t="n">
        <f aca="false">'1. Raw Data'!K842</f>
        <v>3</v>
      </c>
      <c r="L843" s="3" t="n">
        <f aca="false">'1. Raw Data'!L842</f>
        <v>1</v>
      </c>
      <c r="M843" s="3" t="n">
        <f aca="false">'1. Raw Data'!M842</f>
        <v>3</v>
      </c>
      <c r="N843" s="3" t="str">
        <f aca="false">'1. Raw Data'!N842</f>
        <v>No</v>
      </c>
    </row>
    <row r="844" customFormat="false" ht="15" hidden="false" customHeight="false" outlineLevel="0" collapsed="false">
      <c r="A844" s="3" t="str">
        <f aca="false">'1. Raw Data'!A843</f>
        <v>EMP-0842</v>
      </c>
      <c r="B844" s="3" t="n">
        <f aca="false">'1. Raw Data'!B843</f>
        <v>24</v>
      </c>
      <c r="C844" s="3" t="str">
        <f aca="false">'1. Raw Data'!C843</f>
        <v>Marketing</v>
      </c>
      <c r="D844" s="3" t="str">
        <f aca="false">'1. Raw Data'!D843</f>
        <v>Lead</v>
      </c>
      <c r="E844" s="3" t="str">
        <f aca="false">'1. Raw Data'!E843</f>
        <v>Other</v>
      </c>
      <c r="F844" s="3" t="n">
        <f aca="false">'1. Raw Data'!F843</f>
        <v>3</v>
      </c>
      <c r="G844" s="3" t="n">
        <f aca="false">IF('1. Raw Data'!G843="",ROUND(IFERROR(AVERAGEIFS('1. Raw Data'!G2:G1201,'1. Raw Data'!C2:C1201,'1. Raw Data'!C843,'1. Raw Data'!D2:D1201,'1. Raw Data'!D843),0),2),'1. Raw Data'!G843)</f>
        <v>8809.39</v>
      </c>
      <c r="H844" s="3" t="str">
        <f aca="false">PROPER('1. Raw Data'!H843)</f>
        <v>No</v>
      </c>
      <c r="I844" s="3" t="n">
        <f aca="false">'1. Raw Data'!I843</f>
        <v>2</v>
      </c>
      <c r="J844" s="3" t="n">
        <f aca="false">'1. Raw Data'!J843</f>
        <v>4</v>
      </c>
      <c r="K844" s="3" t="n">
        <f aca="false">'1. Raw Data'!K843</f>
        <v>6</v>
      </c>
      <c r="L844" s="3" t="n">
        <f aca="false">'1. Raw Data'!L843</f>
        <v>0</v>
      </c>
      <c r="M844" s="3" t="n">
        <f aca="false">'1. Raw Data'!M843</f>
        <v>1</v>
      </c>
      <c r="N844" s="3" t="str">
        <f aca="false">'1. Raw Data'!N843</f>
        <v>No</v>
      </c>
    </row>
    <row r="845" customFormat="false" ht="15" hidden="false" customHeight="false" outlineLevel="0" collapsed="false">
      <c r="A845" s="3" t="str">
        <f aca="false">'1. Raw Data'!A844</f>
        <v>EMP-0843</v>
      </c>
      <c r="B845" s="3" t="n">
        <f aca="false">'1. Raw Data'!B844</f>
        <v>33</v>
      </c>
      <c r="C845" s="3" t="str">
        <f aca="false">'1. Raw Data'!C844</f>
        <v>Engineering</v>
      </c>
      <c r="D845" s="3" t="str">
        <f aca="false">'1. Raw Data'!D844</f>
        <v>Senior</v>
      </c>
      <c r="E845" s="3" t="str">
        <f aca="false">'1. Raw Data'!E844</f>
        <v>Marketing</v>
      </c>
      <c r="F845" s="3" t="n">
        <f aca="false">'1. Raw Data'!F844</f>
        <v>4.1</v>
      </c>
      <c r="G845" s="3" t="n">
        <f aca="false">IF('1. Raw Data'!G844="",ROUND(IFERROR(AVERAGEIFS('1. Raw Data'!G2:G1201,'1. Raw Data'!C2:C1201,'1. Raw Data'!C844,'1. Raw Data'!D2:D1201,'1. Raw Data'!D844),0),2),'1. Raw Data'!G844)</f>
        <v>7903.67</v>
      </c>
      <c r="H845" s="3" t="str">
        <f aca="false">PROPER('1. Raw Data'!H844)</f>
        <v>No</v>
      </c>
      <c r="I845" s="3" t="n">
        <f aca="false">'1. Raw Data'!I844</f>
        <v>4</v>
      </c>
      <c r="J845" s="3" t="n">
        <f aca="false">'1. Raw Data'!J844</f>
        <v>2</v>
      </c>
      <c r="K845" s="3" t="n">
        <f aca="false">'1. Raw Data'!K844</f>
        <v>1</v>
      </c>
      <c r="L845" s="3" t="n">
        <f aca="false">'1. Raw Data'!L844</f>
        <v>1</v>
      </c>
      <c r="M845" s="3" t="n">
        <f aca="false">'1. Raw Data'!M844</f>
        <v>0</v>
      </c>
      <c r="N845" s="3" t="str">
        <f aca="false">'1. Raw Data'!N844</f>
        <v>No</v>
      </c>
    </row>
    <row r="846" customFormat="false" ht="15" hidden="false" customHeight="false" outlineLevel="0" collapsed="false">
      <c r="A846" s="3" t="str">
        <f aca="false">'1. Raw Data'!A845</f>
        <v>EMP-0844</v>
      </c>
      <c r="B846" s="3" t="n">
        <f aca="false">'1. Raw Data'!B845</f>
        <v>22</v>
      </c>
      <c r="C846" s="3" t="str">
        <f aca="false">'1. Raw Data'!C845</f>
        <v>Customer Support</v>
      </c>
      <c r="D846" s="3" t="str">
        <f aca="false">'1. Raw Data'!D845</f>
        <v>Mid</v>
      </c>
      <c r="E846" s="3" t="str">
        <f aca="false">'1. Raw Data'!E845</f>
        <v>Technical</v>
      </c>
      <c r="F846" s="3" t="n">
        <f aca="false">'1. Raw Data'!F845</f>
        <v>1</v>
      </c>
      <c r="G846" s="3" t="n">
        <f aca="false">IF('1. Raw Data'!G845="",ROUND(IFERROR(AVERAGEIFS('1. Raw Data'!G2:G1201,'1. Raw Data'!C2:C1201,'1. Raw Data'!C845,'1. Raw Data'!D2:D1201,'1. Raw Data'!D845),0),2),'1. Raw Data'!G845)</f>
        <v>4835.85</v>
      </c>
      <c r="H846" s="3" t="str">
        <f aca="false">PROPER('1. Raw Data'!H845)</f>
        <v>No</v>
      </c>
      <c r="I846" s="3" t="n">
        <f aca="false">'1. Raw Data'!I845</f>
        <v>4</v>
      </c>
      <c r="J846" s="3" t="n">
        <f aca="false">'1. Raw Data'!J845</f>
        <v>3</v>
      </c>
      <c r="K846" s="3" t="n">
        <f aca="false">'1. Raw Data'!K845</f>
        <v>16</v>
      </c>
      <c r="L846" s="3" t="n">
        <f aca="false">'1. Raw Data'!L845</f>
        <v>1</v>
      </c>
      <c r="M846" s="3" t="n">
        <f aca="false">'1. Raw Data'!M845</f>
        <v>2</v>
      </c>
      <c r="N846" s="3" t="str">
        <f aca="false">'1. Raw Data'!N845</f>
        <v>Yes</v>
      </c>
    </row>
    <row r="847" customFormat="false" ht="15" hidden="false" customHeight="false" outlineLevel="0" collapsed="false">
      <c r="A847" s="3" t="str">
        <f aca="false">'1. Raw Data'!A846</f>
        <v>EMP-0845</v>
      </c>
      <c r="B847" s="3" t="n">
        <f aca="false">'1. Raw Data'!B846</f>
        <v>37</v>
      </c>
      <c r="C847" s="3" t="str">
        <f aca="false">'1. Raw Data'!C846</f>
        <v>HR</v>
      </c>
      <c r="D847" s="3" t="str">
        <f aca="false">'1. Raw Data'!D846</f>
        <v>Junior</v>
      </c>
      <c r="E847" s="3" t="str">
        <f aca="false">'1. Raw Data'!E846</f>
        <v>Other</v>
      </c>
      <c r="F847" s="3" t="n">
        <f aca="false">'1. Raw Data'!F846</f>
        <v>0.1</v>
      </c>
      <c r="G847" s="3" t="n">
        <f aca="false">IF('1. Raw Data'!G846="",ROUND(IFERROR(AVERAGEIFS('1. Raw Data'!G2:G1201,'1. Raw Data'!C2:C1201,'1. Raw Data'!C846,'1. Raw Data'!D2:D1201,'1. Raw Data'!D846),0),2),'1. Raw Data'!G846)</f>
        <v>2795.31</v>
      </c>
      <c r="H847" s="3" t="str">
        <f aca="false">PROPER('1. Raw Data'!H846)</f>
        <v>No</v>
      </c>
      <c r="I847" s="3" t="n">
        <f aca="false">'1. Raw Data'!I846</f>
        <v>4</v>
      </c>
      <c r="J847" s="3" t="n">
        <f aca="false">'1. Raw Data'!J846</f>
        <v>4</v>
      </c>
      <c r="K847" s="3" t="n">
        <f aca="false">'1. Raw Data'!K846</f>
        <v>34</v>
      </c>
      <c r="L847" s="3" t="n">
        <f aca="false">'1. Raw Data'!L846</f>
        <v>0</v>
      </c>
      <c r="M847" s="3" t="n">
        <f aca="false">'1. Raw Data'!M846</f>
        <v>3</v>
      </c>
      <c r="N847" s="3" t="str">
        <f aca="false">'1. Raw Data'!N846</f>
        <v>No</v>
      </c>
    </row>
    <row r="848" customFormat="false" ht="15" hidden="false" customHeight="false" outlineLevel="0" collapsed="false">
      <c r="A848" s="3" t="str">
        <f aca="false">'1. Raw Data'!A847</f>
        <v>EMP-0846</v>
      </c>
      <c r="B848" s="3" t="n">
        <f aca="false">'1. Raw Data'!B847</f>
        <v>41</v>
      </c>
      <c r="C848" s="3" t="str">
        <f aca="false">'1. Raw Data'!C847</f>
        <v>Customer Support</v>
      </c>
      <c r="D848" s="3" t="str">
        <f aca="false">'1. Raw Data'!D847</f>
        <v>Mid</v>
      </c>
      <c r="E848" s="3" t="str">
        <f aca="false">'1. Raw Data'!E847</f>
        <v>Business</v>
      </c>
      <c r="F848" s="3" t="n">
        <f aca="false">'1. Raw Data'!F847</f>
        <v>2.8</v>
      </c>
      <c r="G848" s="3" t="n">
        <f aca="false">IF('1. Raw Data'!G847="",ROUND(IFERROR(AVERAGEIFS('1. Raw Data'!G2:G1201,'1. Raw Data'!C2:C1201,'1. Raw Data'!C847,'1. Raw Data'!D2:D1201,'1. Raw Data'!D847),0),2),'1. Raw Data'!G847)</f>
        <v>5634.89</v>
      </c>
      <c r="H848" s="3" t="str">
        <f aca="false">PROPER('1. Raw Data'!H847)</f>
        <v>No</v>
      </c>
      <c r="I848" s="3" t="n">
        <f aca="false">'1. Raw Data'!I847</f>
        <v>4</v>
      </c>
      <c r="J848" s="3" t="n">
        <f aca="false">'1. Raw Data'!J847</f>
        <v>2</v>
      </c>
      <c r="K848" s="3" t="n">
        <f aca="false">'1. Raw Data'!K847</f>
        <v>1</v>
      </c>
      <c r="L848" s="3" t="n">
        <f aca="false">'1. Raw Data'!L847</f>
        <v>0</v>
      </c>
      <c r="M848" s="3" t="n">
        <f aca="false">'1. Raw Data'!M847</f>
        <v>2</v>
      </c>
      <c r="N848" s="3" t="str">
        <f aca="false">'1. Raw Data'!N847</f>
        <v>No</v>
      </c>
    </row>
    <row r="849" customFormat="false" ht="15" hidden="false" customHeight="false" outlineLevel="0" collapsed="false">
      <c r="A849" s="3" t="str">
        <f aca="false">'1. Raw Data'!A848</f>
        <v>EMP-0847</v>
      </c>
      <c r="B849" s="3" t="n">
        <f aca="false">'1. Raw Data'!B848</f>
        <v>25</v>
      </c>
      <c r="C849" s="3" t="str">
        <f aca="false">'1. Raw Data'!C848</f>
        <v>Finance</v>
      </c>
      <c r="D849" s="3" t="str">
        <f aca="false">'1. Raw Data'!D848</f>
        <v>Mid</v>
      </c>
      <c r="E849" s="3" t="str">
        <f aca="false">'1. Raw Data'!E848</f>
        <v>Technical</v>
      </c>
      <c r="F849" s="3" t="n">
        <f aca="false">'1. Raw Data'!F848</f>
        <v>0.7</v>
      </c>
      <c r="G849" s="3" t="n">
        <f aca="false">IF('1. Raw Data'!G848="",ROUND(IFERROR(AVERAGEIFS('1. Raw Data'!G2:G1201,'1. Raw Data'!C2:C1201,'1. Raw Data'!C848,'1. Raw Data'!D2:D1201,'1. Raw Data'!D848),0),2),'1. Raw Data'!G848)</f>
        <v>5554.95</v>
      </c>
      <c r="H849" s="3" t="str">
        <f aca="false">PROPER('1. Raw Data'!H848)</f>
        <v>No</v>
      </c>
      <c r="I849" s="3" t="n">
        <f aca="false">'1. Raw Data'!I848</f>
        <v>3</v>
      </c>
      <c r="J849" s="3" t="n">
        <f aca="false">'1. Raw Data'!J848</f>
        <v>4</v>
      </c>
      <c r="K849" s="3" t="n">
        <f aca="false">'1. Raw Data'!K848</f>
        <v>4</v>
      </c>
      <c r="L849" s="3" t="n">
        <f aca="false">'1. Raw Data'!L848</f>
        <v>0</v>
      </c>
      <c r="M849" s="3" t="n">
        <f aca="false">'1. Raw Data'!M848</f>
        <v>5</v>
      </c>
      <c r="N849" s="3" t="str">
        <f aca="false">'1. Raw Data'!N848</f>
        <v>No</v>
      </c>
    </row>
    <row r="850" customFormat="false" ht="15" hidden="false" customHeight="false" outlineLevel="0" collapsed="false">
      <c r="A850" s="3" t="str">
        <f aca="false">'1. Raw Data'!A849</f>
        <v>EMP-0848</v>
      </c>
      <c r="B850" s="3" t="n">
        <f aca="false">'1. Raw Data'!B849</f>
        <v>39</v>
      </c>
      <c r="C850" s="3" t="str">
        <f aca="false">'1. Raw Data'!C849</f>
        <v>HR</v>
      </c>
      <c r="D850" s="3" t="str">
        <f aca="false">'1. Raw Data'!D849</f>
        <v>Junior</v>
      </c>
      <c r="E850" s="3" t="str">
        <f aca="false">'1. Raw Data'!E849</f>
        <v>Other</v>
      </c>
      <c r="F850" s="3" t="n">
        <f aca="false">'1. Raw Data'!F849</f>
        <v>7.2</v>
      </c>
      <c r="G850" s="3" t="n">
        <f aca="false">IF('1. Raw Data'!G849="",ROUND(IFERROR(AVERAGEIFS('1. Raw Data'!G2:G1201,'1. Raw Data'!C2:C1201,'1. Raw Data'!C849,'1. Raw Data'!D2:D1201,'1. Raw Data'!D849),0),2),'1. Raw Data'!G849)</f>
        <v>3701.53</v>
      </c>
      <c r="H850" s="3" t="str">
        <f aca="false">PROPER('1. Raw Data'!H849)</f>
        <v>No</v>
      </c>
      <c r="I850" s="3" t="n">
        <f aca="false">'1. Raw Data'!I849</f>
        <v>3</v>
      </c>
      <c r="J850" s="3" t="n">
        <f aca="false">'1. Raw Data'!J849</f>
        <v>2</v>
      </c>
      <c r="K850" s="3" t="n">
        <f aca="false">'1. Raw Data'!K849</f>
        <v>6</v>
      </c>
      <c r="L850" s="3" t="n">
        <f aca="false">'1. Raw Data'!L849</f>
        <v>1</v>
      </c>
      <c r="M850" s="3" t="n">
        <f aca="false">'1. Raw Data'!M849</f>
        <v>1</v>
      </c>
      <c r="N850" s="3" t="str">
        <f aca="false">'1. Raw Data'!N849</f>
        <v>No</v>
      </c>
    </row>
    <row r="851" customFormat="false" ht="15" hidden="false" customHeight="false" outlineLevel="0" collapsed="false">
      <c r="A851" s="3" t="str">
        <f aca="false">'1. Raw Data'!A850</f>
        <v>EMP-0849</v>
      </c>
      <c r="B851" s="3" t="n">
        <f aca="false">'1. Raw Data'!B850</f>
        <v>21</v>
      </c>
      <c r="C851" s="3" t="str">
        <f aca="false">'1. Raw Data'!C850</f>
        <v>Sales</v>
      </c>
      <c r="D851" s="3" t="str">
        <f aca="false">'1. Raw Data'!D850</f>
        <v>Junior</v>
      </c>
      <c r="E851" s="3" t="str">
        <f aca="false">'1. Raw Data'!E850</f>
        <v>Business</v>
      </c>
      <c r="F851" s="3" t="n">
        <f aca="false">'1. Raw Data'!F850</f>
        <v>0</v>
      </c>
      <c r="G851" s="3" t="n">
        <f aca="false">IF('1. Raw Data'!G850="",ROUND(IFERROR(AVERAGEIFS('1. Raw Data'!G2:G1201,'1. Raw Data'!C2:C1201,'1. Raw Data'!C850,'1. Raw Data'!D2:D1201,'1. Raw Data'!D850),0),2),'1. Raw Data'!G850)</f>
        <v>3734.15</v>
      </c>
      <c r="H851" s="3" t="str">
        <f aca="false">PROPER('1. Raw Data'!H850)</f>
        <v>No</v>
      </c>
      <c r="I851" s="3" t="n">
        <f aca="false">'1. Raw Data'!I850</f>
        <v>2</v>
      </c>
      <c r="J851" s="3" t="n">
        <f aca="false">'1. Raw Data'!J850</f>
        <v>4</v>
      </c>
      <c r="K851" s="3" t="n">
        <f aca="false">'1. Raw Data'!K850</f>
        <v>3</v>
      </c>
      <c r="L851" s="3" t="n">
        <f aca="false">'1. Raw Data'!L850</f>
        <v>0</v>
      </c>
      <c r="M851" s="3" t="n">
        <f aca="false">'1. Raw Data'!M850</f>
        <v>3</v>
      </c>
      <c r="N851" s="3" t="str">
        <f aca="false">'1. Raw Data'!N850</f>
        <v>Yes</v>
      </c>
    </row>
    <row r="852" customFormat="false" ht="15" hidden="false" customHeight="false" outlineLevel="0" collapsed="false">
      <c r="A852" s="3" t="str">
        <f aca="false">'1. Raw Data'!A851</f>
        <v>EMP-0850</v>
      </c>
      <c r="B852" s="3" t="n">
        <f aca="false">'1. Raw Data'!B851</f>
        <v>32</v>
      </c>
      <c r="C852" s="3" t="str">
        <f aca="false">'1. Raw Data'!C851</f>
        <v>Customer Support</v>
      </c>
      <c r="D852" s="3" t="str">
        <f aca="false">'1. Raw Data'!D851</f>
        <v>Mid</v>
      </c>
      <c r="E852" s="3" t="str">
        <f aca="false">'1. Raw Data'!E851</f>
        <v>Marketing</v>
      </c>
      <c r="F852" s="3" t="n">
        <f aca="false">'1. Raw Data'!F851</f>
        <v>0.1</v>
      </c>
      <c r="G852" s="3" t="n">
        <f aca="false">IF('1. Raw Data'!G851="",ROUND(IFERROR(AVERAGEIFS('1. Raw Data'!G2:G1201,'1. Raw Data'!C2:C1201,'1. Raw Data'!C851,'1. Raw Data'!D2:D1201,'1. Raw Data'!D851),0),2),'1. Raw Data'!G851)</f>
        <v>4739.42</v>
      </c>
      <c r="H852" s="3" t="str">
        <f aca="false">PROPER('1. Raw Data'!H851)</f>
        <v>Yes</v>
      </c>
      <c r="I852" s="3" t="n">
        <f aca="false">'1. Raw Data'!I851</f>
        <v>3</v>
      </c>
      <c r="J852" s="3" t="n">
        <f aca="false">'1. Raw Data'!J851</f>
        <v>3</v>
      </c>
      <c r="K852" s="3" t="n">
        <f aca="false">'1. Raw Data'!K851</f>
        <v>1</v>
      </c>
      <c r="L852" s="3" t="n">
        <f aca="false">'1. Raw Data'!L851</f>
        <v>0</v>
      </c>
      <c r="M852" s="3" t="n">
        <f aca="false">'1. Raw Data'!M851</f>
        <v>2</v>
      </c>
      <c r="N852" s="3" t="str">
        <f aca="false">'1. Raw Data'!N851</f>
        <v>Yes</v>
      </c>
    </row>
    <row r="853" customFormat="false" ht="15" hidden="false" customHeight="false" outlineLevel="0" collapsed="false">
      <c r="A853" s="3" t="str">
        <f aca="false">'1. Raw Data'!A852</f>
        <v>EMP-0851</v>
      </c>
      <c r="B853" s="3" t="n">
        <f aca="false">'1. Raw Data'!B852</f>
        <v>42</v>
      </c>
      <c r="C853" s="3" t="str">
        <f aca="false">'1. Raw Data'!C852</f>
        <v>Sales</v>
      </c>
      <c r="D853" s="3" t="str">
        <f aca="false">'1. Raw Data'!D852</f>
        <v>Junior</v>
      </c>
      <c r="E853" s="3" t="str">
        <f aca="false">'1. Raw Data'!E852</f>
        <v>Technical</v>
      </c>
      <c r="F853" s="3" t="n">
        <f aca="false">'1. Raw Data'!F852</f>
        <v>5.3</v>
      </c>
      <c r="G853" s="3" t="n">
        <f aca="false">IF('1. Raw Data'!G852="",ROUND(IFERROR(AVERAGEIFS('1. Raw Data'!G2:G1201,'1. Raw Data'!C2:C1201,'1. Raw Data'!C852,'1. Raw Data'!D2:D1201,'1. Raw Data'!D852),0),2),'1. Raw Data'!G852)</f>
        <v>2997.44</v>
      </c>
      <c r="H853" s="3" t="str">
        <f aca="false">PROPER('1. Raw Data'!H852)</f>
        <v>Yes</v>
      </c>
      <c r="I853" s="3" t="n">
        <f aca="false">'1. Raw Data'!I852</f>
        <v>1</v>
      </c>
      <c r="J853" s="3" t="n">
        <f aca="false">'1. Raw Data'!J852</f>
        <v>4</v>
      </c>
      <c r="K853" s="3" t="n">
        <f aca="false">'1. Raw Data'!K852</f>
        <v>9</v>
      </c>
      <c r="L853" s="3" t="n">
        <f aca="false">'1. Raw Data'!L852</f>
        <v>2</v>
      </c>
      <c r="M853" s="3" t="n">
        <f aca="false">'1. Raw Data'!M852</f>
        <v>1</v>
      </c>
      <c r="N853" s="3" t="str">
        <f aca="false">'1. Raw Data'!N852</f>
        <v>No</v>
      </c>
    </row>
    <row r="854" customFormat="false" ht="15" hidden="false" customHeight="false" outlineLevel="0" collapsed="false">
      <c r="A854" s="3" t="str">
        <f aca="false">'1. Raw Data'!A853</f>
        <v>EMP-0852</v>
      </c>
      <c r="B854" s="3" t="n">
        <f aca="false">'1. Raw Data'!B853</f>
        <v>43</v>
      </c>
      <c r="C854" s="3" t="str">
        <f aca="false">'1. Raw Data'!C853</f>
        <v>Marketing</v>
      </c>
      <c r="D854" s="3" t="str">
        <f aca="false">'1. Raw Data'!D853</f>
        <v>Junior</v>
      </c>
      <c r="E854" s="3" t="str">
        <f aca="false">'1. Raw Data'!E853</f>
        <v>Marketing</v>
      </c>
      <c r="F854" s="3" t="n">
        <f aca="false">'1. Raw Data'!F853</f>
        <v>2.4</v>
      </c>
      <c r="G854" s="3" t="n">
        <f aca="false">IF('1. Raw Data'!G853="",ROUND(IFERROR(AVERAGEIFS('1. Raw Data'!G2:G1201,'1. Raw Data'!C2:C1201,'1. Raw Data'!C853,'1. Raw Data'!D2:D1201,'1. Raw Data'!D853),0),2),'1. Raw Data'!G853)</f>
        <v>3830.27</v>
      </c>
      <c r="H854" s="3" t="str">
        <f aca="false">PROPER('1. Raw Data'!H853)</f>
        <v>No</v>
      </c>
      <c r="I854" s="3" t="n">
        <f aca="false">'1. Raw Data'!I853</f>
        <v>4</v>
      </c>
      <c r="J854" s="3" t="n">
        <f aca="false">'1. Raw Data'!J853</f>
        <v>3</v>
      </c>
      <c r="K854" s="3" t="n">
        <f aca="false">'1. Raw Data'!K853</f>
        <v>5</v>
      </c>
      <c r="L854" s="3" t="n">
        <f aca="false">'1. Raw Data'!L853</f>
        <v>1</v>
      </c>
      <c r="M854" s="3" t="n">
        <f aca="false">'1. Raw Data'!M853</f>
        <v>1</v>
      </c>
      <c r="N854" s="3" t="str">
        <f aca="false">'1. Raw Data'!N853</f>
        <v>No</v>
      </c>
    </row>
    <row r="855" customFormat="false" ht="15" hidden="false" customHeight="false" outlineLevel="0" collapsed="false">
      <c r="A855" s="3" t="str">
        <f aca="false">'1. Raw Data'!A854</f>
        <v>EMP-0853</v>
      </c>
      <c r="B855" s="3" t="n">
        <f aca="false">'1. Raw Data'!B854</f>
        <v>30</v>
      </c>
      <c r="C855" s="3" t="str">
        <f aca="false">'1. Raw Data'!C854</f>
        <v>Sales</v>
      </c>
      <c r="D855" s="3" t="str">
        <f aca="false">'1. Raw Data'!D854</f>
        <v>Senior</v>
      </c>
      <c r="E855" s="3" t="str">
        <f aca="false">'1. Raw Data'!E854</f>
        <v>Marketing</v>
      </c>
      <c r="F855" s="3" t="n">
        <f aca="false">'1. Raw Data'!F854</f>
        <v>4.6</v>
      </c>
      <c r="G855" s="3" t="n">
        <f aca="false">IF('1. Raw Data'!G854="",ROUND(IFERROR(AVERAGEIFS('1. Raw Data'!G2:G1201,'1. Raw Data'!C2:C1201,'1. Raw Data'!C854,'1. Raw Data'!D2:D1201,'1. Raw Data'!D854),0),2),'1. Raw Data'!G854)</f>
        <v>6621.25</v>
      </c>
      <c r="H855" s="3" t="str">
        <f aca="false">PROPER('1. Raw Data'!H854)</f>
        <v>Yes</v>
      </c>
      <c r="I855" s="3" t="n">
        <f aca="false">'1. Raw Data'!I854</f>
        <v>4</v>
      </c>
      <c r="J855" s="3" t="n">
        <f aca="false">'1. Raw Data'!J854</f>
        <v>3</v>
      </c>
      <c r="K855" s="3" t="n">
        <f aca="false">'1. Raw Data'!K854</f>
        <v>14</v>
      </c>
      <c r="L855" s="3" t="n">
        <f aca="false">'1. Raw Data'!L854</f>
        <v>0</v>
      </c>
      <c r="M855" s="3" t="n">
        <f aca="false">'1. Raw Data'!M854</f>
        <v>3</v>
      </c>
      <c r="N855" s="3" t="str">
        <f aca="false">'1. Raw Data'!N854</f>
        <v>No</v>
      </c>
    </row>
    <row r="856" customFormat="false" ht="15" hidden="false" customHeight="false" outlineLevel="0" collapsed="false">
      <c r="A856" s="3" t="str">
        <f aca="false">'1. Raw Data'!A855</f>
        <v>EMP-0854</v>
      </c>
      <c r="B856" s="3" t="n">
        <f aca="false">'1. Raw Data'!B855</f>
        <v>31</v>
      </c>
      <c r="C856" s="3" t="str">
        <f aca="false">'1. Raw Data'!C855</f>
        <v>Customer Support</v>
      </c>
      <c r="D856" s="3" t="str">
        <f aca="false">'1. Raw Data'!D855</f>
        <v>Mid</v>
      </c>
      <c r="E856" s="3" t="str">
        <f aca="false">'1. Raw Data'!E855</f>
        <v>Marketing</v>
      </c>
      <c r="F856" s="3" t="n">
        <f aca="false">'1. Raw Data'!F855</f>
        <v>3.7</v>
      </c>
      <c r="G856" s="3" t="n">
        <f aca="false">IF('1. Raw Data'!G855="",ROUND(IFERROR(AVERAGEIFS('1. Raw Data'!G2:G1201,'1. Raw Data'!C2:C1201,'1. Raw Data'!C855,'1. Raw Data'!D2:D1201,'1. Raw Data'!D855),0),2),'1. Raw Data'!G855)</f>
        <v>5221.2</v>
      </c>
      <c r="H856" s="3" t="str">
        <f aca="false">PROPER('1. Raw Data'!H855)</f>
        <v>Yes</v>
      </c>
      <c r="I856" s="3" t="n">
        <f aca="false">'1. Raw Data'!I855</f>
        <v>4</v>
      </c>
      <c r="J856" s="3" t="n">
        <f aca="false">'1. Raw Data'!J855</f>
        <v>4</v>
      </c>
      <c r="K856" s="3" t="n">
        <f aca="false">'1. Raw Data'!K855</f>
        <v>4</v>
      </c>
      <c r="L856" s="3" t="n">
        <f aca="false">'1. Raw Data'!L855</f>
        <v>0</v>
      </c>
      <c r="M856" s="3" t="n">
        <f aca="false">'1. Raw Data'!M855</f>
        <v>3</v>
      </c>
      <c r="N856" s="3" t="str">
        <f aca="false">'1. Raw Data'!N855</f>
        <v>Yes</v>
      </c>
    </row>
    <row r="857" customFormat="false" ht="15" hidden="false" customHeight="false" outlineLevel="0" collapsed="false">
      <c r="A857" s="3" t="str">
        <f aca="false">'1. Raw Data'!A856</f>
        <v>EMP-0855</v>
      </c>
      <c r="B857" s="3" t="n">
        <f aca="false">'1. Raw Data'!B856</f>
        <v>42</v>
      </c>
      <c r="C857" s="3" t="str">
        <f aca="false">'1. Raw Data'!C856</f>
        <v>Customer Support</v>
      </c>
      <c r="D857" s="3" t="str">
        <f aca="false">'1. Raw Data'!D856</f>
        <v>Mid</v>
      </c>
      <c r="E857" s="3" t="str">
        <f aca="false">'1. Raw Data'!E856</f>
        <v>Technical</v>
      </c>
      <c r="F857" s="3" t="n">
        <f aca="false">'1. Raw Data'!F856</f>
        <v>5</v>
      </c>
      <c r="G857" s="3" t="n">
        <f aca="false">IF('1. Raw Data'!G856="",ROUND(IFERROR(AVERAGEIFS('1. Raw Data'!G2:G1201,'1. Raw Data'!C2:C1201,'1. Raw Data'!C856,'1. Raw Data'!D2:D1201,'1. Raw Data'!D856),0),2),'1. Raw Data'!G856)</f>
        <v>4799.84</v>
      </c>
      <c r="H857" s="3" t="str">
        <f aca="false">PROPER('1. Raw Data'!H856)</f>
        <v>No</v>
      </c>
      <c r="I857" s="3" t="n">
        <f aca="false">'1. Raw Data'!I856</f>
        <v>3</v>
      </c>
      <c r="J857" s="3" t="n">
        <f aca="false">'1. Raw Data'!J856</f>
        <v>3</v>
      </c>
      <c r="K857" s="3" t="n">
        <f aca="false">'1. Raw Data'!K856</f>
        <v>1</v>
      </c>
      <c r="L857" s="3" t="n">
        <f aca="false">'1. Raw Data'!L856</f>
        <v>3</v>
      </c>
      <c r="M857" s="3" t="n">
        <f aca="false">'1. Raw Data'!M856</f>
        <v>4</v>
      </c>
      <c r="N857" s="3" t="str">
        <f aca="false">'1. Raw Data'!N856</f>
        <v>No</v>
      </c>
    </row>
    <row r="858" customFormat="false" ht="15" hidden="false" customHeight="false" outlineLevel="0" collapsed="false">
      <c r="A858" s="3" t="str">
        <f aca="false">'1. Raw Data'!A857</f>
        <v>EMP-0856</v>
      </c>
      <c r="B858" s="3" t="n">
        <f aca="false">'1. Raw Data'!B857</f>
        <v>27</v>
      </c>
      <c r="C858" s="3" t="str">
        <f aca="false">'1. Raw Data'!C857</f>
        <v>Marketing</v>
      </c>
      <c r="D858" s="3" t="str">
        <f aca="false">'1. Raw Data'!D857</f>
        <v>Lead</v>
      </c>
      <c r="E858" s="3" t="str">
        <f aca="false">'1. Raw Data'!E857</f>
        <v>Business</v>
      </c>
      <c r="F858" s="3" t="n">
        <f aca="false">'1. Raw Data'!F857</f>
        <v>6</v>
      </c>
      <c r="G858" s="3" t="n">
        <f aca="false">IF('1. Raw Data'!G857="",ROUND(IFERROR(AVERAGEIFS('1. Raw Data'!G2:G1201,'1. Raw Data'!C2:C1201,'1. Raw Data'!C857,'1. Raw Data'!D2:D1201,'1. Raw Data'!D857),0),2),'1. Raw Data'!G857)</f>
        <v>8525.74</v>
      </c>
      <c r="H858" s="3" t="str">
        <f aca="false">PROPER('1. Raw Data'!H857)</f>
        <v>No</v>
      </c>
      <c r="I858" s="3" t="n">
        <f aca="false">'1. Raw Data'!I857</f>
        <v>2</v>
      </c>
      <c r="J858" s="3" t="n">
        <f aca="false">'1. Raw Data'!J857</f>
        <v>1</v>
      </c>
      <c r="K858" s="3" t="n">
        <f aca="false">'1. Raw Data'!K857</f>
        <v>3</v>
      </c>
      <c r="L858" s="3" t="n">
        <f aca="false">'1. Raw Data'!L857</f>
        <v>1</v>
      </c>
      <c r="M858" s="3" t="n">
        <f aca="false">'1. Raw Data'!M857</f>
        <v>2</v>
      </c>
      <c r="N858" s="3" t="str">
        <f aca="false">'1. Raw Data'!N857</f>
        <v>No</v>
      </c>
    </row>
    <row r="859" customFormat="false" ht="15" hidden="false" customHeight="false" outlineLevel="0" collapsed="false">
      <c r="A859" s="3" t="str">
        <f aca="false">'1. Raw Data'!A858</f>
        <v>EMP-0857</v>
      </c>
      <c r="B859" s="3" t="n">
        <f aca="false">'1. Raw Data'!B858</f>
        <v>37</v>
      </c>
      <c r="C859" s="3" t="str">
        <f aca="false">'1. Raw Data'!C858</f>
        <v>Finance</v>
      </c>
      <c r="D859" s="3" t="str">
        <f aca="false">'1. Raw Data'!D858</f>
        <v>Junior</v>
      </c>
      <c r="E859" s="3" t="str">
        <f aca="false">'1. Raw Data'!E858</f>
        <v>Marketing</v>
      </c>
      <c r="F859" s="3" t="n">
        <f aca="false">'1. Raw Data'!F858</f>
        <v>9.5</v>
      </c>
      <c r="G859" s="3" t="n">
        <f aca="false">IF('1. Raw Data'!G858="",ROUND(IFERROR(AVERAGEIFS('1. Raw Data'!G2:G1201,'1. Raw Data'!C2:C1201,'1. Raw Data'!C858,'1. Raw Data'!D2:D1201,'1. Raw Data'!D858),0),2),'1. Raw Data'!G858)</f>
        <v>3728.22</v>
      </c>
      <c r="H859" s="3" t="str">
        <f aca="false">PROPER('1. Raw Data'!H858)</f>
        <v>Yes</v>
      </c>
      <c r="I859" s="3" t="n">
        <f aca="false">'1. Raw Data'!I858</f>
        <v>3</v>
      </c>
      <c r="J859" s="3" t="n">
        <f aca="false">'1. Raw Data'!J858</f>
        <v>4</v>
      </c>
      <c r="K859" s="3" t="n">
        <f aca="false">'1. Raw Data'!K858</f>
        <v>2</v>
      </c>
      <c r="L859" s="3" t="n">
        <f aca="false">'1. Raw Data'!L858</f>
        <v>2</v>
      </c>
      <c r="M859" s="3" t="n">
        <f aca="false">'1. Raw Data'!M858</f>
        <v>3</v>
      </c>
      <c r="N859" s="3" t="str">
        <f aca="false">'1. Raw Data'!N858</f>
        <v>Yes</v>
      </c>
    </row>
    <row r="860" customFormat="false" ht="15" hidden="false" customHeight="false" outlineLevel="0" collapsed="false">
      <c r="A860" s="3" t="str">
        <f aca="false">'1. Raw Data'!A859</f>
        <v>EMP-0858</v>
      </c>
      <c r="B860" s="3" t="n">
        <f aca="false">'1. Raw Data'!B859</f>
        <v>34</v>
      </c>
      <c r="C860" s="3" t="str">
        <f aca="false">'1. Raw Data'!C859</f>
        <v>Customer Support</v>
      </c>
      <c r="D860" s="3" t="str">
        <f aca="false">'1. Raw Data'!D859</f>
        <v>Junior</v>
      </c>
      <c r="E860" s="3" t="str">
        <f aca="false">'1. Raw Data'!E859</f>
        <v>Other</v>
      </c>
      <c r="F860" s="3" t="n">
        <f aca="false">'1. Raw Data'!F859</f>
        <v>0.8</v>
      </c>
      <c r="G860" s="3" t="n">
        <f aca="false">IF('1. Raw Data'!G859="",ROUND(IFERROR(AVERAGEIFS('1. Raw Data'!G2:G1201,'1. Raw Data'!C2:C1201,'1. Raw Data'!C859,'1. Raw Data'!D2:D1201,'1. Raw Data'!D859),0),2),'1. Raw Data'!G859)</f>
        <v>3639.16</v>
      </c>
      <c r="H860" s="3" t="str">
        <f aca="false">PROPER('1. Raw Data'!H859)</f>
        <v>Yes</v>
      </c>
      <c r="I860" s="3" t="n">
        <f aca="false">'1. Raw Data'!I859</f>
        <v>1</v>
      </c>
      <c r="J860" s="3" t="n">
        <f aca="false">'1. Raw Data'!J859</f>
        <v>3</v>
      </c>
      <c r="K860" s="3" t="n">
        <f aca="false">'1. Raw Data'!K859</f>
        <v>8</v>
      </c>
      <c r="L860" s="3" t="n">
        <f aca="false">'1. Raw Data'!L859</f>
        <v>0</v>
      </c>
      <c r="M860" s="3" t="n">
        <f aca="false">'1. Raw Data'!M859</f>
        <v>4</v>
      </c>
      <c r="N860" s="3" t="str">
        <f aca="false">'1. Raw Data'!N859</f>
        <v>Yes</v>
      </c>
    </row>
    <row r="861" customFormat="false" ht="15" hidden="false" customHeight="false" outlineLevel="0" collapsed="false">
      <c r="A861" s="3" t="str">
        <f aca="false">'1. Raw Data'!A860</f>
        <v>EMP-0859</v>
      </c>
      <c r="B861" s="3" t="n">
        <f aca="false">'1. Raw Data'!B860</f>
        <v>28</v>
      </c>
      <c r="C861" s="3" t="str">
        <f aca="false">'1. Raw Data'!C860</f>
        <v>Marketing</v>
      </c>
      <c r="D861" s="3" t="str">
        <f aca="false">'1. Raw Data'!D860</f>
        <v>Mid</v>
      </c>
      <c r="E861" s="3" t="str">
        <f aca="false">'1. Raw Data'!E860</f>
        <v>Technical</v>
      </c>
      <c r="F861" s="3" t="n">
        <f aca="false">'1. Raw Data'!F860</f>
        <v>3.2</v>
      </c>
      <c r="G861" s="3" t="n">
        <f aca="false">IF('1. Raw Data'!G860="",ROUND(IFERROR(AVERAGEIFS('1. Raw Data'!G2:G1201,'1. Raw Data'!C2:C1201,'1. Raw Data'!C860,'1. Raw Data'!D2:D1201,'1. Raw Data'!D860),0),2),'1. Raw Data'!G860)</f>
        <v>4724.95</v>
      </c>
      <c r="H861" s="3" t="str">
        <f aca="false">PROPER('1. Raw Data'!H860)</f>
        <v>No</v>
      </c>
      <c r="I861" s="3" t="n">
        <f aca="false">'1. Raw Data'!I860</f>
        <v>4</v>
      </c>
      <c r="J861" s="3" t="n">
        <f aca="false">'1. Raw Data'!J860</f>
        <v>3</v>
      </c>
      <c r="K861" s="3" t="n">
        <f aca="false">'1. Raw Data'!K860</f>
        <v>33</v>
      </c>
      <c r="L861" s="3" t="n">
        <f aca="false">'1. Raw Data'!L860</f>
        <v>1</v>
      </c>
      <c r="M861" s="3" t="n">
        <f aca="false">'1. Raw Data'!M860</f>
        <v>6</v>
      </c>
      <c r="N861" s="3" t="str">
        <f aca="false">'1. Raw Data'!N860</f>
        <v>No</v>
      </c>
    </row>
    <row r="862" customFormat="false" ht="15" hidden="false" customHeight="false" outlineLevel="0" collapsed="false">
      <c r="A862" s="3" t="str">
        <f aca="false">'1. Raw Data'!A861</f>
        <v>EMP-0860</v>
      </c>
      <c r="B862" s="3" t="n">
        <f aca="false">'1. Raw Data'!B861</f>
        <v>32</v>
      </c>
      <c r="C862" s="3" t="str">
        <f aca="false">'1. Raw Data'!C861</f>
        <v>Engineering</v>
      </c>
      <c r="D862" s="3" t="str">
        <f aca="false">'1. Raw Data'!D861</f>
        <v>Junior</v>
      </c>
      <c r="E862" s="3" t="str">
        <f aca="false">'1. Raw Data'!E861</f>
        <v>Business</v>
      </c>
      <c r="F862" s="3" t="n">
        <f aca="false">'1. Raw Data'!F861</f>
        <v>1.6</v>
      </c>
      <c r="G862" s="3" t="n">
        <f aca="false">IF('1. Raw Data'!G861="",ROUND(IFERROR(AVERAGEIFS('1. Raw Data'!G2:G1201,'1. Raw Data'!C2:C1201,'1. Raw Data'!C861,'1. Raw Data'!D2:D1201,'1. Raw Data'!D861),0),2),'1. Raw Data'!G861)</f>
        <v>3227.45</v>
      </c>
      <c r="H862" s="3" t="str">
        <f aca="false">PROPER('1. Raw Data'!H861)</f>
        <v>No</v>
      </c>
      <c r="I862" s="3" t="n">
        <f aca="false">'1. Raw Data'!I861</f>
        <v>4</v>
      </c>
      <c r="J862" s="3" t="n">
        <f aca="false">'1. Raw Data'!J861</f>
        <v>3</v>
      </c>
      <c r="K862" s="3" t="n">
        <f aca="false">'1. Raw Data'!K861</f>
        <v>8</v>
      </c>
      <c r="L862" s="3" t="n">
        <f aca="false">'1. Raw Data'!L861</f>
        <v>0</v>
      </c>
      <c r="M862" s="3" t="n">
        <f aca="false">'1. Raw Data'!M861</f>
        <v>1</v>
      </c>
      <c r="N862" s="3" t="str">
        <f aca="false">'1. Raw Data'!N861</f>
        <v>No</v>
      </c>
    </row>
    <row r="863" customFormat="false" ht="15" hidden="false" customHeight="false" outlineLevel="0" collapsed="false">
      <c r="A863" s="3" t="str">
        <f aca="false">'1. Raw Data'!A862</f>
        <v>EMP-0861</v>
      </c>
      <c r="B863" s="3" t="n">
        <f aca="false">'1. Raw Data'!B862</f>
        <v>33</v>
      </c>
      <c r="C863" s="3" t="str">
        <f aca="false">'1. Raw Data'!C862</f>
        <v>Finance</v>
      </c>
      <c r="D863" s="3" t="str">
        <f aca="false">'1. Raw Data'!D862</f>
        <v>Junior</v>
      </c>
      <c r="E863" s="3" t="str">
        <f aca="false">'1. Raw Data'!E862</f>
        <v>Other</v>
      </c>
      <c r="F863" s="3" t="n">
        <f aca="false">'1. Raw Data'!F862</f>
        <v>8.5</v>
      </c>
      <c r="G863" s="3" t="n">
        <f aca="false">IF('1. Raw Data'!G862="",ROUND(IFERROR(AVERAGEIFS('1. Raw Data'!G2:G1201,'1. Raw Data'!C2:C1201,'1. Raw Data'!C862,'1. Raw Data'!D2:D1201,'1. Raw Data'!D862),0),2),'1. Raw Data'!G862)</f>
        <v>3566.75</v>
      </c>
      <c r="H863" s="3" t="str">
        <f aca="false">PROPER('1. Raw Data'!H862)</f>
        <v>No</v>
      </c>
      <c r="I863" s="3" t="n">
        <f aca="false">'1. Raw Data'!I862</f>
        <v>4</v>
      </c>
      <c r="J863" s="3" t="n">
        <f aca="false">'1. Raw Data'!J862</f>
        <v>2</v>
      </c>
      <c r="K863" s="3" t="n">
        <f aca="false">'1. Raw Data'!K862</f>
        <v>7</v>
      </c>
      <c r="L863" s="3" t="n">
        <f aca="false">'1. Raw Data'!L862</f>
        <v>0</v>
      </c>
      <c r="M863" s="3" t="n">
        <f aca="false">'1. Raw Data'!M862</f>
        <v>3</v>
      </c>
      <c r="N863" s="3" t="str">
        <f aca="false">'1. Raw Data'!N862</f>
        <v>No</v>
      </c>
    </row>
    <row r="864" customFormat="false" ht="15" hidden="false" customHeight="false" outlineLevel="0" collapsed="false">
      <c r="A864" s="3" t="str">
        <f aca="false">'1. Raw Data'!A863</f>
        <v>EMP-0862</v>
      </c>
      <c r="B864" s="3" t="n">
        <f aca="false">'1. Raw Data'!B863</f>
        <v>34</v>
      </c>
      <c r="C864" s="3" t="str">
        <f aca="false">'1. Raw Data'!C863</f>
        <v>HR</v>
      </c>
      <c r="D864" s="3" t="str">
        <f aca="false">'1. Raw Data'!D863</f>
        <v>Junior</v>
      </c>
      <c r="E864" s="3" t="str">
        <f aca="false">'1. Raw Data'!E863</f>
        <v>Marketing</v>
      </c>
      <c r="F864" s="3" t="n">
        <f aca="false">'1. Raw Data'!F863</f>
        <v>8.2</v>
      </c>
      <c r="G864" s="3" t="n">
        <f aca="false">IF('1. Raw Data'!G863="",ROUND(IFERROR(AVERAGEIFS('1. Raw Data'!G2:G1201,'1. Raw Data'!C2:C1201,'1. Raw Data'!C863,'1. Raw Data'!D2:D1201,'1. Raw Data'!D863),0),2),'1. Raw Data'!G863)</f>
        <v>3682.62</v>
      </c>
      <c r="H864" s="3" t="str">
        <f aca="false">PROPER('1. Raw Data'!H863)</f>
        <v>No</v>
      </c>
      <c r="I864" s="3" t="n">
        <f aca="false">'1. Raw Data'!I863</f>
        <v>1</v>
      </c>
      <c r="J864" s="3" t="n">
        <f aca="false">'1. Raw Data'!J863</f>
        <v>4</v>
      </c>
      <c r="K864" s="3" t="n">
        <f aca="false">'1. Raw Data'!K863</f>
        <v>3</v>
      </c>
      <c r="L864" s="3" t="n">
        <f aca="false">'1. Raw Data'!L863</f>
        <v>0</v>
      </c>
      <c r="M864" s="3" t="n">
        <f aca="false">'1. Raw Data'!M863</f>
        <v>1</v>
      </c>
      <c r="N864" s="3" t="str">
        <f aca="false">'1. Raw Data'!N863</f>
        <v>No</v>
      </c>
    </row>
    <row r="865" customFormat="false" ht="15" hidden="false" customHeight="false" outlineLevel="0" collapsed="false">
      <c r="A865" s="3" t="str">
        <f aca="false">'1. Raw Data'!A864</f>
        <v>EMP-0863</v>
      </c>
      <c r="B865" s="3" t="n">
        <f aca="false">'1. Raw Data'!B864</f>
        <v>32</v>
      </c>
      <c r="C865" s="3" t="str">
        <f aca="false">'1. Raw Data'!C864</f>
        <v>Customer Support</v>
      </c>
      <c r="D865" s="3" t="str">
        <f aca="false">'1. Raw Data'!D864</f>
        <v>Lead</v>
      </c>
      <c r="E865" s="3" t="str">
        <f aca="false">'1. Raw Data'!E864</f>
        <v>Marketing</v>
      </c>
      <c r="F865" s="3" t="n">
        <f aca="false">'1. Raw Data'!F864</f>
        <v>0.5</v>
      </c>
      <c r="G865" s="3" t="n">
        <f aca="false">IF('1. Raw Data'!G864="",ROUND(IFERROR(AVERAGEIFS('1. Raw Data'!G2:G1201,'1. Raw Data'!C2:C1201,'1. Raw Data'!C864,'1. Raw Data'!D2:D1201,'1. Raw Data'!D864),0),2),'1. Raw Data'!G864)</f>
        <v>8632.12</v>
      </c>
      <c r="H865" s="3" t="str">
        <f aca="false">PROPER('1. Raw Data'!H864)</f>
        <v>No</v>
      </c>
      <c r="I865" s="3" t="n">
        <f aca="false">'1. Raw Data'!I864</f>
        <v>4</v>
      </c>
      <c r="J865" s="3" t="n">
        <f aca="false">'1. Raw Data'!J864</f>
        <v>3</v>
      </c>
      <c r="K865" s="3" t="n">
        <f aca="false">'1. Raw Data'!K864</f>
        <v>18</v>
      </c>
      <c r="L865" s="3" t="n">
        <f aca="false">'1. Raw Data'!L864</f>
        <v>0</v>
      </c>
      <c r="M865" s="3" t="n">
        <f aca="false">'1. Raw Data'!M864</f>
        <v>2</v>
      </c>
      <c r="N865" s="3" t="str">
        <f aca="false">'1. Raw Data'!N864</f>
        <v>No</v>
      </c>
    </row>
    <row r="866" customFormat="false" ht="15" hidden="false" customHeight="false" outlineLevel="0" collapsed="false">
      <c r="A866" s="3" t="str">
        <f aca="false">'1. Raw Data'!A865</f>
        <v>EMP-0864</v>
      </c>
      <c r="B866" s="3" t="n">
        <f aca="false">'1. Raw Data'!B865</f>
        <v>34</v>
      </c>
      <c r="C866" s="3" t="str">
        <f aca="false">'1. Raw Data'!C865</f>
        <v>Customer Support</v>
      </c>
      <c r="D866" s="3" t="str">
        <f aca="false">'1. Raw Data'!D865</f>
        <v>Mid</v>
      </c>
      <c r="E866" s="3" t="str">
        <f aca="false">'1. Raw Data'!E865</f>
        <v>Other</v>
      </c>
      <c r="F866" s="3" t="n">
        <f aca="false">'1. Raw Data'!F865</f>
        <v>1.2</v>
      </c>
      <c r="G866" s="3" t="n">
        <f aca="false">IF('1. Raw Data'!G865="",ROUND(IFERROR(AVERAGEIFS('1. Raw Data'!G2:G1201,'1. Raw Data'!C2:C1201,'1. Raw Data'!C865,'1. Raw Data'!D2:D1201,'1. Raw Data'!D865),0),2),'1. Raw Data'!G865)</f>
        <v>4592.73</v>
      </c>
      <c r="H866" s="3" t="str">
        <f aca="false">PROPER('1. Raw Data'!H865)</f>
        <v>No</v>
      </c>
      <c r="I866" s="3" t="n">
        <f aca="false">'1. Raw Data'!I865</f>
        <v>2</v>
      </c>
      <c r="J866" s="3" t="n">
        <f aca="false">'1. Raw Data'!J865</f>
        <v>2</v>
      </c>
      <c r="K866" s="3" t="n">
        <f aca="false">'1. Raw Data'!K865</f>
        <v>1</v>
      </c>
      <c r="L866" s="3" t="n">
        <f aca="false">'1. Raw Data'!L865</f>
        <v>1</v>
      </c>
      <c r="M866" s="3" t="n">
        <f aca="false">'1. Raw Data'!M865</f>
        <v>5</v>
      </c>
      <c r="N866" s="3" t="str">
        <f aca="false">'1. Raw Data'!N865</f>
        <v>No</v>
      </c>
    </row>
    <row r="867" customFormat="false" ht="15" hidden="false" customHeight="false" outlineLevel="0" collapsed="false">
      <c r="A867" s="3" t="str">
        <f aca="false">'1. Raw Data'!A866</f>
        <v>EMP-0865</v>
      </c>
      <c r="B867" s="3" t="n">
        <f aca="false">'1. Raw Data'!B866</f>
        <v>30</v>
      </c>
      <c r="C867" s="3" t="str">
        <f aca="false">'1. Raw Data'!C866</f>
        <v>Engineering</v>
      </c>
      <c r="D867" s="3" t="str">
        <f aca="false">'1. Raw Data'!D866</f>
        <v>Junior</v>
      </c>
      <c r="E867" s="3" t="str">
        <f aca="false">'1. Raw Data'!E866</f>
        <v>Technical</v>
      </c>
      <c r="F867" s="3" t="n">
        <f aca="false">'1. Raw Data'!F866</f>
        <v>5.1</v>
      </c>
      <c r="G867" s="3" t="n">
        <f aca="false">IF('1. Raw Data'!G866="",ROUND(IFERROR(AVERAGEIFS('1. Raw Data'!G2:G1201,'1. Raw Data'!C2:C1201,'1. Raw Data'!C866,'1. Raw Data'!D2:D1201,'1. Raw Data'!D866),0),2),'1. Raw Data'!G866)</f>
        <v>3546.85</v>
      </c>
      <c r="H867" s="3" t="str">
        <f aca="false">PROPER('1. Raw Data'!H866)</f>
        <v>Yes</v>
      </c>
      <c r="I867" s="3" t="n">
        <f aca="false">'1. Raw Data'!I866</f>
        <v>2</v>
      </c>
      <c r="J867" s="3" t="n">
        <f aca="false">'1. Raw Data'!J866</f>
        <v>4</v>
      </c>
      <c r="K867" s="3" t="n">
        <f aca="false">'1. Raw Data'!K866</f>
        <v>22</v>
      </c>
      <c r="L867" s="3" t="n">
        <f aca="false">'1. Raw Data'!L866</f>
        <v>4</v>
      </c>
      <c r="M867" s="3" t="n">
        <f aca="false">'1. Raw Data'!M866</f>
        <v>3</v>
      </c>
      <c r="N867" s="3" t="str">
        <f aca="false">'1. Raw Data'!N866</f>
        <v>No</v>
      </c>
    </row>
    <row r="868" customFormat="false" ht="15" hidden="false" customHeight="false" outlineLevel="0" collapsed="false">
      <c r="A868" s="3" t="str">
        <f aca="false">'1. Raw Data'!A867</f>
        <v>EMP-0866</v>
      </c>
      <c r="B868" s="3" t="n">
        <f aca="false">'1. Raw Data'!B867</f>
        <v>29</v>
      </c>
      <c r="C868" s="3" t="str">
        <f aca="false">'1. Raw Data'!C867</f>
        <v>Customer Support</v>
      </c>
      <c r="D868" s="3" t="str">
        <f aca="false">'1. Raw Data'!D867</f>
        <v>Junior</v>
      </c>
      <c r="E868" s="3" t="str">
        <f aca="false">'1. Raw Data'!E867</f>
        <v>Marketing</v>
      </c>
      <c r="F868" s="3" t="n">
        <f aca="false">'1. Raw Data'!F867</f>
        <v>1.1</v>
      </c>
      <c r="G868" s="3" t="n">
        <f aca="false">IF('1. Raw Data'!G867="",ROUND(IFERROR(AVERAGEIFS('1. Raw Data'!G2:G1201,'1. Raw Data'!C2:C1201,'1. Raw Data'!C867,'1. Raw Data'!D2:D1201,'1. Raw Data'!D867),0),2),'1. Raw Data'!G867)</f>
        <v>3462.63</v>
      </c>
      <c r="H868" s="3" t="str">
        <f aca="false">PROPER('1. Raw Data'!H867)</f>
        <v>Yes</v>
      </c>
      <c r="I868" s="3" t="n">
        <f aca="false">'1. Raw Data'!I867</f>
        <v>2</v>
      </c>
      <c r="J868" s="3" t="n">
        <f aca="false">'1. Raw Data'!J867</f>
        <v>2</v>
      </c>
      <c r="K868" s="3" t="n">
        <f aca="false">'1. Raw Data'!K867</f>
        <v>1</v>
      </c>
      <c r="L868" s="3" t="n">
        <f aca="false">'1. Raw Data'!L867</f>
        <v>1</v>
      </c>
      <c r="M868" s="3" t="n">
        <f aca="false">'1. Raw Data'!M867</f>
        <v>5</v>
      </c>
      <c r="N868" s="3" t="str">
        <f aca="false">'1. Raw Data'!N867</f>
        <v>Yes</v>
      </c>
    </row>
    <row r="869" customFormat="false" ht="15" hidden="false" customHeight="false" outlineLevel="0" collapsed="false">
      <c r="A869" s="3" t="str">
        <f aca="false">'1. Raw Data'!A868</f>
        <v>EMP-0867</v>
      </c>
      <c r="B869" s="3" t="n">
        <f aca="false">'1. Raw Data'!B868</f>
        <v>49</v>
      </c>
      <c r="C869" s="3" t="str">
        <f aca="false">'1. Raw Data'!C868</f>
        <v>Customer Support</v>
      </c>
      <c r="D869" s="3" t="str">
        <f aca="false">'1. Raw Data'!D868</f>
        <v>Junior</v>
      </c>
      <c r="E869" s="3" t="str">
        <f aca="false">'1. Raw Data'!E868</f>
        <v>Marketing</v>
      </c>
      <c r="F869" s="3" t="n">
        <f aca="false">'1. Raw Data'!F868</f>
        <v>1</v>
      </c>
      <c r="G869" s="3" t="n">
        <f aca="false">IF('1. Raw Data'!G868="",ROUND(IFERROR(AVERAGEIFS('1. Raw Data'!G2:G1201,'1. Raw Data'!C2:C1201,'1. Raw Data'!C868,'1. Raw Data'!D2:D1201,'1. Raw Data'!D868),0),2),'1. Raw Data'!G868)</f>
        <v>2734.41</v>
      </c>
      <c r="H869" s="3" t="str">
        <f aca="false">PROPER('1. Raw Data'!H868)</f>
        <v>Yes</v>
      </c>
      <c r="I869" s="3" t="n">
        <f aca="false">'1. Raw Data'!I868</f>
        <v>4</v>
      </c>
      <c r="J869" s="3" t="n">
        <f aca="false">'1. Raw Data'!J868</f>
        <v>2</v>
      </c>
      <c r="K869" s="3" t="n">
        <f aca="false">'1. Raw Data'!K868</f>
        <v>17</v>
      </c>
      <c r="L869" s="3" t="n">
        <f aca="false">'1. Raw Data'!L868</f>
        <v>0</v>
      </c>
      <c r="M869" s="3" t="n">
        <f aca="false">'1. Raw Data'!M868</f>
        <v>2</v>
      </c>
      <c r="N869" s="3" t="str">
        <f aca="false">'1. Raw Data'!N868</f>
        <v>No</v>
      </c>
    </row>
    <row r="870" customFormat="false" ht="15" hidden="false" customHeight="false" outlineLevel="0" collapsed="false">
      <c r="A870" s="3" t="str">
        <f aca="false">'1. Raw Data'!A869</f>
        <v>EMP-0868</v>
      </c>
      <c r="B870" s="3" t="n">
        <f aca="false">'1. Raw Data'!B869</f>
        <v>36</v>
      </c>
      <c r="C870" s="3" t="str">
        <f aca="false">'1. Raw Data'!C869</f>
        <v>HR</v>
      </c>
      <c r="D870" s="3" t="str">
        <f aca="false">'1. Raw Data'!D869</f>
        <v>Junior</v>
      </c>
      <c r="E870" s="3" t="str">
        <f aca="false">'1. Raw Data'!E869</f>
        <v>Other</v>
      </c>
      <c r="F870" s="3" t="n">
        <f aca="false">'1. Raw Data'!F869</f>
        <v>1.5</v>
      </c>
      <c r="G870" s="3" t="n">
        <f aca="false">IF('1. Raw Data'!G869="",ROUND(IFERROR(AVERAGEIFS('1. Raw Data'!G2:G1201,'1. Raw Data'!C2:C1201,'1. Raw Data'!C869,'1. Raw Data'!D2:D1201,'1. Raw Data'!D869),0),2),'1. Raw Data'!G869)</f>
        <v>3807.62</v>
      </c>
      <c r="H870" s="3" t="str">
        <f aca="false">PROPER('1. Raw Data'!H869)</f>
        <v>No</v>
      </c>
      <c r="I870" s="3" t="n">
        <f aca="false">'1. Raw Data'!I869</f>
        <v>4</v>
      </c>
      <c r="J870" s="3" t="n">
        <f aca="false">'1. Raw Data'!J869</f>
        <v>1</v>
      </c>
      <c r="K870" s="3" t="n">
        <f aca="false">'1. Raw Data'!K869</f>
        <v>3</v>
      </c>
      <c r="L870" s="3" t="n">
        <f aca="false">'1. Raw Data'!L869</f>
        <v>1</v>
      </c>
      <c r="M870" s="3" t="n">
        <f aca="false">'1. Raw Data'!M869</f>
        <v>0</v>
      </c>
      <c r="N870" s="3" t="str">
        <f aca="false">'1. Raw Data'!N869</f>
        <v>No</v>
      </c>
    </row>
    <row r="871" customFormat="false" ht="15" hidden="false" customHeight="false" outlineLevel="0" collapsed="false">
      <c r="A871" s="3" t="str">
        <f aca="false">'1. Raw Data'!A870</f>
        <v>EMP-0869</v>
      </c>
      <c r="B871" s="3" t="n">
        <f aca="false">'1. Raw Data'!B870</f>
        <v>26</v>
      </c>
      <c r="C871" s="3" t="str">
        <f aca="false">'1. Raw Data'!C870</f>
        <v>Sales</v>
      </c>
      <c r="D871" s="3" t="str">
        <f aca="false">'1. Raw Data'!D870</f>
        <v>Mid</v>
      </c>
      <c r="E871" s="3" t="str">
        <f aca="false">'1. Raw Data'!E870</f>
        <v>Business</v>
      </c>
      <c r="F871" s="3" t="n">
        <f aca="false">'1. Raw Data'!F870</f>
        <v>1.1</v>
      </c>
      <c r="G871" s="3" t="n">
        <f aca="false">IF('1. Raw Data'!G870="",ROUND(IFERROR(AVERAGEIFS('1. Raw Data'!G2:G1201,'1. Raw Data'!C2:C1201,'1. Raw Data'!C870,'1. Raw Data'!D2:D1201,'1. Raw Data'!D870),0),2),'1. Raw Data'!G870)</f>
        <v>4195.62</v>
      </c>
      <c r="H871" s="3" t="str">
        <f aca="false">PROPER('1. Raw Data'!H870)</f>
        <v>Yes</v>
      </c>
      <c r="I871" s="3" t="n">
        <f aca="false">'1. Raw Data'!I870</f>
        <v>2</v>
      </c>
      <c r="J871" s="3" t="n">
        <f aca="false">'1. Raw Data'!J870</f>
        <v>3</v>
      </c>
      <c r="K871" s="3" t="n">
        <f aca="false">'1. Raw Data'!K870</f>
        <v>2</v>
      </c>
      <c r="L871" s="3" t="n">
        <f aca="false">'1. Raw Data'!L870</f>
        <v>1</v>
      </c>
      <c r="M871" s="3" t="n">
        <f aca="false">'1. Raw Data'!M870</f>
        <v>0</v>
      </c>
      <c r="N871" s="3" t="str">
        <f aca="false">'1. Raw Data'!N870</f>
        <v>No</v>
      </c>
    </row>
    <row r="872" customFormat="false" ht="15" hidden="false" customHeight="false" outlineLevel="0" collapsed="false">
      <c r="A872" s="3" t="str">
        <f aca="false">'1. Raw Data'!A871</f>
        <v>EMP-0870</v>
      </c>
      <c r="B872" s="3" t="n">
        <f aca="false">'1. Raw Data'!B871</f>
        <v>43</v>
      </c>
      <c r="C872" s="3" t="str">
        <f aca="false">'1. Raw Data'!C871</f>
        <v>HR</v>
      </c>
      <c r="D872" s="3" t="str">
        <f aca="false">'1. Raw Data'!D871</f>
        <v>Senior</v>
      </c>
      <c r="E872" s="3" t="str">
        <f aca="false">'1. Raw Data'!E871</f>
        <v>Business</v>
      </c>
      <c r="F872" s="3" t="n">
        <f aca="false">'1. Raw Data'!F871</f>
        <v>0</v>
      </c>
      <c r="G872" s="3" t="n">
        <f aca="false">IF('1. Raw Data'!G871="",ROUND(IFERROR(AVERAGEIFS('1. Raw Data'!G2:G1201,'1. Raw Data'!C2:C1201,'1. Raw Data'!C871,'1. Raw Data'!D2:D1201,'1. Raw Data'!D871),0),2),'1. Raw Data'!G871)</f>
        <v>7903.11</v>
      </c>
      <c r="H872" s="3" t="str">
        <f aca="false">PROPER('1. Raw Data'!H871)</f>
        <v>Yes</v>
      </c>
      <c r="I872" s="3" t="n">
        <f aca="false">'1. Raw Data'!I871</f>
        <v>2</v>
      </c>
      <c r="J872" s="3" t="n">
        <f aca="false">'1. Raw Data'!J871</f>
        <v>2</v>
      </c>
      <c r="K872" s="3" t="n">
        <f aca="false">'1. Raw Data'!K871</f>
        <v>2</v>
      </c>
      <c r="L872" s="3" t="n">
        <f aca="false">'1. Raw Data'!L871</f>
        <v>0</v>
      </c>
      <c r="M872" s="3" t="n">
        <f aca="false">'1. Raw Data'!M871</f>
        <v>3</v>
      </c>
      <c r="N872" s="3" t="str">
        <f aca="false">'1. Raw Data'!N871</f>
        <v>Yes</v>
      </c>
    </row>
    <row r="873" customFormat="false" ht="15" hidden="false" customHeight="false" outlineLevel="0" collapsed="false">
      <c r="A873" s="3" t="str">
        <f aca="false">'1. Raw Data'!A872</f>
        <v>EMP-0871</v>
      </c>
      <c r="B873" s="3" t="n">
        <f aca="false">'1. Raw Data'!B872</f>
        <v>27</v>
      </c>
      <c r="C873" s="3" t="str">
        <f aca="false">'1. Raw Data'!C872</f>
        <v>Finance</v>
      </c>
      <c r="D873" s="3" t="str">
        <f aca="false">'1. Raw Data'!D872</f>
        <v>Mid</v>
      </c>
      <c r="E873" s="3" t="str">
        <f aca="false">'1. Raw Data'!E872</f>
        <v>Other</v>
      </c>
      <c r="F873" s="3" t="n">
        <f aca="false">'1. Raw Data'!F872</f>
        <v>0.4</v>
      </c>
      <c r="G873" s="3" t="n">
        <f aca="false">IF('1. Raw Data'!G872="",ROUND(IFERROR(AVERAGEIFS('1. Raw Data'!G2:G1201,'1. Raw Data'!C2:C1201,'1. Raw Data'!C872,'1. Raw Data'!D2:D1201,'1. Raw Data'!D872),0),2),'1. Raw Data'!G872)</f>
        <v>4390.08</v>
      </c>
      <c r="H873" s="3" t="str">
        <f aca="false">PROPER('1. Raw Data'!H872)</f>
        <v>No</v>
      </c>
      <c r="I873" s="3" t="n">
        <f aca="false">'1. Raw Data'!I872</f>
        <v>1</v>
      </c>
      <c r="J873" s="3" t="n">
        <f aca="false">'1. Raw Data'!J872</f>
        <v>4</v>
      </c>
      <c r="K873" s="3" t="n">
        <f aca="false">'1. Raw Data'!K872</f>
        <v>7</v>
      </c>
      <c r="L873" s="3" t="n">
        <f aca="false">'1. Raw Data'!L872</f>
        <v>0</v>
      </c>
      <c r="M873" s="3" t="n">
        <f aca="false">'1. Raw Data'!M872</f>
        <v>0</v>
      </c>
      <c r="N873" s="3" t="str">
        <f aca="false">'1. Raw Data'!N872</f>
        <v>No</v>
      </c>
    </row>
    <row r="874" customFormat="false" ht="15" hidden="false" customHeight="false" outlineLevel="0" collapsed="false">
      <c r="A874" s="3" t="str">
        <f aca="false">'1. Raw Data'!A873</f>
        <v>EMP-0872</v>
      </c>
      <c r="B874" s="3" t="n">
        <f aca="false">'1. Raw Data'!B873</f>
        <v>32</v>
      </c>
      <c r="C874" s="3" t="str">
        <f aca="false">'1. Raw Data'!C873</f>
        <v>Sales</v>
      </c>
      <c r="D874" s="3" t="str">
        <f aca="false">'1. Raw Data'!D873</f>
        <v>Mid</v>
      </c>
      <c r="E874" s="3" t="str">
        <f aca="false">'1. Raw Data'!E873</f>
        <v>Business</v>
      </c>
      <c r="F874" s="3" t="n">
        <f aca="false">'1. Raw Data'!F873</f>
        <v>5.3</v>
      </c>
      <c r="G874" s="3" t="n">
        <f aca="false">IF('1. Raw Data'!G873="",ROUND(IFERROR(AVERAGEIFS('1. Raw Data'!G2:G1201,'1. Raw Data'!C2:C1201,'1. Raw Data'!C873,'1. Raw Data'!D2:D1201,'1. Raw Data'!D873),0),2),'1. Raw Data'!G873)</f>
        <v>5126.43</v>
      </c>
      <c r="H874" s="3" t="str">
        <f aca="false">PROPER('1. Raw Data'!H873)</f>
        <v>No</v>
      </c>
      <c r="I874" s="3" t="n">
        <f aca="false">'1. Raw Data'!I873</f>
        <v>2</v>
      </c>
      <c r="J874" s="3" t="n">
        <f aca="false">'1. Raw Data'!J873</f>
        <v>2</v>
      </c>
      <c r="K874" s="3" t="n">
        <f aca="false">'1. Raw Data'!K873</f>
        <v>1</v>
      </c>
      <c r="L874" s="3" t="n">
        <f aca="false">'1. Raw Data'!L873</f>
        <v>2</v>
      </c>
      <c r="M874" s="3" t="n">
        <f aca="false">'1. Raw Data'!M873</f>
        <v>0</v>
      </c>
      <c r="N874" s="3" t="str">
        <f aca="false">'1. Raw Data'!N873</f>
        <v>No</v>
      </c>
    </row>
    <row r="875" customFormat="false" ht="15" hidden="false" customHeight="false" outlineLevel="0" collapsed="false">
      <c r="A875" s="3" t="str">
        <f aca="false">'1. Raw Data'!A874</f>
        <v>EMP-0873</v>
      </c>
      <c r="B875" s="3" t="n">
        <f aca="false">'1. Raw Data'!B874</f>
        <v>36</v>
      </c>
      <c r="C875" s="3" t="str">
        <f aca="false">'1. Raw Data'!C874</f>
        <v>Customer Support</v>
      </c>
      <c r="D875" s="3" t="str">
        <f aca="false">'1. Raw Data'!D874</f>
        <v>Lead</v>
      </c>
      <c r="E875" s="3" t="str">
        <f aca="false">'1. Raw Data'!E874</f>
        <v>Business</v>
      </c>
      <c r="F875" s="3" t="n">
        <f aca="false">'1. Raw Data'!F874</f>
        <v>1.5</v>
      </c>
      <c r="G875" s="3" t="n">
        <f aca="false">IF('1. Raw Data'!G874="",ROUND(IFERROR(AVERAGEIFS('1. Raw Data'!G2:G1201,'1. Raw Data'!C2:C1201,'1. Raw Data'!C874,'1. Raw Data'!D2:D1201,'1. Raw Data'!D874),0),2),'1. Raw Data'!G874)</f>
        <v>10266.47</v>
      </c>
      <c r="H875" s="3" t="str">
        <f aca="false">PROPER('1. Raw Data'!H874)</f>
        <v>Yes</v>
      </c>
      <c r="I875" s="3" t="n">
        <f aca="false">'1. Raw Data'!I874</f>
        <v>2</v>
      </c>
      <c r="J875" s="3" t="n">
        <f aca="false">'1. Raw Data'!J874</f>
        <v>1</v>
      </c>
      <c r="K875" s="3" t="n">
        <f aca="false">'1. Raw Data'!K874</f>
        <v>2</v>
      </c>
      <c r="L875" s="3" t="n">
        <f aca="false">'1. Raw Data'!L874</f>
        <v>1</v>
      </c>
      <c r="M875" s="3" t="n">
        <f aca="false">'1. Raw Data'!M874</f>
        <v>3</v>
      </c>
      <c r="N875" s="3" t="str">
        <f aca="false">'1. Raw Data'!N874</f>
        <v>No</v>
      </c>
    </row>
    <row r="876" customFormat="false" ht="15" hidden="false" customHeight="false" outlineLevel="0" collapsed="false">
      <c r="A876" s="3" t="str">
        <f aca="false">'1. Raw Data'!A875</f>
        <v>EMP-0874</v>
      </c>
      <c r="B876" s="3" t="n">
        <f aca="false">'1. Raw Data'!B875</f>
        <v>25</v>
      </c>
      <c r="C876" s="3" t="str">
        <f aca="false">'1. Raw Data'!C875</f>
        <v>Engineering</v>
      </c>
      <c r="D876" s="3" t="str">
        <f aca="false">'1. Raw Data'!D875</f>
        <v>Mid</v>
      </c>
      <c r="E876" s="3" t="str">
        <f aca="false">'1. Raw Data'!E875</f>
        <v>Technical</v>
      </c>
      <c r="F876" s="3" t="n">
        <f aca="false">'1. Raw Data'!F875</f>
        <v>2</v>
      </c>
      <c r="G876" s="3" t="n">
        <f aca="false">IF('1. Raw Data'!G875="",ROUND(IFERROR(AVERAGEIFS('1. Raw Data'!G2:G1201,'1. Raw Data'!C2:C1201,'1. Raw Data'!C875,'1. Raw Data'!D2:D1201,'1. Raw Data'!D875),0),2),'1. Raw Data'!G875)</f>
        <v>5119.8</v>
      </c>
      <c r="H876" s="3" t="str">
        <f aca="false">PROPER('1. Raw Data'!H875)</f>
        <v>Yes</v>
      </c>
      <c r="I876" s="3" t="n">
        <f aca="false">'1. Raw Data'!I875</f>
        <v>3</v>
      </c>
      <c r="J876" s="3" t="n">
        <f aca="false">'1. Raw Data'!J875</f>
        <v>1</v>
      </c>
      <c r="K876" s="3" t="n">
        <f aca="false">'1. Raw Data'!K875</f>
        <v>1</v>
      </c>
      <c r="L876" s="3" t="n">
        <f aca="false">'1. Raw Data'!L875</f>
        <v>2</v>
      </c>
      <c r="M876" s="3" t="n">
        <f aca="false">'1. Raw Data'!M875</f>
        <v>2</v>
      </c>
      <c r="N876" s="3" t="str">
        <f aca="false">'1. Raw Data'!N875</f>
        <v>No</v>
      </c>
    </row>
    <row r="877" customFormat="false" ht="15" hidden="false" customHeight="false" outlineLevel="0" collapsed="false">
      <c r="A877" s="3" t="str">
        <f aca="false">'1. Raw Data'!A876</f>
        <v>EMP-0875</v>
      </c>
      <c r="B877" s="3" t="n">
        <f aca="false">'1. Raw Data'!B876</f>
        <v>38</v>
      </c>
      <c r="C877" s="3" t="str">
        <f aca="false">'1. Raw Data'!C876</f>
        <v>Marketing</v>
      </c>
      <c r="D877" s="3" t="str">
        <f aca="false">'1. Raw Data'!D876</f>
        <v>Junior</v>
      </c>
      <c r="E877" s="3" t="str">
        <f aca="false">'1. Raw Data'!E876</f>
        <v>Other</v>
      </c>
      <c r="F877" s="3" t="n">
        <f aca="false">'1. Raw Data'!F876</f>
        <v>3.9</v>
      </c>
      <c r="G877" s="3" t="n">
        <f aca="false">IF('1. Raw Data'!G876="",ROUND(IFERROR(AVERAGEIFS('1. Raw Data'!G2:G1201,'1. Raw Data'!C2:C1201,'1. Raw Data'!C876,'1. Raw Data'!D2:D1201,'1. Raw Data'!D876),0),2),'1. Raw Data'!G876)</f>
        <v>2812.25</v>
      </c>
      <c r="H877" s="3" t="str">
        <f aca="false">PROPER('1. Raw Data'!H876)</f>
        <v>No</v>
      </c>
      <c r="I877" s="3" t="n">
        <f aca="false">'1. Raw Data'!I876</f>
        <v>2</v>
      </c>
      <c r="J877" s="3" t="n">
        <f aca="false">'1. Raw Data'!J876</f>
        <v>3</v>
      </c>
      <c r="K877" s="3" t="n">
        <f aca="false">'1. Raw Data'!K876</f>
        <v>1</v>
      </c>
      <c r="L877" s="3" t="n">
        <f aca="false">'1. Raw Data'!L876</f>
        <v>2</v>
      </c>
      <c r="M877" s="3" t="n">
        <f aca="false">'1. Raw Data'!M876</f>
        <v>2</v>
      </c>
      <c r="N877" s="3" t="str">
        <f aca="false">'1. Raw Data'!N876</f>
        <v>No</v>
      </c>
    </row>
    <row r="878" customFormat="false" ht="15" hidden="false" customHeight="false" outlineLevel="0" collapsed="false">
      <c r="A878" s="3" t="str">
        <f aca="false">'1. Raw Data'!A877</f>
        <v>EMP-0876</v>
      </c>
      <c r="B878" s="3" t="n">
        <f aca="false">'1. Raw Data'!B877</f>
        <v>29</v>
      </c>
      <c r="C878" s="3" t="str">
        <f aca="false">'1. Raw Data'!C877</f>
        <v>Finance</v>
      </c>
      <c r="D878" s="3" t="str">
        <f aca="false">'1. Raw Data'!D877</f>
        <v>Junior</v>
      </c>
      <c r="E878" s="3" t="str">
        <f aca="false">'1. Raw Data'!E877</f>
        <v>Business</v>
      </c>
      <c r="F878" s="3" t="n">
        <f aca="false">'1. Raw Data'!F877</f>
        <v>0.2</v>
      </c>
      <c r="G878" s="3" t="n">
        <f aca="false">IF('1. Raw Data'!G877="",ROUND(IFERROR(AVERAGEIFS('1. Raw Data'!G2:G1201,'1. Raw Data'!C2:C1201,'1. Raw Data'!C877,'1. Raw Data'!D2:D1201,'1. Raw Data'!D877),0),2),'1. Raw Data'!G877)</f>
        <v>2733.78</v>
      </c>
      <c r="H878" s="3" t="str">
        <f aca="false">PROPER('1. Raw Data'!H877)</f>
        <v>No</v>
      </c>
      <c r="I878" s="3" t="n">
        <f aca="false">'1. Raw Data'!I877</f>
        <v>3</v>
      </c>
      <c r="J878" s="3" t="n">
        <f aca="false">'1. Raw Data'!J877</f>
        <v>3</v>
      </c>
      <c r="K878" s="3" t="n">
        <f aca="false">'1. Raw Data'!K877</f>
        <v>4</v>
      </c>
      <c r="L878" s="3" t="n">
        <f aca="false">'1. Raw Data'!L877</f>
        <v>0</v>
      </c>
      <c r="M878" s="3" t="n">
        <f aca="false">'1. Raw Data'!M877</f>
        <v>3</v>
      </c>
      <c r="N878" s="3" t="str">
        <f aca="false">'1. Raw Data'!N877</f>
        <v>No</v>
      </c>
    </row>
    <row r="879" customFormat="false" ht="15" hidden="false" customHeight="false" outlineLevel="0" collapsed="false">
      <c r="A879" s="3" t="str">
        <f aca="false">'1. Raw Data'!A878</f>
        <v>EMP-0877</v>
      </c>
      <c r="B879" s="3" t="n">
        <f aca="false">'1. Raw Data'!B878</f>
        <v>48</v>
      </c>
      <c r="C879" s="3" t="str">
        <f aca="false">'1. Raw Data'!C878</f>
        <v>Engineering</v>
      </c>
      <c r="D879" s="3" t="str">
        <f aca="false">'1. Raw Data'!D878</f>
        <v>Junior</v>
      </c>
      <c r="E879" s="3" t="str">
        <f aca="false">'1. Raw Data'!E878</f>
        <v>Business</v>
      </c>
      <c r="F879" s="3" t="n">
        <f aca="false">'1. Raw Data'!F878</f>
        <v>2.1</v>
      </c>
      <c r="G879" s="3" t="n">
        <f aca="false">IF('1. Raw Data'!G878="",ROUND(IFERROR(AVERAGEIFS('1. Raw Data'!G2:G1201,'1. Raw Data'!C2:C1201,'1. Raw Data'!C878,'1. Raw Data'!D2:D1201,'1. Raw Data'!D878),0),2),'1. Raw Data'!G878)</f>
        <v>3195.98</v>
      </c>
      <c r="H879" s="3" t="str">
        <f aca="false">PROPER('1. Raw Data'!H878)</f>
        <v>No</v>
      </c>
      <c r="I879" s="3" t="n">
        <f aca="false">'1. Raw Data'!I878</f>
        <v>4</v>
      </c>
      <c r="J879" s="3" t="n">
        <f aca="false">'1. Raw Data'!J878</f>
        <v>2</v>
      </c>
      <c r="K879" s="3" t="n">
        <f aca="false">'1. Raw Data'!K878</f>
        <v>1</v>
      </c>
      <c r="L879" s="3" t="n">
        <f aca="false">'1. Raw Data'!L878</f>
        <v>2</v>
      </c>
      <c r="M879" s="3" t="n">
        <f aca="false">'1. Raw Data'!M878</f>
        <v>0</v>
      </c>
      <c r="N879" s="3" t="str">
        <f aca="false">'1. Raw Data'!N878</f>
        <v>Yes</v>
      </c>
    </row>
    <row r="880" customFormat="false" ht="15" hidden="false" customHeight="false" outlineLevel="0" collapsed="false">
      <c r="A880" s="3" t="str">
        <f aca="false">'1. Raw Data'!A879</f>
        <v>EMP-0878</v>
      </c>
      <c r="B880" s="3" t="n">
        <f aca="false">'1. Raw Data'!B879</f>
        <v>40</v>
      </c>
      <c r="C880" s="3" t="str">
        <f aca="false">'1. Raw Data'!C879</f>
        <v>Sales</v>
      </c>
      <c r="D880" s="3" t="str">
        <f aca="false">'1. Raw Data'!D879</f>
        <v>Mid</v>
      </c>
      <c r="E880" s="3" t="str">
        <f aca="false">'1. Raw Data'!E879</f>
        <v>Technical</v>
      </c>
      <c r="F880" s="3" t="n">
        <f aca="false">'1. Raw Data'!F879</f>
        <v>2.7</v>
      </c>
      <c r="G880" s="3" t="n">
        <f aca="false">IF('1. Raw Data'!G879="",ROUND(IFERROR(AVERAGEIFS('1. Raw Data'!G2:G1201,'1. Raw Data'!C2:C1201,'1. Raw Data'!C879,'1. Raw Data'!D2:D1201,'1. Raw Data'!D879),0),2),'1. Raw Data'!G879)</f>
        <v>5211.21</v>
      </c>
      <c r="H880" s="3" t="str">
        <f aca="false">PROPER('1. Raw Data'!H879)</f>
        <v>No</v>
      </c>
      <c r="I880" s="3" t="n">
        <f aca="false">'1. Raw Data'!I879</f>
        <v>3</v>
      </c>
      <c r="J880" s="3" t="n">
        <f aca="false">'1. Raw Data'!J879</f>
        <v>2</v>
      </c>
      <c r="K880" s="3" t="n">
        <f aca="false">'1. Raw Data'!K879</f>
        <v>2</v>
      </c>
      <c r="L880" s="3" t="n">
        <f aca="false">'1. Raw Data'!L879</f>
        <v>1</v>
      </c>
      <c r="M880" s="3" t="n">
        <f aca="false">'1. Raw Data'!M879</f>
        <v>1</v>
      </c>
      <c r="N880" s="3" t="str">
        <f aca="false">'1. Raw Data'!N879</f>
        <v>No</v>
      </c>
    </row>
    <row r="881" customFormat="false" ht="15" hidden="false" customHeight="false" outlineLevel="0" collapsed="false">
      <c r="A881" s="3" t="str">
        <f aca="false">'1. Raw Data'!A880</f>
        <v>EMP-0879</v>
      </c>
      <c r="B881" s="3" t="n">
        <f aca="false">'1. Raw Data'!B880</f>
        <v>25</v>
      </c>
      <c r="C881" s="3" t="str">
        <f aca="false">'1. Raw Data'!C880</f>
        <v>Engineering</v>
      </c>
      <c r="D881" s="3" t="str">
        <f aca="false">'1. Raw Data'!D880</f>
        <v>Junior</v>
      </c>
      <c r="E881" s="3" t="str">
        <f aca="false">'1. Raw Data'!E880</f>
        <v>Technical</v>
      </c>
      <c r="F881" s="3" t="n">
        <f aca="false">'1. Raw Data'!F880</f>
        <v>3.5</v>
      </c>
      <c r="G881" s="3" t="n">
        <f aca="false">IF('1. Raw Data'!G880="",ROUND(IFERROR(AVERAGEIFS('1. Raw Data'!G2:G1201,'1. Raw Data'!C2:C1201,'1. Raw Data'!C880,'1. Raw Data'!D2:D1201,'1. Raw Data'!D880),0),2),'1. Raw Data'!G880)</f>
        <v>2932.59</v>
      </c>
      <c r="H881" s="3" t="str">
        <f aca="false">PROPER('1. Raw Data'!H880)</f>
        <v>No</v>
      </c>
      <c r="I881" s="3" t="n">
        <f aca="false">'1. Raw Data'!I880</f>
        <v>3</v>
      </c>
      <c r="J881" s="3" t="n">
        <f aca="false">'1. Raw Data'!J880</f>
        <v>2</v>
      </c>
      <c r="K881" s="3" t="n">
        <f aca="false">'1. Raw Data'!K880</f>
        <v>2</v>
      </c>
      <c r="L881" s="3" t="n">
        <f aca="false">'1. Raw Data'!L880</f>
        <v>2</v>
      </c>
      <c r="M881" s="3" t="n">
        <f aca="false">'1. Raw Data'!M880</f>
        <v>1</v>
      </c>
      <c r="N881" s="3" t="str">
        <f aca="false">'1. Raw Data'!N880</f>
        <v>No</v>
      </c>
    </row>
    <row r="882" customFormat="false" ht="15" hidden="false" customHeight="false" outlineLevel="0" collapsed="false">
      <c r="A882" s="3" t="str">
        <f aca="false">'1. Raw Data'!A881</f>
        <v>EMP-0880</v>
      </c>
      <c r="B882" s="3" t="n">
        <f aca="false">'1. Raw Data'!B881</f>
        <v>27</v>
      </c>
      <c r="C882" s="3" t="str">
        <f aca="false">'1. Raw Data'!C881</f>
        <v>Engineering</v>
      </c>
      <c r="D882" s="3" t="str">
        <f aca="false">'1. Raw Data'!D881</f>
        <v>Senior</v>
      </c>
      <c r="E882" s="3" t="str">
        <f aca="false">'1. Raw Data'!E881</f>
        <v>Technical</v>
      </c>
      <c r="F882" s="3" t="n">
        <f aca="false">'1. Raw Data'!F881</f>
        <v>1.2</v>
      </c>
      <c r="G882" s="3" t="n">
        <f aca="false">IF('1. Raw Data'!G881="",ROUND(IFERROR(AVERAGEIFS('1. Raw Data'!G2:G1201,'1. Raw Data'!C2:C1201,'1. Raw Data'!C881,'1. Raw Data'!D2:D1201,'1. Raw Data'!D881),0),2),'1. Raw Data'!G881)</f>
        <v>7582.25</v>
      </c>
      <c r="H882" s="3" t="str">
        <f aca="false">PROPER('1. Raw Data'!H881)</f>
        <v>Yes</v>
      </c>
      <c r="I882" s="3" t="n">
        <f aca="false">'1. Raw Data'!I881</f>
        <v>3</v>
      </c>
      <c r="J882" s="3" t="n">
        <f aca="false">'1. Raw Data'!J881</f>
        <v>3</v>
      </c>
      <c r="K882" s="3" t="n">
        <f aca="false">'1. Raw Data'!K881</f>
        <v>13</v>
      </c>
      <c r="L882" s="3" t="n">
        <f aca="false">'1. Raw Data'!L881</f>
        <v>1</v>
      </c>
      <c r="M882" s="3" t="n">
        <f aca="false">'1. Raw Data'!M881</f>
        <v>2</v>
      </c>
      <c r="N882" s="3" t="str">
        <f aca="false">'1. Raw Data'!N881</f>
        <v>No</v>
      </c>
    </row>
    <row r="883" customFormat="false" ht="15" hidden="false" customHeight="false" outlineLevel="0" collapsed="false">
      <c r="A883" s="3" t="str">
        <f aca="false">'1. Raw Data'!A882</f>
        <v>EMP-0881</v>
      </c>
      <c r="B883" s="3" t="n">
        <f aca="false">'1. Raw Data'!B882</f>
        <v>37</v>
      </c>
      <c r="C883" s="3" t="str">
        <f aca="false">'1. Raw Data'!C882</f>
        <v>Customer Support</v>
      </c>
      <c r="D883" s="3" t="str">
        <f aca="false">'1. Raw Data'!D882</f>
        <v>Senior</v>
      </c>
      <c r="E883" s="3" t="str">
        <f aca="false">'1. Raw Data'!E882</f>
        <v>Marketing</v>
      </c>
      <c r="F883" s="3" t="n">
        <f aca="false">'1. Raw Data'!F882</f>
        <v>8.8</v>
      </c>
      <c r="G883" s="3" t="n">
        <f aca="false">IF('1. Raw Data'!G882="",ROUND(IFERROR(AVERAGEIFS('1. Raw Data'!G2:G1201,'1. Raw Data'!C2:C1201,'1. Raw Data'!C882,'1. Raw Data'!D2:D1201,'1. Raw Data'!D882),0),2),'1. Raw Data'!G882)</f>
        <v>8450.66</v>
      </c>
      <c r="H883" s="3" t="str">
        <f aca="false">PROPER('1. Raw Data'!H882)</f>
        <v>Yes</v>
      </c>
      <c r="I883" s="3" t="n">
        <f aca="false">'1. Raw Data'!I882</f>
        <v>3</v>
      </c>
      <c r="J883" s="3" t="n">
        <f aca="false">'1. Raw Data'!J882</f>
        <v>3</v>
      </c>
      <c r="K883" s="3" t="n">
        <f aca="false">'1. Raw Data'!K882</f>
        <v>11</v>
      </c>
      <c r="L883" s="3" t="n">
        <f aca="false">'1. Raw Data'!L882</f>
        <v>0</v>
      </c>
      <c r="M883" s="3" t="n">
        <f aca="false">'1. Raw Data'!M882</f>
        <v>0</v>
      </c>
      <c r="N883" s="3" t="str">
        <f aca="false">'1. Raw Data'!N882</f>
        <v>No</v>
      </c>
    </row>
    <row r="884" customFormat="false" ht="15" hidden="false" customHeight="false" outlineLevel="0" collapsed="false">
      <c r="A884" s="3" t="str">
        <f aca="false">'1. Raw Data'!A883</f>
        <v>EMP-0882</v>
      </c>
      <c r="B884" s="3" t="n">
        <f aca="false">'1. Raw Data'!B883</f>
        <v>24</v>
      </c>
      <c r="C884" s="3" t="str">
        <f aca="false">'1. Raw Data'!C883</f>
        <v>Sales</v>
      </c>
      <c r="D884" s="3" t="str">
        <f aca="false">'1. Raw Data'!D883</f>
        <v>Senior</v>
      </c>
      <c r="E884" s="3" t="str">
        <f aca="false">'1. Raw Data'!E883</f>
        <v>Marketing</v>
      </c>
      <c r="F884" s="3" t="n">
        <f aca="false">'1. Raw Data'!F883</f>
        <v>0.3</v>
      </c>
      <c r="G884" s="3" t="n">
        <f aca="false">IF('1. Raw Data'!G883="",ROUND(IFERROR(AVERAGEIFS('1. Raw Data'!G2:G1201,'1. Raw Data'!C2:C1201,'1. Raw Data'!C883,'1. Raw Data'!D2:D1201,'1. Raw Data'!D883),0),2),'1. Raw Data'!G883)</f>
        <v>8448.01</v>
      </c>
      <c r="H884" s="3" t="str">
        <f aca="false">PROPER('1. Raw Data'!H883)</f>
        <v>Yes</v>
      </c>
      <c r="I884" s="3" t="n">
        <f aca="false">'1. Raw Data'!I883</f>
        <v>3</v>
      </c>
      <c r="J884" s="3" t="n">
        <f aca="false">'1. Raw Data'!J883</f>
        <v>4</v>
      </c>
      <c r="K884" s="3" t="n">
        <f aca="false">'1. Raw Data'!K883</f>
        <v>5</v>
      </c>
      <c r="L884" s="3" t="n">
        <f aca="false">'1. Raw Data'!L883</f>
        <v>0</v>
      </c>
      <c r="M884" s="3" t="n">
        <f aca="false">'1. Raw Data'!M883</f>
        <v>2</v>
      </c>
      <c r="N884" s="3" t="str">
        <f aca="false">'1. Raw Data'!N883</f>
        <v>No</v>
      </c>
    </row>
    <row r="885" customFormat="false" ht="15" hidden="false" customHeight="false" outlineLevel="0" collapsed="false">
      <c r="A885" s="3" t="str">
        <f aca="false">'1. Raw Data'!A884</f>
        <v>EMP-0883</v>
      </c>
      <c r="B885" s="3" t="n">
        <f aca="false">'1. Raw Data'!B884</f>
        <v>29</v>
      </c>
      <c r="C885" s="3" t="str">
        <f aca="false">'1. Raw Data'!C884</f>
        <v>Finance</v>
      </c>
      <c r="D885" s="3" t="str">
        <f aca="false">'1. Raw Data'!D884</f>
        <v>Senior</v>
      </c>
      <c r="E885" s="3" t="str">
        <f aca="false">'1. Raw Data'!E884</f>
        <v>Business</v>
      </c>
      <c r="F885" s="3" t="n">
        <f aca="false">'1. Raw Data'!F884</f>
        <v>0.5</v>
      </c>
      <c r="G885" s="3" t="n">
        <f aca="false">IF('1. Raw Data'!G884="",ROUND(IFERROR(AVERAGEIFS('1. Raw Data'!G2:G1201,'1. Raw Data'!C2:C1201,'1. Raw Data'!C884,'1. Raw Data'!D2:D1201,'1. Raw Data'!D884),0),2),'1. Raw Data'!G884)</f>
        <v>6839.37</v>
      </c>
      <c r="H885" s="3" t="str">
        <f aca="false">PROPER('1. Raw Data'!H884)</f>
        <v>No</v>
      </c>
      <c r="I885" s="3" t="n">
        <f aca="false">'1. Raw Data'!I884</f>
        <v>4</v>
      </c>
      <c r="J885" s="3" t="n">
        <f aca="false">'1. Raw Data'!J884</f>
        <v>1</v>
      </c>
      <c r="K885" s="3" t="n">
        <f aca="false">'1. Raw Data'!K884</f>
        <v>6</v>
      </c>
      <c r="L885" s="3" t="n">
        <f aca="false">'1. Raw Data'!L884</f>
        <v>0</v>
      </c>
      <c r="M885" s="3" t="n">
        <f aca="false">'1. Raw Data'!M884</f>
        <v>2</v>
      </c>
      <c r="N885" s="3" t="str">
        <f aca="false">'1. Raw Data'!N884</f>
        <v>No</v>
      </c>
    </row>
    <row r="886" customFormat="false" ht="15" hidden="false" customHeight="false" outlineLevel="0" collapsed="false">
      <c r="A886" s="3" t="str">
        <f aca="false">'1. Raw Data'!A885</f>
        <v>EMP-0884</v>
      </c>
      <c r="B886" s="3" t="n">
        <f aca="false">'1. Raw Data'!B885</f>
        <v>37</v>
      </c>
      <c r="C886" s="3" t="str">
        <f aca="false">'1. Raw Data'!C885</f>
        <v>Finance</v>
      </c>
      <c r="D886" s="3" t="str">
        <f aca="false">'1. Raw Data'!D885</f>
        <v>Junior</v>
      </c>
      <c r="E886" s="3" t="str">
        <f aca="false">'1. Raw Data'!E885</f>
        <v>Marketing</v>
      </c>
      <c r="F886" s="3" t="n">
        <f aca="false">'1. Raw Data'!F885</f>
        <v>2.9</v>
      </c>
      <c r="G886" s="3" t="n">
        <f aca="false">IF('1. Raw Data'!G885="",ROUND(IFERROR(AVERAGEIFS('1. Raw Data'!G2:G1201,'1. Raw Data'!C2:C1201,'1. Raw Data'!C885,'1. Raw Data'!D2:D1201,'1. Raw Data'!D885),0),2),'1. Raw Data'!G885)</f>
        <v>2967.92</v>
      </c>
      <c r="H886" s="3" t="str">
        <f aca="false">PROPER('1. Raw Data'!H885)</f>
        <v>No</v>
      </c>
      <c r="I886" s="3" t="n">
        <f aca="false">'1. Raw Data'!I885</f>
        <v>4</v>
      </c>
      <c r="J886" s="3" t="n">
        <f aca="false">'1. Raw Data'!J885</f>
        <v>2</v>
      </c>
      <c r="K886" s="3" t="n">
        <f aca="false">'1. Raw Data'!K885</f>
        <v>17</v>
      </c>
      <c r="L886" s="3" t="n">
        <f aca="false">'1. Raw Data'!L885</f>
        <v>1</v>
      </c>
      <c r="M886" s="3" t="n">
        <f aca="false">'1. Raw Data'!M885</f>
        <v>1</v>
      </c>
      <c r="N886" s="3" t="str">
        <f aca="false">'1. Raw Data'!N885</f>
        <v>Yes</v>
      </c>
    </row>
    <row r="887" customFormat="false" ht="15" hidden="false" customHeight="false" outlineLevel="0" collapsed="false">
      <c r="A887" s="3" t="str">
        <f aca="false">'1. Raw Data'!A886</f>
        <v>EMP-0885</v>
      </c>
      <c r="B887" s="3" t="n">
        <f aca="false">'1. Raw Data'!B886</f>
        <v>33</v>
      </c>
      <c r="C887" s="3" t="str">
        <f aca="false">'1. Raw Data'!C886</f>
        <v>Customer Support</v>
      </c>
      <c r="D887" s="3" t="str">
        <f aca="false">'1. Raw Data'!D886</f>
        <v>Mid</v>
      </c>
      <c r="E887" s="3" t="str">
        <f aca="false">'1. Raw Data'!E886</f>
        <v>Marketing</v>
      </c>
      <c r="F887" s="3" t="n">
        <f aca="false">'1. Raw Data'!F886</f>
        <v>7.4</v>
      </c>
      <c r="G887" s="3" t="n">
        <f aca="false">IF('1. Raw Data'!G886="",ROUND(IFERROR(AVERAGEIFS('1. Raw Data'!G2:G1201,'1. Raw Data'!C2:C1201,'1. Raw Data'!C886,'1. Raw Data'!D2:D1201,'1. Raw Data'!D886),0),2),'1. Raw Data'!G886)</f>
        <v>4621.32</v>
      </c>
      <c r="H887" s="3" t="str">
        <f aca="false">PROPER('1. Raw Data'!H886)</f>
        <v>No</v>
      </c>
      <c r="I887" s="3" t="n">
        <f aca="false">'1. Raw Data'!I886</f>
        <v>4</v>
      </c>
      <c r="J887" s="3" t="n">
        <f aca="false">'1. Raw Data'!J886</f>
        <v>2</v>
      </c>
      <c r="K887" s="3" t="n">
        <f aca="false">'1. Raw Data'!K886</f>
        <v>11</v>
      </c>
      <c r="L887" s="3" t="n">
        <f aca="false">'1. Raw Data'!L886</f>
        <v>3</v>
      </c>
      <c r="M887" s="3" t="n">
        <f aca="false">'1. Raw Data'!M886</f>
        <v>4</v>
      </c>
      <c r="N887" s="3" t="str">
        <f aca="false">'1. Raw Data'!N886</f>
        <v>No</v>
      </c>
    </row>
    <row r="888" customFormat="false" ht="15" hidden="false" customHeight="false" outlineLevel="0" collapsed="false">
      <c r="A888" s="3" t="str">
        <f aca="false">'1. Raw Data'!A887</f>
        <v>EMP-0886</v>
      </c>
      <c r="B888" s="3" t="n">
        <f aca="false">'1. Raw Data'!B887</f>
        <v>30</v>
      </c>
      <c r="C888" s="3" t="str">
        <f aca="false">'1. Raw Data'!C887</f>
        <v>HR</v>
      </c>
      <c r="D888" s="3" t="str">
        <f aca="false">'1. Raw Data'!D887</f>
        <v>Junior</v>
      </c>
      <c r="E888" s="3" t="str">
        <f aca="false">'1. Raw Data'!E887</f>
        <v>Marketing</v>
      </c>
      <c r="F888" s="3" t="n">
        <f aca="false">'1. Raw Data'!F887</f>
        <v>7.7</v>
      </c>
      <c r="G888" s="3" t="n">
        <f aca="false">IF('1. Raw Data'!G887="",ROUND(IFERROR(AVERAGEIFS('1. Raw Data'!G2:G1201,'1. Raw Data'!C2:C1201,'1. Raw Data'!C887,'1. Raw Data'!D2:D1201,'1. Raw Data'!D887),0),2),'1. Raw Data'!G887)</f>
        <v>2741.02</v>
      </c>
      <c r="H888" s="3" t="str">
        <f aca="false">PROPER('1. Raw Data'!H887)</f>
        <v>Yes</v>
      </c>
      <c r="I888" s="3" t="n">
        <f aca="false">'1. Raw Data'!I887</f>
        <v>4</v>
      </c>
      <c r="J888" s="3" t="n">
        <f aca="false">'1. Raw Data'!J887</f>
        <v>2</v>
      </c>
      <c r="K888" s="3" t="n">
        <f aca="false">'1. Raw Data'!K887</f>
        <v>8</v>
      </c>
      <c r="L888" s="3" t="n">
        <f aca="false">'1. Raw Data'!L887</f>
        <v>1</v>
      </c>
      <c r="M888" s="3" t="n">
        <f aca="false">'1. Raw Data'!M887</f>
        <v>2</v>
      </c>
      <c r="N888" s="3" t="str">
        <f aca="false">'1. Raw Data'!N887</f>
        <v>Yes</v>
      </c>
    </row>
    <row r="889" customFormat="false" ht="15" hidden="false" customHeight="false" outlineLevel="0" collapsed="false">
      <c r="A889" s="3" t="str">
        <f aca="false">'1. Raw Data'!A888</f>
        <v>EMP-0887</v>
      </c>
      <c r="B889" s="3" t="n">
        <f aca="false">'1. Raw Data'!B888</f>
        <v>29</v>
      </c>
      <c r="C889" s="3" t="str">
        <f aca="false">'1. Raw Data'!C888</f>
        <v>Sales</v>
      </c>
      <c r="D889" s="3" t="str">
        <f aca="false">'1. Raw Data'!D888</f>
        <v>Mid</v>
      </c>
      <c r="E889" s="3" t="str">
        <f aca="false">'1. Raw Data'!E888</f>
        <v>Business</v>
      </c>
      <c r="F889" s="3" t="n">
        <f aca="false">'1. Raw Data'!F888</f>
        <v>1.7</v>
      </c>
      <c r="G889" s="3" t="n">
        <f aca="false">IF('1. Raw Data'!G888="",ROUND(IFERROR(AVERAGEIFS('1. Raw Data'!G2:G1201,'1. Raw Data'!C2:C1201,'1. Raw Data'!C888,'1. Raw Data'!D2:D1201,'1. Raw Data'!D888),0),2),'1. Raw Data'!G888)</f>
        <v>4629.03</v>
      </c>
      <c r="H889" s="3" t="str">
        <f aca="false">PROPER('1. Raw Data'!H888)</f>
        <v>Yes</v>
      </c>
      <c r="I889" s="3" t="n">
        <f aca="false">'1. Raw Data'!I888</f>
        <v>4</v>
      </c>
      <c r="J889" s="3" t="n">
        <f aca="false">'1. Raw Data'!J888</f>
        <v>3</v>
      </c>
      <c r="K889" s="3" t="n">
        <f aca="false">'1. Raw Data'!K888</f>
        <v>9</v>
      </c>
      <c r="L889" s="3" t="n">
        <f aca="false">'1. Raw Data'!L888</f>
        <v>0</v>
      </c>
      <c r="M889" s="3" t="n">
        <f aca="false">'1. Raw Data'!M888</f>
        <v>1</v>
      </c>
      <c r="N889" s="3" t="str">
        <f aca="false">'1. Raw Data'!N888</f>
        <v>No</v>
      </c>
    </row>
    <row r="890" customFormat="false" ht="15" hidden="false" customHeight="false" outlineLevel="0" collapsed="false">
      <c r="A890" s="3" t="str">
        <f aca="false">'1. Raw Data'!A889</f>
        <v>EMP-0888</v>
      </c>
      <c r="B890" s="3" t="n">
        <f aca="false">'1. Raw Data'!B889</f>
        <v>28</v>
      </c>
      <c r="C890" s="3" t="str">
        <f aca="false">'1. Raw Data'!C889</f>
        <v>Sales</v>
      </c>
      <c r="D890" s="3" t="str">
        <f aca="false">'1. Raw Data'!D889</f>
        <v>Senior</v>
      </c>
      <c r="E890" s="3" t="str">
        <f aca="false">'1. Raw Data'!E889</f>
        <v>Technical</v>
      </c>
      <c r="F890" s="3" t="n">
        <f aca="false">'1. Raw Data'!F889</f>
        <v>1.5</v>
      </c>
      <c r="G890" s="3" t="n">
        <f aca="false">IF('1. Raw Data'!G889="",ROUND(IFERROR(AVERAGEIFS('1. Raw Data'!G2:G1201,'1. Raw Data'!C2:C1201,'1. Raw Data'!C889,'1. Raw Data'!D2:D1201,'1. Raw Data'!D889),0),2),'1. Raw Data'!G889)</f>
        <v>7614.24</v>
      </c>
      <c r="H890" s="3" t="str">
        <f aca="false">PROPER('1. Raw Data'!H889)</f>
        <v>Yes</v>
      </c>
      <c r="I890" s="3" t="n">
        <f aca="false">'1. Raw Data'!I889</f>
        <v>4</v>
      </c>
      <c r="J890" s="3" t="n">
        <f aca="false">'1. Raw Data'!J889</f>
        <v>4</v>
      </c>
      <c r="K890" s="3" t="n">
        <f aca="false">'1. Raw Data'!K889</f>
        <v>7</v>
      </c>
      <c r="L890" s="3" t="n">
        <f aca="false">'1. Raw Data'!L889</f>
        <v>1</v>
      </c>
      <c r="M890" s="3" t="n">
        <f aca="false">'1. Raw Data'!M889</f>
        <v>2</v>
      </c>
      <c r="N890" s="3" t="str">
        <f aca="false">'1. Raw Data'!N889</f>
        <v>No</v>
      </c>
    </row>
    <row r="891" customFormat="false" ht="15" hidden="false" customHeight="false" outlineLevel="0" collapsed="false">
      <c r="A891" s="3" t="str">
        <f aca="false">'1. Raw Data'!A890</f>
        <v>EMP-0889</v>
      </c>
      <c r="B891" s="3" t="n">
        <f aca="false">'1. Raw Data'!B890</f>
        <v>36</v>
      </c>
      <c r="C891" s="3" t="str">
        <f aca="false">'1. Raw Data'!C890</f>
        <v>Engineering</v>
      </c>
      <c r="D891" s="3" t="str">
        <f aca="false">'1. Raw Data'!D890</f>
        <v>Junior</v>
      </c>
      <c r="E891" s="3" t="str">
        <f aca="false">'1. Raw Data'!E890</f>
        <v>Other</v>
      </c>
      <c r="F891" s="3" t="n">
        <f aca="false">'1. Raw Data'!F890</f>
        <v>0.4</v>
      </c>
      <c r="G891" s="3" t="n">
        <f aca="false">IF('1. Raw Data'!G890="",ROUND(IFERROR(AVERAGEIFS('1. Raw Data'!G2:G1201,'1. Raw Data'!C2:C1201,'1. Raw Data'!C890,'1. Raw Data'!D2:D1201,'1. Raw Data'!D890),0),2),'1. Raw Data'!G890)</f>
        <v>3806.86</v>
      </c>
      <c r="H891" s="3" t="str">
        <f aca="false">PROPER('1. Raw Data'!H890)</f>
        <v>No</v>
      </c>
      <c r="I891" s="3" t="n">
        <f aca="false">'1. Raw Data'!I890</f>
        <v>3</v>
      </c>
      <c r="J891" s="3" t="n">
        <f aca="false">'1. Raw Data'!J890</f>
        <v>1</v>
      </c>
      <c r="K891" s="3" t="n">
        <f aca="false">'1. Raw Data'!K890</f>
        <v>3</v>
      </c>
      <c r="L891" s="3" t="n">
        <f aca="false">'1. Raw Data'!L890</f>
        <v>0</v>
      </c>
      <c r="M891" s="3" t="n">
        <f aca="false">'1. Raw Data'!M890</f>
        <v>1</v>
      </c>
      <c r="N891" s="3" t="str">
        <f aca="false">'1. Raw Data'!N890</f>
        <v>Yes</v>
      </c>
    </row>
    <row r="892" customFormat="false" ht="15" hidden="false" customHeight="false" outlineLevel="0" collapsed="false">
      <c r="A892" s="3" t="str">
        <f aca="false">'1. Raw Data'!A891</f>
        <v>EMP-0890</v>
      </c>
      <c r="B892" s="3" t="n">
        <f aca="false">'1. Raw Data'!B891</f>
        <v>25</v>
      </c>
      <c r="C892" s="3" t="str">
        <f aca="false">'1. Raw Data'!C891</f>
        <v>Sales</v>
      </c>
      <c r="D892" s="3" t="str">
        <f aca="false">'1. Raw Data'!D891</f>
        <v>Lead</v>
      </c>
      <c r="E892" s="3" t="str">
        <f aca="false">'1. Raw Data'!E891</f>
        <v>Other</v>
      </c>
      <c r="F892" s="3" t="n">
        <f aca="false">'1. Raw Data'!F891</f>
        <v>0.5</v>
      </c>
      <c r="G892" s="3" t="n">
        <f aca="false">IF('1. Raw Data'!G891="",ROUND(IFERROR(AVERAGEIFS('1. Raw Data'!G2:G1201,'1. Raw Data'!C2:C1201,'1. Raw Data'!C891,'1. Raw Data'!D2:D1201,'1. Raw Data'!D891),0),2),'1. Raw Data'!G891)</f>
        <v>8117.8</v>
      </c>
      <c r="H892" s="3" t="str">
        <f aca="false">PROPER('1. Raw Data'!H891)</f>
        <v>Yes</v>
      </c>
      <c r="I892" s="3" t="n">
        <f aca="false">'1. Raw Data'!I891</f>
        <v>3</v>
      </c>
      <c r="J892" s="3" t="n">
        <f aca="false">'1. Raw Data'!J891</f>
        <v>1</v>
      </c>
      <c r="K892" s="3" t="n">
        <f aca="false">'1. Raw Data'!K891</f>
        <v>2</v>
      </c>
      <c r="L892" s="3" t="n">
        <f aca="false">'1. Raw Data'!L891</f>
        <v>0</v>
      </c>
      <c r="M892" s="3" t="n">
        <f aca="false">'1. Raw Data'!M891</f>
        <v>0</v>
      </c>
      <c r="N892" s="3" t="str">
        <f aca="false">'1. Raw Data'!N891</f>
        <v>No</v>
      </c>
    </row>
    <row r="893" customFormat="false" ht="15" hidden="false" customHeight="false" outlineLevel="0" collapsed="false">
      <c r="A893" s="3" t="str">
        <f aca="false">'1. Raw Data'!A892</f>
        <v>EMP-0891</v>
      </c>
      <c r="B893" s="3" t="n">
        <f aca="false">'1. Raw Data'!B892</f>
        <v>24</v>
      </c>
      <c r="C893" s="3" t="str">
        <f aca="false">'1. Raw Data'!C892</f>
        <v>Sales</v>
      </c>
      <c r="D893" s="3" t="str">
        <f aca="false">'1. Raw Data'!D892</f>
        <v>Junior</v>
      </c>
      <c r="E893" s="3" t="str">
        <f aca="false">'1. Raw Data'!E892</f>
        <v>Business</v>
      </c>
      <c r="F893" s="3" t="n">
        <f aca="false">'1. Raw Data'!F892</f>
        <v>1.4</v>
      </c>
      <c r="G893" s="3" t="n">
        <f aca="false">IF('1. Raw Data'!G892="",ROUND(IFERROR(AVERAGEIFS('1. Raw Data'!G2:G1201,'1. Raw Data'!C2:C1201,'1. Raw Data'!C892,'1. Raw Data'!D2:D1201,'1. Raw Data'!D892),0),2),'1. Raw Data'!G892)</f>
        <v>2966.8</v>
      </c>
      <c r="H893" s="3" t="str">
        <f aca="false">PROPER('1. Raw Data'!H892)</f>
        <v>No</v>
      </c>
      <c r="I893" s="3" t="n">
        <f aca="false">'1. Raw Data'!I892</f>
        <v>2</v>
      </c>
      <c r="J893" s="3" t="n">
        <f aca="false">'1. Raw Data'!J892</f>
        <v>3</v>
      </c>
      <c r="K893" s="3" t="n">
        <f aca="false">'1. Raw Data'!K892</f>
        <v>1</v>
      </c>
      <c r="L893" s="3" t="n">
        <f aca="false">'1. Raw Data'!L892</f>
        <v>1</v>
      </c>
      <c r="M893" s="3" t="n">
        <f aca="false">'1. Raw Data'!M892</f>
        <v>3</v>
      </c>
      <c r="N893" s="3" t="str">
        <f aca="false">'1. Raw Data'!N892</f>
        <v>No</v>
      </c>
    </row>
    <row r="894" customFormat="false" ht="15" hidden="false" customHeight="false" outlineLevel="0" collapsed="false">
      <c r="A894" s="3" t="str">
        <f aca="false">'1. Raw Data'!A893</f>
        <v>EMP-0892</v>
      </c>
      <c r="B894" s="3" t="n">
        <f aca="false">'1. Raw Data'!B893</f>
        <v>48</v>
      </c>
      <c r="C894" s="3" t="str">
        <f aca="false">'1. Raw Data'!C893</f>
        <v>Sales</v>
      </c>
      <c r="D894" s="3" t="str">
        <f aca="false">'1. Raw Data'!D893</f>
        <v>Junior</v>
      </c>
      <c r="E894" s="3" t="str">
        <f aca="false">'1. Raw Data'!E893</f>
        <v>Technical</v>
      </c>
      <c r="F894" s="3" t="n">
        <f aca="false">'1. Raw Data'!F893</f>
        <v>1.4</v>
      </c>
      <c r="G894" s="3" t="n">
        <f aca="false">IF('1. Raw Data'!G893="",ROUND(IFERROR(AVERAGEIFS('1. Raw Data'!G2:G1201,'1. Raw Data'!C2:C1201,'1. Raw Data'!C893,'1. Raw Data'!D2:D1201,'1. Raw Data'!D893),0),2),'1. Raw Data'!G893)</f>
        <v>3449.79</v>
      </c>
      <c r="H894" s="3" t="str">
        <f aca="false">PROPER('1. Raw Data'!H893)</f>
        <v>Yes</v>
      </c>
      <c r="I894" s="3" t="n">
        <f aca="false">'1. Raw Data'!I893</f>
        <v>3</v>
      </c>
      <c r="J894" s="3" t="n">
        <f aca="false">'1. Raw Data'!J893</f>
        <v>3</v>
      </c>
      <c r="K894" s="3" t="n">
        <f aca="false">'1. Raw Data'!K893</f>
        <v>5</v>
      </c>
      <c r="L894" s="3" t="n">
        <f aca="false">'1. Raw Data'!L893</f>
        <v>1</v>
      </c>
      <c r="M894" s="3" t="n">
        <f aca="false">'1. Raw Data'!M893</f>
        <v>1</v>
      </c>
      <c r="N894" s="3" t="str">
        <f aca="false">'1. Raw Data'!N893</f>
        <v>Yes</v>
      </c>
    </row>
    <row r="895" customFormat="false" ht="15" hidden="false" customHeight="false" outlineLevel="0" collapsed="false">
      <c r="A895" s="3" t="str">
        <f aca="false">'1. Raw Data'!A894</f>
        <v>EMP-0893</v>
      </c>
      <c r="B895" s="3" t="n">
        <f aca="false">'1. Raw Data'!B894</f>
        <v>31</v>
      </c>
      <c r="C895" s="3" t="str">
        <f aca="false">'1. Raw Data'!C894</f>
        <v>Customer Support</v>
      </c>
      <c r="D895" s="3" t="str">
        <f aca="false">'1. Raw Data'!D894</f>
        <v>Junior</v>
      </c>
      <c r="E895" s="3" t="str">
        <f aca="false">'1. Raw Data'!E894</f>
        <v>Other</v>
      </c>
      <c r="F895" s="3" t="n">
        <f aca="false">'1. Raw Data'!F894</f>
        <v>0.8</v>
      </c>
      <c r="G895" s="3" t="n">
        <f aca="false">IF('1. Raw Data'!G894="",ROUND(IFERROR(AVERAGEIFS('1. Raw Data'!G2:G1201,'1. Raw Data'!C2:C1201,'1. Raw Data'!C894,'1. Raw Data'!D2:D1201,'1. Raw Data'!D894),0),2),'1. Raw Data'!G894)</f>
        <v>3182.36</v>
      </c>
      <c r="H895" s="3" t="str">
        <f aca="false">PROPER('1. Raw Data'!H894)</f>
        <v>No</v>
      </c>
      <c r="I895" s="3" t="n">
        <f aca="false">'1. Raw Data'!I894</f>
        <v>2</v>
      </c>
      <c r="J895" s="3" t="n">
        <f aca="false">'1. Raw Data'!J894</f>
        <v>4</v>
      </c>
      <c r="K895" s="3" t="n">
        <f aca="false">'1. Raw Data'!K894</f>
        <v>13</v>
      </c>
      <c r="L895" s="3" t="n">
        <f aca="false">'1. Raw Data'!L894</f>
        <v>0</v>
      </c>
      <c r="M895" s="3" t="n">
        <f aca="false">'1. Raw Data'!M894</f>
        <v>1</v>
      </c>
      <c r="N895" s="3" t="str">
        <f aca="false">'1. Raw Data'!N894</f>
        <v>Yes</v>
      </c>
    </row>
    <row r="896" customFormat="false" ht="15" hidden="false" customHeight="false" outlineLevel="0" collapsed="false">
      <c r="A896" s="3" t="str">
        <f aca="false">'1. Raw Data'!A895</f>
        <v>EMP-0894</v>
      </c>
      <c r="B896" s="3" t="n">
        <f aca="false">'1. Raw Data'!B895</f>
        <v>39</v>
      </c>
      <c r="C896" s="3" t="str">
        <f aca="false">'1. Raw Data'!C895</f>
        <v>Finance</v>
      </c>
      <c r="D896" s="3" t="str">
        <f aca="false">'1. Raw Data'!D895</f>
        <v>Mid</v>
      </c>
      <c r="E896" s="3" t="str">
        <f aca="false">'1. Raw Data'!E895</f>
        <v>Marketing</v>
      </c>
      <c r="F896" s="3" t="n">
        <f aca="false">'1. Raw Data'!F895</f>
        <v>10.9</v>
      </c>
      <c r="G896" s="3" t="n">
        <f aca="false">IF('1. Raw Data'!G895="",ROUND(IFERROR(AVERAGEIFS('1. Raw Data'!G2:G1201,'1. Raw Data'!C2:C1201,'1. Raw Data'!C895,'1. Raw Data'!D2:D1201,'1. Raw Data'!D895),0),2),'1. Raw Data'!G895)</f>
        <v>4362.53</v>
      </c>
      <c r="H896" s="3" t="str">
        <f aca="false">PROPER('1. Raw Data'!H895)</f>
        <v>No</v>
      </c>
      <c r="I896" s="3" t="n">
        <f aca="false">'1. Raw Data'!I895</f>
        <v>3</v>
      </c>
      <c r="J896" s="3" t="n">
        <f aca="false">'1. Raw Data'!J895</f>
        <v>4</v>
      </c>
      <c r="K896" s="3" t="n">
        <f aca="false">'1. Raw Data'!K895</f>
        <v>8</v>
      </c>
      <c r="L896" s="3" t="n">
        <f aca="false">'1. Raw Data'!L895</f>
        <v>0</v>
      </c>
      <c r="M896" s="3" t="n">
        <f aca="false">'1. Raw Data'!M895</f>
        <v>3</v>
      </c>
      <c r="N896" s="3" t="str">
        <f aca="false">'1. Raw Data'!N895</f>
        <v>No</v>
      </c>
    </row>
    <row r="897" customFormat="false" ht="15" hidden="false" customHeight="false" outlineLevel="0" collapsed="false">
      <c r="A897" s="3" t="str">
        <f aca="false">'1. Raw Data'!A896</f>
        <v>EMP-0895</v>
      </c>
      <c r="B897" s="3" t="n">
        <f aca="false">'1. Raw Data'!B896</f>
        <v>21</v>
      </c>
      <c r="C897" s="3" t="str">
        <f aca="false">'1. Raw Data'!C896</f>
        <v>Customer Support</v>
      </c>
      <c r="D897" s="3" t="str">
        <f aca="false">'1. Raw Data'!D896</f>
        <v>Mid</v>
      </c>
      <c r="E897" s="3" t="str">
        <f aca="false">'1. Raw Data'!E896</f>
        <v>Marketing</v>
      </c>
      <c r="F897" s="3" t="n">
        <f aca="false">'1. Raw Data'!F896</f>
        <v>0</v>
      </c>
      <c r="G897" s="3" t="n">
        <f aca="false">IF('1. Raw Data'!G896="",ROUND(IFERROR(AVERAGEIFS('1. Raw Data'!G2:G1201,'1. Raw Data'!C2:C1201,'1. Raw Data'!C896,'1. Raw Data'!D2:D1201,'1. Raw Data'!D896),0),2),'1. Raw Data'!G896)</f>
        <v>5307.17</v>
      </c>
      <c r="H897" s="3" t="str">
        <f aca="false">PROPER('1. Raw Data'!H896)</f>
        <v>No</v>
      </c>
      <c r="I897" s="3" t="n">
        <f aca="false">'1. Raw Data'!I896</f>
        <v>4</v>
      </c>
      <c r="J897" s="3" t="n">
        <f aca="false">'1. Raw Data'!J896</f>
        <v>3</v>
      </c>
      <c r="K897" s="3" t="n">
        <f aca="false">'1. Raw Data'!K896</f>
        <v>4</v>
      </c>
      <c r="L897" s="3" t="n">
        <f aca="false">'1. Raw Data'!L896</f>
        <v>0</v>
      </c>
      <c r="M897" s="3" t="n">
        <f aca="false">'1. Raw Data'!M896</f>
        <v>3</v>
      </c>
      <c r="N897" s="3" t="str">
        <f aca="false">'1. Raw Data'!N896</f>
        <v>No</v>
      </c>
    </row>
    <row r="898" customFormat="false" ht="15" hidden="false" customHeight="false" outlineLevel="0" collapsed="false">
      <c r="A898" s="3" t="str">
        <f aca="false">'1. Raw Data'!A897</f>
        <v>EMP-0896</v>
      </c>
      <c r="B898" s="3" t="n">
        <f aca="false">'1. Raw Data'!B897</f>
        <v>43</v>
      </c>
      <c r="C898" s="3" t="str">
        <f aca="false">'1. Raw Data'!C897</f>
        <v>Marketing</v>
      </c>
      <c r="D898" s="3" t="str">
        <f aca="false">'1. Raw Data'!D897</f>
        <v>Junior</v>
      </c>
      <c r="E898" s="3" t="str">
        <f aca="false">'1. Raw Data'!E897</f>
        <v>Marketing</v>
      </c>
      <c r="F898" s="3" t="n">
        <f aca="false">'1. Raw Data'!F897</f>
        <v>0.4</v>
      </c>
      <c r="G898" s="3" t="n">
        <f aca="false">IF('1. Raw Data'!G897="",ROUND(IFERROR(AVERAGEIFS('1. Raw Data'!G2:G1201,'1. Raw Data'!C2:C1201,'1. Raw Data'!C897,'1. Raw Data'!D2:D1201,'1. Raw Data'!D897),0),2),'1. Raw Data'!G897)</f>
        <v>3765.85</v>
      </c>
      <c r="H898" s="3" t="str">
        <f aca="false">PROPER('1. Raw Data'!H897)</f>
        <v>No</v>
      </c>
      <c r="I898" s="3" t="n">
        <f aca="false">'1. Raw Data'!I897</f>
        <v>1</v>
      </c>
      <c r="J898" s="3" t="n">
        <f aca="false">'1. Raw Data'!J897</f>
        <v>2</v>
      </c>
      <c r="K898" s="3" t="n">
        <f aca="false">'1. Raw Data'!K897</f>
        <v>2</v>
      </c>
      <c r="L898" s="3" t="n">
        <f aca="false">'1. Raw Data'!L897</f>
        <v>0</v>
      </c>
      <c r="M898" s="3" t="n">
        <f aca="false">'1. Raw Data'!M897</f>
        <v>1</v>
      </c>
      <c r="N898" s="3" t="str">
        <f aca="false">'1. Raw Data'!N897</f>
        <v>No</v>
      </c>
    </row>
    <row r="899" customFormat="false" ht="15" hidden="false" customHeight="false" outlineLevel="0" collapsed="false">
      <c r="A899" s="3" t="str">
        <f aca="false">'1. Raw Data'!A898</f>
        <v>EMP-0897</v>
      </c>
      <c r="B899" s="3" t="n">
        <f aca="false">'1. Raw Data'!B898</f>
        <v>40</v>
      </c>
      <c r="C899" s="3" t="str">
        <f aca="false">'1. Raw Data'!C898</f>
        <v>Marketing</v>
      </c>
      <c r="D899" s="3" t="str">
        <f aca="false">'1. Raw Data'!D898</f>
        <v>Mid</v>
      </c>
      <c r="E899" s="3" t="str">
        <f aca="false">'1. Raw Data'!E898</f>
        <v>Other</v>
      </c>
      <c r="F899" s="3" t="n">
        <f aca="false">'1. Raw Data'!F898</f>
        <v>0.3</v>
      </c>
      <c r="G899" s="3" t="n">
        <f aca="false">IF('1. Raw Data'!G898="",ROUND(IFERROR(AVERAGEIFS('1. Raw Data'!G2:G1201,'1. Raw Data'!C2:C1201,'1. Raw Data'!C898,'1. Raw Data'!D2:D1201,'1. Raw Data'!D898),0),2),'1. Raw Data'!G898)</f>
        <v>5724.51</v>
      </c>
      <c r="H899" s="3" t="str">
        <f aca="false">PROPER('1. Raw Data'!H898)</f>
        <v>No</v>
      </c>
      <c r="I899" s="3" t="n">
        <f aca="false">'1. Raw Data'!I898</f>
        <v>2</v>
      </c>
      <c r="J899" s="3" t="n">
        <f aca="false">'1. Raw Data'!J898</f>
        <v>3</v>
      </c>
      <c r="K899" s="3" t="n">
        <f aca="false">'1. Raw Data'!K898</f>
        <v>16</v>
      </c>
      <c r="L899" s="3" t="n">
        <f aca="false">'1. Raw Data'!L898</f>
        <v>0</v>
      </c>
      <c r="M899" s="3" t="n">
        <f aca="false">'1. Raw Data'!M898</f>
        <v>1</v>
      </c>
      <c r="N899" s="3" t="str">
        <f aca="false">'1. Raw Data'!N898</f>
        <v>No</v>
      </c>
    </row>
    <row r="900" customFormat="false" ht="15" hidden="false" customHeight="false" outlineLevel="0" collapsed="false">
      <c r="A900" s="3" t="str">
        <f aca="false">'1. Raw Data'!A899</f>
        <v>EMP-0898</v>
      </c>
      <c r="B900" s="3" t="n">
        <f aca="false">'1. Raw Data'!B899</f>
        <v>25</v>
      </c>
      <c r="C900" s="3" t="str">
        <f aca="false">'1. Raw Data'!C899</f>
        <v>Marketing</v>
      </c>
      <c r="D900" s="3" t="str">
        <f aca="false">'1. Raw Data'!D899</f>
        <v>Senior</v>
      </c>
      <c r="E900" s="3" t="str">
        <f aca="false">'1. Raw Data'!E899</f>
        <v>Business</v>
      </c>
      <c r="F900" s="3" t="n">
        <f aca="false">'1. Raw Data'!F899</f>
        <v>2.7</v>
      </c>
      <c r="G900" s="3" t="n">
        <f aca="false">IF('1. Raw Data'!G899="",ROUND(IFERROR(AVERAGEIFS('1. Raw Data'!G2:G1201,'1. Raw Data'!C2:C1201,'1. Raw Data'!C899,'1. Raw Data'!D2:D1201,'1. Raw Data'!D899),0),2),'1. Raw Data'!G899)</f>
        <v>8212.19</v>
      </c>
      <c r="H900" s="3" t="str">
        <f aca="false">PROPER('1. Raw Data'!H899)</f>
        <v>No</v>
      </c>
      <c r="I900" s="3" t="n">
        <f aca="false">'1. Raw Data'!I899</f>
        <v>1</v>
      </c>
      <c r="J900" s="3" t="n">
        <f aca="false">'1. Raw Data'!J899</f>
        <v>4</v>
      </c>
      <c r="K900" s="3" t="n">
        <f aca="false">'1. Raw Data'!K899</f>
        <v>40</v>
      </c>
      <c r="L900" s="3" t="n">
        <f aca="false">'1. Raw Data'!L899</f>
        <v>0</v>
      </c>
      <c r="M900" s="3" t="n">
        <f aca="false">'1. Raw Data'!M899</f>
        <v>2</v>
      </c>
      <c r="N900" s="3" t="str">
        <f aca="false">'1. Raw Data'!N899</f>
        <v>Yes</v>
      </c>
    </row>
    <row r="901" customFormat="false" ht="15" hidden="false" customHeight="false" outlineLevel="0" collapsed="false">
      <c r="A901" s="3" t="str">
        <f aca="false">'1. Raw Data'!A900</f>
        <v>EMP-0899</v>
      </c>
      <c r="B901" s="3" t="n">
        <f aca="false">'1. Raw Data'!B900</f>
        <v>34</v>
      </c>
      <c r="C901" s="3" t="str">
        <f aca="false">'1. Raw Data'!C900</f>
        <v>Sales</v>
      </c>
      <c r="D901" s="3" t="str">
        <f aca="false">'1. Raw Data'!D900</f>
        <v>Mid</v>
      </c>
      <c r="E901" s="3" t="str">
        <f aca="false">'1. Raw Data'!E900</f>
        <v>Other</v>
      </c>
      <c r="F901" s="3" t="n">
        <f aca="false">'1. Raw Data'!F900</f>
        <v>2.1</v>
      </c>
      <c r="G901" s="3" t="n">
        <f aca="false">IF('1. Raw Data'!G900="",ROUND(IFERROR(AVERAGEIFS('1. Raw Data'!G2:G1201,'1. Raw Data'!C2:C1201,'1. Raw Data'!C900,'1. Raw Data'!D2:D1201,'1. Raw Data'!D900),0),2),'1. Raw Data'!G900)</f>
        <v>4971.15</v>
      </c>
      <c r="H901" s="3" t="str">
        <f aca="false">PROPER('1. Raw Data'!H900)</f>
        <v>Yes</v>
      </c>
      <c r="I901" s="3" t="n">
        <f aca="false">'1. Raw Data'!I900</f>
        <v>1</v>
      </c>
      <c r="J901" s="3" t="n">
        <f aca="false">'1. Raw Data'!J900</f>
        <v>2</v>
      </c>
      <c r="K901" s="3" t="n">
        <f aca="false">'1. Raw Data'!K900</f>
        <v>5</v>
      </c>
      <c r="L901" s="3" t="n">
        <f aca="false">'1. Raw Data'!L900</f>
        <v>1</v>
      </c>
      <c r="M901" s="3" t="n">
        <f aca="false">'1. Raw Data'!M900</f>
        <v>1</v>
      </c>
      <c r="N901" s="3" t="str">
        <f aca="false">'1. Raw Data'!N900</f>
        <v>No</v>
      </c>
    </row>
    <row r="902" customFormat="false" ht="15" hidden="false" customHeight="false" outlineLevel="0" collapsed="false">
      <c r="A902" s="3" t="str">
        <f aca="false">'1. Raw Data'!A901</f>
        <v>EMP-0900</v>
      </c>
      <c r="B902" s="3" t="n">
        <f aca="false">'1. Raw Data'!B901</f>
        <v>41</v>
      </c>
      <c r="C902" s="3" t="str">
        <f aca="false">'1. Raw Data'!C901</f>
        <v>Finance</v>
      </c>
      <c r="D902" s="3" t="str">
        <f aca="false">'1. Raw Data'!D901</f>
        <v>Lead</v>
      </c>
      <c r="E902" s="3" t="str">
        <f aca="false">'1. Raw Data'!E901</f>
        <v>Other</v>
      </c>
      <c r="F902" s="3" t="n">
        <f aca="false">'1. Raw Data'!F901</f>
        <v>0.6</v>
      </c>
      <c r="G902" s="3" t="n">
        <f aca="false">IF('1. Raw Data'!G901="",ROUND(IFERROR(AVERAGEIFS('1. Raw Data'!G2:G1201,'1. Raw Data'!C2:C1201,'1. Raw Data'!C901,'1. Raw Data'!D2:D1201,'1. Raw Data'!D901),0),2),'1. Raw Data'!G901)</f>
        <v>9271.41</v>
      </c>
      <c r="H902" s="3" t="str">
        <f aca="false">PROPER('1. Raw Data'!H901)</f>
        <v>Yes</v>
      </c>
      <c r="I902" s="3" t="n">
        <f aca="false">'1. Raw Data'!I901</f>
        <v>3</v>
      </c>
      <c r="J902" s="3" t="n">
        <f aca="false">'1. Raw Data'!J901</f>
        <v>4</v>
      </c>
      <c r="K902" s="3" t="n">
        <f aca="false">'1. Raw Data'!K901</f>
        <v>7</v>
      </c>
      <c r="L902" s="3" t="n">
        <f aca="false">'1. Raw Data'!L901</f>
        <v>0</v>
      </c>
      <c r="M902" s="3" t="n">
        <f aca="false">'1. Raw Data'!M901</f>
        <v>4</v>
      </c>
      <c r="N902" s="3" t="str">
        <f aca="false">'1. Raw Data'!N901</f>
        <v>Yes</v>
      </c>
    </row>
    <row r="903" customFormat="false" ht="15" hidden="false" customHeight="false" outlineLevel="0" collapsed="false">
      <c r="A903" s="3" t="str">
        <f aca="false">'1. Raw Data'!A902</f>
        <v>EMP-0901</v>
      </c>
      <c r="B903" s="3" t="n">
        <f aca="false">'1. Raw Data'!B902</f>
        <v>24</v>
      </c>
      <c r="C903" s="3" t="str">
        <f aca="false">'1. Raw Data'!C902</f>
        <v>Engineering</v>
      </c>
      <c r="D903" s="3" t="str">
        <f aca="false">'1. Raw Data'!D902</f>
        <v>Senior</v>
      </c>
      <c r="E903" s="3" t="str">
        <f aca="false">'1. Raw Data'!E902</f>
        <v>Business</v>
      </c>
      <c r="F903" s="3" t="n">
        <f aca="false">'1. Raw Data'!F902</f>
        <v>3</v>
      </c>
      <c r="G903" s="3" t="n">
        <f aca="false">IF('1. Raw Data'!G902="",ROUND(IFERROR(AVERAGEIFS('1. Raw Data'!G2:G1201,'1. Raw Data'!C2:C1201,'1. Raw Data'!C902,'1. Raw Data'!D2:D1201,'1. Raw Data'!D902),0),2),'1. Raw Data'!G902)</f>
        <v>7838.11</v>
      </c>
      <c r="H903" s="3" t="str">
        <f aca="false">PROPER('1. Raw Data'!H902)</f>
        <v>Yes</v>
      </c>
      <c r="I903" s="3" t="n">
        <f aca="false">'1. Raw Data'!I902</f>
        <v>4</v>
      </c>
      <c r="J903" s="3" t="n">
        <f aca="false">'1. Raw Data'!J902</f>
        <v>2</v>
      </c>
      <c r="K903" s="3" t="n">
        <f aca="false">'1. Raw Data'!K902</f>
        <v>27</v>
      </c>
      <c r="L903" s="3" t="n">
        <f aca="false">'1. Raw Data'!L902</f>
        <v>0</v>
      </c>
      <c r="M903" s="3" t="n">
        <f aca="false">'1. Raw Data'!M902</f>
        <v>0</v>
      </c>
      <c r="N903" s="3" t="str">
        <f aca="false">'1. Raw Data'!N902</f>
        <v>No</v>
      </c>
    </row>
    <row r="904" customFormat="false" ht="15" hidden="false" customHeight="false" outlineLevel="0" collapsed="false">
      <c r="A904" s="3" t="str">
        <f aca="false">'1. Raw Data'!A903</f>
        <v>EMP-0902</v>
      </c>
      <c r="B904" s="3" t="n">
        <f aca="false">'1. Raw Data'!B903</f>
        <v>29</v>
      </c>
      <c r="C904" s="3" t="str">
        <f aca="false">'1. Raw Data'!C903</f>
        <v>Engineering</v>
      </c>
      <c r="D904" s="3" t="str">
        <f aca="false">'1. Raw Data'!D903</f>
        <v>Mid</v>
      </c>
      <c r="E904" s="3" t="str">
        <f aca="false">'1. Raw Data'!E903</f>
        <v>Marketing</v>
      </c>
      <c r="F904" s="3" t="n">
        <f aca="false">'1. Raw Data'!F903</f>
        <v>3.1</v>
      </c>
      <c r="G904" s="3" t="n">
        <f aca="false">IF('1. Raw Data'!G903="",ROUND(IFERROR(AVERAGEIFS('1. Raw Data'!G2:G1201,'1. Raw Data'!C2:C1201,'1. Raw Data'!C903,'1. Raw Data'!D2:D1201,'1. Raw Data'!D903),0),2),'1. Raw Data'!G903)</f>
        <v>4364.56</v>
      </c>
      <c r="H904" s="3" t="str">
        <f aca="false">PROPER('1. Raw Data'!H903)</f>
        <v>No</v>
      </c>
      <c r="I904" s="3" t="n">
        <f aca="false">'1. Raw Data'!I903</f>
        <v>2</v>
      </c>
      <c r="J904" s="3" t="n">
        <f aca="false">'1. Raw Data'!J903</f>
        <v>3</v>
      </c>
      <c r="K904" s="3" t="n">
        <f aca="false">'1. Raw Data'!K903</f>
        <v>34</v>
      </c>
      <c r="L904" s="3" t="n">
        <f aca="false">'1. Raw Data'!L903</f>
        <v>2</v>
      </c>
      <c r="M904" s="3" t="n">
        <f aca="false">'1. Raw Data'!M903</f>
        <v>2</v>
      </c>
      <c r="N904" s="3" t="str">
        <f aca="false">'1. Raw Data'!N903</f>
        <v>No</v>
      </c>
    </row>
    <row r="905" customFormat="false" ht="15" hidden="false" customHeight="false" outlineLevel="0" collapsed="false">
      <c r="A905" s="3" t="str">
        <f aca="false">'1. Raw Data'!A904</f>
        <v>EMP-0903</v>
      </c>
      <c r="B905" s="3" t="n">
        <f aca="false">'1. Raw Data'!B904</f>
        <v>41</v>
      </c>
      <c r="C905" s="3" t="str">
        <f aca="false">'1. Raw Data'!C904</f>
        <v>Marketing</v>
      </c>
      <c r="D905" s="3" t="str">
        <f aca="false">'1. Raw Data'!D904</f>
        <v>Mid</v>
      </c>
      <c r="E905" s="3" t="str">
        <f aca="false">'1. Raw Data'!E904</f>
        <v>Business</v>
      </c>
      <c r="F905" s="3" t="n">
        <f aca="false">'1. Raw Data'!F904</f>
        <v>3.1</v>
      </c>
      <c r="G905" s="3" t="n">
        <f aca="false">IF('1. Raw Data'!G904="",ROUND(IFERROR(AVERAGEIFS('1. Raw Data'!G2:G1201,'1. Raw Data'!C2:C1201,'1. Raw Data'!C904,'1. Raw Data'!D2:D1201,'1. Raw Data'!D904),0),2),'1. Raw Data'!G904)</f>
        <v>4821.75</v>
      </c>
      <c r="H905" s="3" t="str">
        <f aca="false">PROPER('1. Raw Data'!H904)</f>
        <v>No</v>
      </c>
      <c r="I905" s="3" t="n">
        <f aca="false">'1. Raw Data'!I904</f>
        <v>3</v>
      </c>
      <c r="J905" s="3" t="n">
        <f aca="false">'1. Raw Data'!J904</f>
        <v>1</v>
      </c>
      <c r="K905" s="3" t="n">
        <f aca="false">'1. Raw Data'!K904</f>
        <v>2</v>
      </c>
      <c r="L905" s="3" t="n">
        <f aca="false">'1. Raw Data'!L904</f>
        <v>0</v>
      </c>
      <c r="M905" s="3" t="n">
        <f aca="false">'1. Raw Data'!M904</f>
        <v>5</v>
      </c>
      <c r="N905" s="3" t="str">
        <f aca="false">'1. Raw Data'!N904</f>
        <v>No</v>
      </c>
    </row>
    <row r="906" customFormat="false" ht="15" hidden="false" customHeight="false" outlineLevel="0" collapsed="false">
      <c r="A906" s="3" t="str">
        <f aca="false">'1. Raw Data'!A905</f>
        <v>EMP-0904</v>
      </c>
      <c r="B906" s="3" t="n">
        <f aca="false">'1. Raw Data'!B905</f>
        <v>30</v>
      </c>
      <c r="C906" s="3" t="str">
        <f aca="false">'1. Raw Data'!C905</f>
        <v>Sales</v>
      </c>
      <c r="D906" s="3" t="str">
        <f aca="false">'1. Raw Data'!D905</f>
        <v>Senior</v>
      </c>
      <c r="E906" s="3" t="str">
        <f aca="false">'1. Raw Data'!E905</f>
        <v>Other</v>
      </c>
      <c r="F906" s="3" t="n">
        <f aca="false">'1. Raw Data'!F905</f>
        <v>0.4</v>
      </c>
      <c r="G906" s="3" t="n">
        <f aca="false">IF('1. Raw Data'!G905="",ROUND(IFERROR(AVERAGEIFS('1. Raw Data'!G2:G1201,'1. Raw Data'!C2:C1201,'1. Raw Data'!C905,'1. Raw Data'!D2:D1201,'1. Raw Data'!D905),0),2),'1. Raw Data'!G905)</f>
        <v>8629.37</v>
      </c>
      <c r="H906" s="3" t="str">
        <f aca="false">PROPER('1. Raw Data'!H905)</f>
        <v>No</v>
      </c>
      <c r="I906" s="3" t="n">
        <f aca="false">'1. Raw Data'!I905</f>
        <v>3</v>
      </c>
      <c r="J906" s="3" t="n">
        <f aca="false">'1. Raw Data'!J905</f>
        <v>3</v>
      </c>
      <c r="K906" s="3" t="n">
        <f aca="false">'1. Raw Data'!K905</f>
        <v>6</v>
      </c>
      <c r="L906" s="3" t="n">
        <f aca="false">'1. Raw Data'!L905</f>
        <v>0</v>
      </c>
      <c r="M906" s="3" t="n">
        <f aca="false">'1. Raw Data'!M905</f>
        <v>3</v>
      </c>
      <c r="N906" s="3" t="str">
        <f aca="false">'1. Raw Data'!N905</f>
        <v>No</v>
      </c>
    </row>
    <row r="907" customFormat="false" ht="15" hidden="false" customHeight="false" outlineLevel="0" collapsed="false">
      <c r="A907" s="3" t="str">
        <f aca="false">'1. Raw Data'!A906</f>
        <v>EMP-0905</v>
      </c>
      <c r="B907" s="3" t="n">
        <f aca="false">'1. Raw Data'!B906</f>
        <v>45</v>
      </c>
      <c r="C907" s="3" t="str">
        <f aca="false">'1. Raw Data'!C906</f>
        <v>Engineering</v>
      </c>
      <c r="D907" s="3" t="str">
        <f aca="false">'1. Raw Data'!D906</f>
        <v>Mid</v>
      </c>
      <c r="E907" s="3" t="str">
        <f aca="false">'1. Raw Data'!E906</f>
        <v>Marketing</v>
      </c>
      <c r="F907" s="3" t="n">
        <f aca="false">'1. Raw Data'!F906</f>
        <v>5.1</v>
      </c>
      <c r="G907" s="3" t="n">
        <f aca="false">IF('1. Raw Data'!G906="",ROUND(IFERROR(AVERAGEIFS('1. Raw Data'!G2:G1201,'1. Raw Data'!C2:C1201,'1. Raw Data'!C906,'1. Raw Data'!D2:D1201,'1. Raw Data'!D906),0),2),'1. Raw Data'!G906)</f>
        <v>5150.34</v>
      </c>
      <c r="H907" s="3" t="str">
        <f aca="false">PROPER('1. Raw Data'!H906)</f>
        <v>No</v>
      </c>
      <c r="I907" s="3" t="n">
        <f aca="false">'1. Raw Data'!I906</f>
        <v>3</v>
      </c>
      <c r="J907" s="3" t="n">
        <f aca="false">'1. Raw Data'!J906</f>
        <v>3</v>
      </c>
      <c r="K907" s="3" t="n">
        <f aca="false">'1. Raw Data'!K906</f>
        <v>3</v>
      </c>
      <c r="L907" s="3" t="n">
        <f aca="false">'1. Raw Data'!L906</f>
        <v>1</v>
      </c>
      <c r="M907" s="3" t="n">
        <f aca="false">'1. Raw Data'!M906</f>
        <v>3</v>
      </c>
      <c r="N907" s="3" t="str">
        <f aca="false">'1. Raw Data'!N906</f>
        <v>No</v>
      </c>
    </row>
    <row r="908" customFormat="false" ht="15" hidden="false" customHeight="false" outlineLevel="0" collapsed="false">
      <c r="A908" s="3" t="str">
        <f aca="false">'1. Raw Data'!A907</f>
        <v>EMP-0906</v>
      </c>
      <c r="B908" s="3" t="n">
        <f aca="false">'1. Raw Data'!B907</f>
        <v>29</v>
      </c>
      <c r="C908" s="3" t="str">
        <f aca="false">'1. Raw Data'!C907</f>
        <v>Engineering</v>
      </c>
      <c r="D908" s="3" t="str">
        <f aca="false">'1. Raw Data'!D907</f>
        <v>Junior</v>
      </c>
      <c r="E908" s="3" t="str">
        <f aca="false">'1. Raw Data'!E907</f>
        <v>Other</v>
      </c>
      <c r="F908" s="3" t="n">
        <f aca="false">'1. Raw Data'!F907</f>
        <v>0.2</v>
      </c>
      <c r="G908" s="3" t="n">
        <f aca="false">IF('1. Raw Data'!G907="",ROUND(IFERROR(AVERAGEIFS('1. Raw Data'!G2:G1201,'1. Raw Data'!C2:C1201,'1. Raw Data'!C907,'1. Raw Data'!D2:D1201,'1. Raw Data'!D907),0),2),'1. Raw Data'!G907)</f>
        <v>3504.9</v>
      </c>
      <c r="H908" s="3" t="str">
        <f aca="false">PROPER('1. Raw Data'!H907)</f>
        <v>No</v>
      </c>
      <c r="I908" s="3" t="n">
        <f aca="false">'1. Raw Data'!I907</f>
        <v>4</v>
      </c>
      <c r="J908" s="3" t="n">
        <f aca="false">'1. Raw Data'!J907</f>
        <v>3</v>
      </c>
      <c r="K908" s="3" t="n">
        <f aca="false">'1. Raw Data'!K907</f>
        <v>15</v>
      </c>
      <c r="L908" s="3" t="n">
        <f aca="false">'1. Raw Data'!L907</f>
        <v>0</v>
      </c>
      <c r="M908" s="3" t="n">
        <f aca="false">'1. Raw Data'!M907</f>
        <v>0</v>
      </c>
      <c r="N908" s="3" t="str">
        <f aca="false">'1. Raw Data'!N907</f>
        <v>Yes</v>
      </c>
    </row>
    <row r="909" customFormat="false" ht="15" hidden="false" customHeight="false" outlineLevel="0" collapsed="false">
      <c r="A909" s="3" t="str">
        <f aca="false">'1. Raw Data'!A908</f>
        <v>EMP-0907</v>
      </c>
      <c r="B909" s="3" t="n">
        <f aca="false">'1. Raw Data'!B908</f>
        <v>36</v>
      </c>
      <c r="C909" s="3" t="str">
        <f aca="false">'1. Raw Data'!C908</f>
        <v>Engineering</v>
      </c>
      <c r="D909" s="3" t="str">
        <f aca="false">'1. Raw Data'!D908</f>
        <v>Junior</v>
      </c>
      <c r="E909" s="3" t="str">
        <f aca="false">'1. Raw Data'!E908</f>
        <v>Other</v>
      </c>
      <c r="F909" s="3" t="n">
        <f aca="false">'1. Raw Data'!F908</f>
        <v>0.8</v>
      </c>
      <c r="G909" s="3" t="n">
        <f aca="false">IF('1. Raw Data'!G908="",ROUND(IFERROR(AVERAGEIFS('1. Raw Data'!G2:G1201,'1. Raw Data'!C2:C1201,'1. Raw Data'!C908,'1. Raw Data'!D2:D1201,'1. Raw Data'!D908),0),2),'1. Raw Data'!G908)</f>
        <v>3770</v>
      </c>
      <c r="H909" s="3" t="str">
        <f aca="false">PROPER('1. Raw Data'!H908)</f>
        <v>No</v>
      </c>
      <c r="I909" s="3" t="n">
        <f aca="false">'1. Raw Data'!I908</f>
        <v>4</v>
      </c>
      <c r="J909" s="3" t="n">
        <f aca="false">'1. Raw Data'!J908</f>
        <v>3</v>
      </c>
      <c r="K909" s="3" t="n">
        <f aca="false">'1. Raw Data'!K908</f>
        <v>9</v>
      </c>
      <c r="L909" s="3" t="n">
        <f aca="false">'1. Raw Data'!L908</f>
        <v>0</v>
      </c>
      <c r="M909" s="3" t="n">
        <f aca="false">'1. Raw Data'!M908</f>
        <v>2</v>
      </c>
      <c r="N909" s="3" t="str">
        <f aca="false">'1. Raw Data'!N908</f>
        <v>No</v>
      </c>
    </row>
    <row r="910" customFormat="false" ht="15" hidden="false" customHeight="false" outlineLevel="0" collapsed="false">
      <c r="A910" s="3" t="str">
        <f aca="false">'1. Raw Data'!A909</f>
        <v>EMP-0908</v>
      </c>
      <c r="B910" s="3" t="n">
        <f aca="false">'1. Raw Data'!B909</f>
        <v>46</v>
      </c>
      <c r="C910" s="3" t="str">
        <f aca="false">'1. Raw Data'!C909</f>
        <v>Marketing</v>
      </c>
      <c r="D910" s="3" t="str">
        <f aca="false">'1. Raw Data'!D909</f>
        <v>Mid</v>
      </c>
      <c r="E910" s="3" t="str">
        <f aca="false">'1. Raw Data'!E909</f>
        <v>Technical</v>
      </c>
      <c r="F910" s="3" t="n">
        <f aca="false">'1. Raw Data'!F909</f>
        <v>3</v>
      </c>
      <c r="G910" s="3" t="n">
        <f aca="false">IF('1. Raw Data'!G909="",ROUND(IFERROR(AVERAGEIFS('1. Raw Data'!G2:G1201,'1. Raw Data'!C2:C1201,'1. Raw Data'!C909,'1. Raw Data'!D2:D1201,'1. Raw Data'!D909),0),2),'1. Raw Data'!G909)</f>
        <v>5695.24</v>
      </c>
      <c r="H910" s="3" t="str">
        <f aca="false">PROPER('1. Raw Data'!H909)</f>
        <v>No</v>
      </c>
      <c r="I910" s="3" t="n">
        <f aca="false">'1. Raw Data'!I909</f>
        <v>3</v>
      </c>
      <c r="J910" s="3" t="n">
        <f aca="false">'1. Raw Data'!J909</f>
        <v>2</v>
      </c>
      <c r="K910" s="3" t="n">
        <f aca="false">'1. Raw Data'!K909</f>
        <v>4</v>
      </c>
      <c r="L910" s="3" t="n">
        <f aca="false">'1. Raw Data'!L909</f>
        <v>0</v>
      </c>
      <c r="M910" s="3" t="n">
        <f aca="false">'1. Raw Data'!M909</f>
        <v>3</v>
      </c>
      <c r="N910" s="3" t="str">
        <f aca="false">'1. Raw Data'!N909</f>
        <v>Yes</v>
      </c>
    </row>
    <row r="911" customFormat="false" ht="15" hidden="false" customHeight="false" outlineLevel="0" collapsed="false">
      <c r="A911" s="3" t="str">
        <f aca="false">'1. Raw Data'!A910</f>
        <v>EMP-0909</v>
      </c>
      <c r="B911" s="3" t="n">
        <f aca="false">'1. Raw Data'!B910</f>
        <v>37</v>
      </c>
      <c r="C911" s="3" t="str">
        <f aca="false">'1. Raw Data'!C910</f>
        <v>HR</v>
      </c>
      <c r="D911" s="3" t="str">
        <f aca="false">'1. Raw Data'!D910</f>
        <v>Junior</v>
      </c>
      <c r="E911" s="3" t="str">
        <f aca="false">'1. Raw Data'!E910</f>
        <v>Other</v>
      </c>
      <c r="F911" s="3" t="n">
        <f aca="false">'1. Raw Data'!F910</f>
        <v>0.8</v>
      </c>
      <c r="G911" s="3" t="n">
        <f aca="false">IF('1. Raw Data'!G910="",ROUND(IFERROR(AVERAGEIFS('1. Raw Data'!G2:G1201,'1. Raw Data'!C2:C1201,'1. Raw Data'!C910,'1. Raw Data'!D2:D1201,'1. Raw Data'!D910),0),2),'1. Raw Data'!G910)</f>
        <v>3656.63</v>
      </c>
      <c r="H911" s="3" t="str">
        <f aca="false">PROPER('1. Raw Data'!H910)</f>
        <v>No</v>
      </c>
      <c r="I911" s="3" t="n">
        <f aca="false">'1. Raw Data'!I910</f>
        <v>3</v>
      </c>
      <c r="J911" s="3" t="n">
        <f aca="false">'1. Raw Data'!J910</f>
        <v>3</v>
      </c>
      <c r="K911" s="3" t="n">
        <f aca="false">'1. Raw Data'!K910</f>
        <v>2</v>
      </c>
      <c r="L911" s="3" t="n">
        <f aca="false">'1. Raw Data'!L910</f>
        <v>0</v>
      </c>
      <c r="M911" s="3" t="n">
        <f aca="false">'1. Raw Data'!M910</f>
        <v>3</v>
      </c>
      <c r="N911" s="3" t="str">
        <f aca="false">'1. Raw Data'!N910</f>
        <v>No</v>
      </c>
    </row>
    <row r="912" customFormat="false" ht="15" hidden="false" customHeight="false" outlineLevel="0" collapsed="false">
      <c r="A912" s="3" t="str">
        <f aca="false">'1. Raw Data'!A911</f>
        <v>EMP-0910</v>
      </c>
      <c r="B912" s="3" t="n">
        <f aca="false">'1. Raw Data'!B911</f>
        <v>21</v>
      </c>
      <c r="C912" s="3" t="str">
        <f aca="false">'1. Raw Data'!C911</f>
        <v>Engineering</v>
      </c>
      <c r="D912" s="3" t="str">
        <f aca="false">'1. Raw Data'!D911</f>
        <v>Mid</v>
      </c>
      <c r="E912" s="3" t="str">
        <f aca="false">'1. Raw Data'!E911</f>
        <v>Marketing</v>
      </c>
      <c r="F912" s="3" t="n">
        <f aca="false">'1. Raw Data'!F911</f>
        <v>0</v>
      </c>
      <c r="G912" s="3" t="n">
        <f aca="false">IF('1. Raw Data'!G911="",ROUND(IFERROR(AVERAGEIFS('1. Raw Data'!G2:G1201,'1. Raw Data'!C2:C1201,'1. Raw Data'!C911,'1. Raw Data'!D2:D1201,'1. Raw Data'!D911),0),2),'1. Raw Data'!G911)</f>
        <v>5599.1</v>
      </c>
      <c r="H912" s="3" t="str">
        <f aca="false">PROPER('1. Raw Data'!H911)</f>
        <v>Yes</v>
      </c>
      <c r="I912" s="3" t="n">
        <f aca="false">'1. Raw Data'!I911</f>
        <v>4</v>
      </c>
      <c r="J912" s="3" t="n">
        <f aca="false">'1. Raw Data'!J911</f>
        <v>4</v>
      </c>
      <c r="K912" s="3" t="n">
        <f aca="false">'1. Raw Data'!K911</f>
        <v>5</v>
      </c>
      <c r="L912" s="3" t="n">
        <f aca="false">'1. Raw Data'!L911</f>
        <v>0</v>
      </c>
      <c r="M912" s="3" t="n">
        <f aca="false">'1. Raw Data'!M911</f>
        <v>3</v>
      </c>
      <c r="N912" s="3" t="str">
        <f aca="false">'1. Raw Data'!N911</f>
        <v>No</v>
      </c>
    </row>
    <row r="913" customFormat="false" ht="15" hidden="false" customHeight="false" outlineLevel="0" collapsed="false">
      <c r="A913" s="3" t="str">
        <f aca="false">'1. Raw Data'!A912</f>
        <v>EMP-0911</v>
      </c>
      <c r="B913" s="3" t="n">
        <f aca="false">'1. Raw Data'!B912</f>
        <v>33</v>
      </c>
      <c r="C913" s="3" t="str">
        <f aca="false">'1. Raw Data'!C912</f>
        <v>Engineering</v>
      </c>
      <c r="D913" s="3" t="str">
        <f aca="false">'1. Raw Data'!D912</f>
        <v>Mid</v>
      </c>
      <c r="E913" s="3" t="str">
        <f aca="false">'1. Raw Data'!E912</f>
        <v>Technical</v>
      </c>
      <c r="F913" s="3" t="n">
        <f aca="false">'1. Raw Data'!F912</f>
        <v>8.2</v>
      </c>
      <c r="G913" s="3" t="n">
        <f aca="false">IF('1. Raw Data'!G912="",ROUND(IFERROR(AVERAGEIFS('1. Raw Data'!G2:G1201,'1. Raw Data'!C2:C1201,'1. Raw Data'!C912,'1. Raw Data'!D2:D1201,'1. Raw Data'!D912),0),2),'1. Raw Data'!G912)</f>
        <v>4614.21</v>
      </c>
      <c r="H913" s="3" t="str">
        <f aca="false">PROPER('1. Raw Data'!H912)</f>
        <v>No</v>
      </c>
      <c r="I913" s="3" t="n">
        <f aca="false">'1. Raw Data'!I912</f>
        <v>4</v>
      </c>
      <c r="J913" s="3" t="n">
        <f aca="false">'1. Raw Data'!J912</f>
        <v>4</v>
      </c>
      <c r="K913" s="3" t="n">
        <f aca="false">'1. Raw Data'!K912</f>
        <v>40</v>
      </c>
      <c r="L913" s="3" t="n">
        <f aca="false">'1. Raw Data'!L912</f>
        <v>0</v>
      </c>
      <c r="M913" s="3" t="n">
        <f aca="false">'1. Raw Data'!M912</f>
        <v>0</v>
      </c>
      <c r="N913" s="3" t="str">
        <f aca="false">'1. Raw Data'!N912</f>
        <v>No</v>
      </c>
    </row>
    <row r="914" customFormat="false" ht="15" hidden="false" customHeight="false" outlineLevel="0" collapsed="false">
      <c r="A914" s="3" t="str">
        <f aca="false">'1. Raw Data'!A913</f>
        <v>EMP-0912</v>
      </c>
      <c r="B914" s="3" t="n">
        <f aca="false">'1. Raw Data'!B913</f>
        <v>25</v>
      </c>
      <c r="C914" s="3" t="str">
        <f aca="false">'1. Raw Data'!C913</f>
        <v>Marketing</v>
      </c>
      <c r="D914" s="3" t="str">
        <f aca="false">'1. Raw Data'!D913</f>
        <v>Junior</v>
      </c>
      <c r="E914" s="3" t="str">
        <f aca="false">'1. Raw Data'!E913</f>
        <v>Business</v>
      </c>
      <c r="F914" s="3" t="n">
        <f aca="false">'1. Raw Data'!F913</f>
        <v>3.2</v>
      </c>
      <c r="G914" s="3" t="n">
        <f aca="false">IF('1. Raw Data'!G913="",ROUND(IFERROR(AVERAGEIFS('1. Raw Data'!G2:G1201,'1. Raw Data'!C2:C1201,'1. Raw Data'!C913,'1. Raw Data'!D2:D1201,'1. Raw Data'!D913),0),2),'1. Raw Data'!G913)</f>
        <v>2787.94</v>
      </c>
      <c r="H914" s="3" t="str">
        <f aca="false">PROPER('1. Raw Data'!H913)</f>
        <v>No</v>
      </c>
      <c r="I914" s="3" t="n">
        <f aca="false">'1. Raw Data'!I913</f>
        <v>3</v>
      </c>
      <c r="J914" s="3" t="n">
        <f aca="false">'1. Raw Data'!J913</f>
        <v>2</v>
      </c>
      <c r="K914" s="3" t="n">
        <f aca="false">'1. Raw Data'!K913</f>
        <v>2</v>
      </c>
      <c r="L914" s="3" t="n">
        <f aca="false">'1. Raw Data'!L913</f>
        <v>1</v>
      </c>
      <c r="M914" s="3" t="n">
        <f aca="false">'1. Raw Data'!M913</f>
        <v>1</v>
      </c>
      <c r="N914" s="3" t="str">
        <f aca="false">'1. Raw Data'!N913</f>
        <v>No</v>
      </c>
    </row>
    <row r="915" customFormat="false" ht="15" hidden="false" customHeight="false" outlineLevel="0" collapsed="false">
      <c r="A915" s="3" t="str">
        <f aca="false">'1. Raw Data'!A914</f>
        <v>EMP-0913</v>
      </c>
      <c r="B915" s="3" t="n">
        <f aca="false">'1. Raw Data'!B914</f>
        <v>33</v>
      </c>
      <c r="C915" s="3" t="str">
        <f aca="false">'1. Raw Data'!C914</f>
        <v>Marketing</v>
      </c>
      <c r="D915" s="3" t="str">
        <f aca="false">'1. Raw Data'!D914</f>
        <v>Senior</v>
      </c>
      <c r="E915" s="3" t="str">
        <f aca="false">'1. Raw Data'!E914</f>
        <v>Business</v>
      </c>
      <c r="F915" s="3" t="n">
        <f aca="false">'1. Raw Data'!F914</f>
        <v>0.5</v>
      </c>
      <c r="G915" s="3" t="n">
        <f aca="false">IF('1. Raw Data'!G914="",ROUND(IFERROR(AVERAGEIFS('1. Raw Data'!G2:G1201,'1. Raw Data'!C2:C1201,'1. Raw Data'!C914,'1. Raw Data'!D2:D1201,'1. Raw Data'!D914),0),2),'1. Raw Data'!G914)</f>
        <v>8465.84</v>
      </c>
      <c r="H915" s="3" t="str">
        <f aca="false">PROPER('1. Raw Data'!H914)</f>
        <v>Yes</v>
      </c>
      <c r="I915" s="3" t="n">
        <f aca="false">'1. Raw Data'!I914</f>
        <v>4</v>
      </c>
      <c r="J915" s="3" t="n">
        <f aca="false">'1. Raw Data'!J914</f>
        <v>2</v>
      </c>
      <c r="K915" s="3" t="n">
        <f aca="false">'1. Raw Data'!K914</f>
        <v>4</v>
      </c>
      <c r="L915" s="3" t="n">
        <f aca="false">'1. Raw Data'!L914</f>
        <v>0</v>
      </c>
      <c r="M915" s="3" t="n">
        <f aca="false">'1. Raw Data'!M914</f>
        <v>3</v>
      </c>
      <c r="N915" s="3" t="str">
        <f aca="false">'1. Raw Data'!N914</f>
        <v>No</v>
      </c>
    </row>
    <row r="916" customFormat="false" ht="15" hidden="false" customHeight="false" outlineLevel="0" collapsed="false">
      <c r="A916" s="3" t="str">
        <f aca="false">'1. Raw Data'!A915</f>
        <v>EMP-0914</v>
      </c>
      <c r="B916" s="3" t="n">
        <f aca="false">'1. Raw Data'!B915</f>
        <v>36</v>
      </c>
      <c r="C916" s="3" t="str">
        <f aca="false">'1. Raw Data'!C915</f>
        <v>Engineering</v>
      </c>
      <c r="D916" s="3" t="str">
        <f aca="false">'1. Raw Data'!D915</f>
        <v>Junior</v>
      </c>
      <c r="E916" s="3" t="str">
        <f aca="false">'1. Raw Data'!E915</f>
        <v>Technical</v>
      </c>
      <c r="F916" s="3" t="n">
        <f aca="false">'1. Raw Data'!F915</f>
        <v>7.3</v>
      </c>
      <c r="G916" s="3" t="n">
        <f aca="false">IF('1. Raw Data'!G915="",ROUND(IFERROR(AVERAGEIFS('1. Raw Data'!G2:G1201,'1. Raw Data'!C2:C1201,'1. Raw Data'!C915,'1. Raw Data'!D2:D1201,'1. Raw Data'!D915),0),2),'1. Raw Data'!G915)</f>
        <v>2839.18</v>
      </c>
      <c r="H916" s="3" t="str">
        <f aca="false">PROPER('1. Raw Data'!H915)</f>
        <v>Yes</v>
      </c>
      <c r="I916" s="3" t="n">
        <f aca="false">'1. Raw Data'!I915</f>
        <v>2</v>
      </c>
      <c r="J916" s="3" t="n">
        <f aca="false">'1. Raw Data'!J915</f>
        <v>3</v>
      </c>
      <c r="K916" s="3" t="n">
        <f aca="false">'1. Raw Data'!K915</f>
        <v>1</v>
      </c>
      <c r="L916" s="3" t="n">
        <f aca="false">'1. Raw Data'!L915</f>
        <v>2</v>
      </c>
      <c r="M916" s="3" t="n">
        <f aca="false">'1. Raw Data'!M915</f>
        <v>4</v>
      </c>
      <c r="N916" s="3" t="str">
        <f aca="false">'1. Raw Data'!N915</f>
        <v>Yes</v>
      </c>
    </row>
    <row r="917" customFormat="false" ht="15" hidden="false" customHeight="false" outlineLevel="0" collapsed="false">
      <c r="A917" s="3" t="str">
        <f aca="false">'1. Raw Data'!A916</f>
        <v>EMP-0915</v>
      </c>
      <c r="B917" s="3" t="n">
        <f aca="false">'1. Raw Data'!B916</f>
        <v>26</v>
      </c>
      <c r="C917" s="3" t="str">
        <f aca="false">'1. Raw Data'!C916</f>
        <v>Marketing</v>
      </c>
      <c r="D917" s="3" t="str">
        <f aca="false">'1. Raw Data'!D916</f>
        <v>Lead</v>
      </c>
      <c r="E917" s="3" t="str">
        <f aca="false">'1. Raw Data'!E916</f>
        <v>Business</v>
      </c>
      <c r="F917" s="3" t="n">
        <f aca="false">'1. Raw Data'!F916</f>
        <v>1.3</v>
      </c>
      <c r="G917" s="3" t="n">
        <f aca="false">IF('1. Raw Data'!G916="",ROUND(IFERROR(AVERAGEIFS('1. Raw Data'!G2:G1201,'1. Raw Data'!C2:C1201,'1. Raw Data'!C916,'1. Raw Data'!D2:D1201,'1. Raw Data'!D916),0),2),'1. Raw Data'!G916)</f>
        <v>9418.61</v>
      </c>
      <c r="H917" s="3" t="str">
        <f aca="false">PROPER('1. Raw Data'!H916)</f>
        <v>Yes</v>
      </c>
      <c r="I917" s="3" t="n">
        <f aca="false">'1. Raw Data'!I916</f>
        <v>4</v>
      </c>
      <c r="J917" s="3" t="n">
        <f aca="false">'1. Raw Data'!J916</f>
        <v>4</v>
      </c>
      <c r="K917" s="3" t="n">
        <f aca="false">'1. Raw Data'!K916</f>
        <v>4</v>
      </c>
      <c r="L917" s="3" t="n">
        <f aca="false">'1. Raw Data'!L916</f>
        <v>1</v>
      </c>
      <c r="M917" s="3" t="n">
        <f aca="false">'1. Raw Data'!M916</f>
        <v>1</v>
      </c>
      <c r="N917" s="3" t="str">
        <f aca="false">'1. Raw Data'!N916</f>
        <v>No</v>
      </c>
    </row>
    <row r="918" customFormat="false" ht="15" hidden="false" customHeight="false" outlineLevel="0" collapsed="false">
      <c r="A918" s="3" t="str">
        <f aca="false">'1. Raw Data'!A917</f>
        <v>EMP-0916</v>
      </c>
      <c r="B918" s="3" t="n">
        <f aca="false">'1. Raw Data'!B917</f>
        <v>28</v>
      </c>
      <c r="C918" s="3" t="str">
        <f aca="false">'1. Raw Data'!C917</f>
        <v>Engineering</v>
      </c>
      <c r="D918" s="3" t="str">
        <f aca="false">'1. Raw Data'!D917</f>
        <v>Senior</v>
      </c>
      <c r="E918" s="3" t="str">
        <f aca="false">'1. Raw Data'!E917</f>
        <v>Marketing</v>
      </c>
      <c r="F918" s="3" t="n">
        <f aca="false">'1. Raw Data'!F917</f>
        <v>3.6</v>
      </c>
      <c r="G918" s="3" t="n">
        <f aca="false">IF('1. Raw Data'!G917="",ROUND(IFERROR(AVERAGEIFS('1. Raw Data'!G2:G1201,'1. Raw Data'!C2:C1201,'1. Raw Data'!C917,'1. Raw Data'!D2:D1201,'1. Raw Data'!D917),0),2),'1. Raw Data'!G917)</f>
        <v>8257.77</v>
      </c>
      <c r="H918" s="3" t="str">
        <f aca="false">PROPER('1. Raw Data'!H917)</f>
        <v>No</v>
      </c>
      <c r="I918" s="3" t="n">
        <f aca="false">'1. Raw Data'!I917</f>
        <v>1</v>
      </c>
      <c r="J918" s="3" t="n">
        <f aca="false">'1. Raw Data'!J917</f>
        <v>1</v>
      </c>
      <c r="K918" s="3" t="n">
        <f aca="false">'1. Raw Data'!K917</f>
        <v>8</v>
      </c>
      <c r="L918" s="3" t="n">
        <f aca="false">'1. Raw Data'!L917</f>
        <v>0</v>
      </c>
      <c r="M918" s="3" t="n">
        <f aca="false">'1. Raw Data'!M917</f>
        <v>5</v>
      </c>
      <c r="N918" s="3" t="str">
        <f aca="false">'1. Raw Data'!N917</f>
        <v>No</v>
      </c>
    </row>
    <row r="919" customFormat="false" ht="15" hidden="false" customHeight="false" outlineLevel="0" collapsed="false">
      <c r="A919" s="3" t="str">
        <f aca="false">'1. Raw Data'!A918</f>
        <v>EMP-0917</v>
      </c>
      <c r="B919" s="3" t="n">
        <f aca="false">'1. Raw Data'!B918</f>
        <v>31</v>
      </c>
      <c r="C919" s="3" t="str">
        <f aca="false">'1. Raw Data'!C918</f>
        <v>Customer Support</v>
      </c>
      <c r="D919" s="3" t="str">
        <f aca="false">'1. Raw Data'!D918</f>
        <v>Mid</v>
      </c>
      <c r="E919" s="3" t="str">
        <f aca="false">'1. Raw Data'!E918</f>
        <v>Marketing</v>
      </c>
      <c r="F919" s="3" t="n">
        <f aca="false">'1. Raw Data'!F918</f>
        <v>1.7</v>
      </c>
      <c r="G919" s="3" t="n">
        <f aca="false">IF('1. Raw Data'!G918="",ROUND(IFERROR(AVERAGEIFS('1. Raw Data'!G2:G1201,'1. Raw Data'!C2:C1201,'1. Raw Data'!C918,'1. Raw Data'!D2:D1201,'1. Raw Data'!D918),0),2),'1. Raw Data'!G918)</f>
        <v>4646.69</v>
      </c>
      <c r="H919" s="3" t="str">
        <f aca="false">PROPER('1. Raw Data'!H918)</f>
        <v>Yes</v>
      </c>
      <c r="I919" s="3" t="n">
        <f aca="false">'1. Raw Data'!I918</f>
        <v>4</v>
      </c>
      <c r="J919" s="3" t="n">
        <f aca="false">'1. Raw Data'!J918</f>
        <v>1</v>
      </c>
      <c r="K919" s="3" t="n">
        <f aca="false">'1. Raw Data'!K918</f>
        <v>1</v>
      </c>
      <c r="L919" s="3" t="n">
        <f aca="false">'1. Raw Data'!L918</f>
        <v>1</v>
      </c>
      <c r="M919" s="3" t="n">
        <f aca="false">'1. Raw Data'!M918</f>
        <v>1</v>
      </c>
      <c r="N919" s="3" t="str">
        <f aca="false">'1. Raw Data'!N918</f>
        <v>Yes</v>
      </c>
    </row>
    <row r="920" customFormat="false" ht="15" hidden="false" customHeight="false" outlineLevel="0" collapsed="false">
      <c r="A920" s="3" t="str">
        <f aca="false">'1. Raw Data'!A919</f>
        <v>EMP-0918</v>
      </c>
      <c r="B920" s="3" t="n">
        <f aca="false">'1. Raw Data'!B919</f>
        <v>40</v>
      </c>
      <c r="C920" s="3" t="str">
        <f aca="false">'1. Raw Data'!C919</f>
        <v>Marketing</v>
      </c>
      <c r="D920" s="3" t="str">
        <f aca="false">'1. Raw Data'!D919</f>
        <v>Senior</v>
      </c>
      <c r="E920" s="3" t="str">
        <f aca="false">'1. Raw Data'!E919</f>
        <v>Marketing</v>
      </c>
      <c r="F920" s="3" t="n">
        <f aca="false">'1. Raw Data'!F919</f>
        <v>2.1</v>
      </c>
      <c r="G920" s="3" t="n">
        <f aca="false">IF('1. Raw Data'!G919="",ROUND(IFERROR(AVERAGEIFS('1. Raw Data'!G2:G1201,'1. Raw Data'!C2:C1201,'1. Raw Data'!C919,'1. Raw Data'!D2:D1201,'1. Raw Data'!D919),0),2),'1. Raw Data'!G919)</f>
        <v>7730.9</v>
      </c>
      <c r="H920" s="3" t="str">
        <f aca="false">PROPER('1. Raw Data'!H919)</f>
        <v>No</v>
      </c>
      <c r="I920" s="3" t="n">
        <f aca="false">'1. Raw Data'!I919</f>
        <v>1</v>
      </c>
      <c r="J920" s="3" t="n">
        <f aca="false">'1. Raw Data'!J919</f>
        <v>4</v>
      </c>
      <c r="K920" s="3" t="n">
        <f aca="false">'1. Raw Data'!K919</f>
        <v>32</v>
      </c>
      <c r="L920" s="3" t="n">
        <f aca="false">'1. Raw Data'!L919</f>
        <v>0</v>
      </c>
      <c r="M920" s="3" t="n">
        <f aca="false">'1. Raw Data'!M919</f>
        <v>2</v>
      </c>
      <c r="N920" s="3" t="str">
        <f aca="false">'1. Raw Data'!N919</f>
        <v>No</v>
      </c>
    </row>
    <row r="921" customFormat="false" ht="15" hidden="false" customHeight="false" outlineLevel="0" collapsed="false">
      <c r="A921" s="3" t="str">
        <f aca="false">'1. Raw Data'!A920</f>
        <v>EMP-0919</v>
      </c>
      <c r="B921" s="3" t="n">
        <f aca="false">'1. Raw Data'!B920</f>
        <v>21</v>
      </c>
      <c r="C921" s="3" t="str">
        <f aca="false">'1. Raw Data'!C920</f>
        <v>Sales</v>
      </c>
      <c r="D921" s="3" t="str">
        <f aca="false">'1. Raw Data'!D920</f>
        <v>Junior</v>
      </c>
      <c r="E921" s="3" t="str">
        <f aca="false">'1. Raw Data'!E920</f>
        <v>Marketing</v>
      </c>
      <c r="F921" s="3" t="n">
        <f aca="false">'1. Raw Data'!F920</f>
        <v>0</v>
      </c>
      <c r="G921" s="3" t="n">
        <f aca="false">IF('1. Raw Data'!G920="",ROUND(IFERROR(AVERAGEIFS('1. Raw Data'!G2:G1201,'1. Raw Data'!C2:C1201,'1. Raw Data'!C920,'1. Raw Data'!D2:D1201,'1. Raw Data'!D920),0),2),'1. Raw Data'!G920)</f>
        <v>3484.32</v>
      </c>
      <c r="H921" s="3" t="str">
        <f aca="false">PROPER('1. Raw Data'!H920)</f>
        <v>No</v>
      </c>
      <c r="I921" s="3" t="n">
        <f aca="false">'1. Raw Data'!I920</f>
        <v>4</v>
      </c>
      <c r="J921" s="3" t="n">
        <f aca="false">'1. Raw Data'!J920</f>
        <v>2</v>
      </c>
      <c r="K921" s="3" t="n">
        <f aca="false">'1. Raw Data'!K920</f>
        <v>17</v>
      </c>
      <c r="L921" s="3" t="n">
        <f aca="false">'1. Raw Data'!L920</f>
        <v>0</v>
      </c>
      <c r="M921" s="3" t="n">
        <f aca="false">'1. Raw Data'!M920</f>
        <v>1</v>
      </c>
      <c r="N921" s="3" t="str">
        <f aca="false">'1. Raw Data'!N920</f>
        <v>No</v>
      </c>
    </row>
    <row r="922" customFormat="false" ht="15" hidden="false" customHeight="false" outlineLevel="0" collapsed="false">
      <c r="A922" s="3" t="str">
        <f aca="false">'1. Raw Data'!A921</f>
        <v>EMP-0920</v>
      </c>
      <c r="B922" s="3" t="n">
        <f aca="false">'1. Raw Data'!B921</f>
        <v>41</v>
      </c>
      <c r="C922" s="3" t="str">
        <f aca="false">'1. Raw Data'!C921</f>
        <v>Marketing</v>
      </c>
      <c r="D922" s="3" t="str">
        <f aca="false">'1. Raw Data'!D921</f>
        <v>Senior</v>
      </c>
      <c r="E922" s="3" t="str">
        <f aca="false">'1. Raw Data'!E921</f>
        <v>Marketing</v>
      </c>
      <c r="F922" s="3" t="n">
        <f aca="false">'1. Raw Data'!F921</f>
        <v>7.9</v>
      </c>
      <c r="G922" s="3" t="n">
        <f aca="false">IF('1. Raw Data'!G921="",ROUND(IFERROR(AVERAGEIFS('1. Raw Data'!G2:G1201,'1. Raw Data'!C2:C1201,'1. Raw Data'!C921,'1. Raw Data'!D2:D1201,'1. Raw Data'!D921),0),2),'1. Raw Data'!G921)</f>
        <v>7598.83</v>
      </c>
      <c r="H922" s="3" t="str">
        <f aca="false">PROPER('1. Raw Data'!H921)</f>
        <v>No</v>
      </c>
      <c r="I922" s="3" t="n">
        <f aca="false">'1. Raw Data'!I921</f>
        <v>3</v>
      </c>
      <c r="J922" s="3" t="n">
        <f aca="false">'1. Raw Data'!J921</f>
        <v>3</v>
      </c>
      <c r="K922" s="3" t="n">
        <f aca="false">'1. Raw Data'!K921</f>
        <v>7</v>
      </c>
      <c r="L922" s="3" t="n">
        <f aca="false">'1. Raw Data'!L921</f>
        <v>5</v>
      </c>
      <c r="M922" s="3" t="n">
        <f aca="false">'1. Raw Data'!M921</f>
        <v>2</v>
      </c>
      <c r="N922" s="3" t="str">
        <f aca="false">'1. Raw Data'!N921</f>
        <v>No</v>
      </c>
    </row>
    <row r="923" customFormat="false" ht="15" hidden="false" customHeight="false" outlineLevel="0" collapsed="false">
      <c r="A923" s="3" t="str">
        <f aca="false">'1. Raw Data'!A922</f>
        <v>EMP-0921</v>
      </c>
      <c r="B923" s="3" t="n">
        <f aca="false">'1. Raw Data'!B922</f>
        <v>23</v>
      </c>
      <c r="C923" s="3" t="str">
        <f aca="false">'1. Raw Data'!C922</f>
        <v>Marketing</v>
      </c>
      <c r="D923" s="3" t="str">
        <f aca="false">'1. Raw Data'!D922</f>
        <v>Senior</v>
      </c>
      <c r="E923" s="3" t="str">
        <f aca="false">'1. Raw Data'!E922</f>
        <v>Marketing</v>
      </c>
      <c r="F923" s="3" t="n">
        <f aca="false">'1. Raw Data'!F922</f>
        <v>0</v>
      </c>
      <c r="G923" s="3" t="n">
        <f aca="false">IF('1. Raw Data'!G922="",ROUND(IFERROR(AVERAGEIFS('1. Raw Data'!G2:G1201,'1. Raw Data'!C2:C1201,'1. Raw Data'!C922,'1. Raw Data'!D2:D1201,'1. Raw Data'!D922),0),2),'1. Raw Data'!G922)</f>
        <v>7166.09</v>
      </c>
      <c r="H923" s="3" t="str">
        <f aca="false">PROPER('1. Raw Data'!H922)</f>
        <v>No</v>
      </c>
      <c r="I923" s="3" t="n">
        <f aca="false">'1. Raw Data'!I922</f>
        <v>4</v>
      </c>
      <c r="J923" s="3" t="n">
        <f aca="false">'1. Raw Data'!J922</f>
        <v>3</v>
      </c>
      <c r="K923" s="3" t="n">
        <f aca="false">'1. Raw Data'!K922</f>
        <v>1</v>
      </c>
      <c r="L923" s="3" t="n">
        <f aca="false">'1. Raw Data'!L922</f>
        <v>0</v>
      </c>
      <c r="M923" s="3" t="n">
        <f aca="false">'1. Raw Data'!M922</f>
        <v>1</v>
      </c>
      <c r="N923" s="3" t="str">
        <f aca="false">'1. Raw Data'!N922</f>
        <v>No</v>
      </c>
    </row>
    <row r="924" customFormat="false" ht="15" hidden="false" customHeight="false" outlineLevel="0" collapsed="false">
      <c r="A924" s="3" t="str">
        <f aca="false">'1. Raw Data'!A923</f>
        <v>EMP-0922</v>
      </c>
      <c r="B924" s="3" t="n">
        <f aca="false">'1. Raw Data'!B923</f>
        <v>23</v>
      </c>
      <c r="C924" s="3" t="str">
        <f aca="false">'1. Raw Data'!C923</f>
        <v>Sales</v>
      </c>
      <c r="D924" s="3" t="str">
        <f aca="false">'1. Raw Data'!D923</f>
        <v>Junior</v>
      </c>
      <c r="E924" s="3" t="str">
        <f aca="false">'1. Raw Data'!E923</f>
        <v>Other</v>
      </c>
      <c r="F924" s="3" t="n">
        <f aca="false">'1. Raw Data'!F923</f>
        <v>2</v>
      </c>
      <c r="G924" s="3" t="n">
        <f aca="false">IF('1. Raw Data'!G923="",ROUND(IFERROR(AVERAGEIFS('1. Raw Data'!G2:G1201,'1. Raw Data'!C2:C1201,'1. Raw Data'!C923,'1. Raw Data'!D2:D1201,'1. Raw Data'!D923),0),2),'1. Raw Data'!G923)</f>
        <v>2816.58</v>
      </c>
      <c r="H924" s="3" t="str">
        <f aca="false">PROPER('1. Raw Data'!H923)</f>
        <v>No</v>
      </c>
      <c r="I924" s="3" t="n">
        <f aca="false">'1. Raw Data'!I923</f>
        <v>4</v>
      </c>
      <c r="J924" s="3" t="n">
        <f aca="false">'1. Raw Data'!J923</f>
        <v>3</v>
      </c>
      <c r="K924" s="3" t="n">
        <f aca="false">'1. Raw Data'!K923</f>
        <v>3</v>
      </c>
      <c r="L924" s="3" t="n">
        <f aca="false">'1. Raw Data'!L923</f>
        <v>2</v>
      </c>
      <c r="M924" s="3" t="n">
        <f aca="false">'1. Raw Data'!M923</f>
        <v>0</v>
      </c>
      <c r="N924" s="3" t="str">
        <f aca="false">'1. Raw Data'!N923</f>
        <v>No</v>
      </c>
    </row>
    <row r="925" customFormat="false" ht="15" hidden="false" customHeight="false" outlineLevel="0" collapsed="false">
      <c r="A925" s="3" t="str">
        <f aca="false">'1. Raw Data'!A924</f>
        <v>EMP-0923</v>
      </c>
      <c r="B925" s="3" t="n">
        <f aca="false">'1. Raw Data'!B924</f>
        <v>26</v>
      </c>
      <c r="C925" s="3" t="str">
        <f aca="false">'1. Raw Data'!C924</f>
        <v>Engineering</v>
      </c>
      <c r="D925" s="3" t="str">
        <f aca="false">'1. Raw Data'!D924</f>
        <v>Mid</v>
      </c>
      <c r="E925" s="3" t="str">
        <f aca="false">'1. Raw Data'!E924</f>
        <v>Marketing</v>
      </c>
      <c r="F925" s="3" t="n">
        <f aca="false">'1. Raw Data'!F924</f>
        <v>1.5</v>
      </c>
      <c r="G925" s="3" t="n">
        <f aca="false">IF('1. Raw Data'!G924="",ROUND(IFERROR(AVERAGEIFS('1. Raw Data'!G2:G1201,'1. Raw Data'!C2:C1201,'1. Raw Data'!C924,'1. Raw Data'!D2:D1201,'1. Raw Data'!D924),0),2),'1. Raw Data'!G924)</f>
        <v>4678.46</v>
      </c>
      <c r="H925" s="3" t="str">
        <f aca="false">PROPER('1. Raw Data'!H924)</f>
        <v>No</v>
      </c>
      <c r="I925" s="3" t="n">
        <f aca="false">'1. Raw Data'!I924</f>
        <v>2</v>
      </c>
      <c r="J925" s="3" t="n">
        <f aca="false">'1. Raw Data'!J924</f>
        <v>2</v>
      </c>
      <c r="K925" s="3" t="n">
        <f aca="false">'1. Raw Data'!K924</f>
        <v>2</v>
      </c>
      <c r="L925" s="3" t="n">
        <f aca="false">'1. Raw Data'!L924</f>
        <v>0</v>
      </c>
      <c r="M925" s="3" t="n">
        <f aca="false">'1. Raw Data'!M924</f>
        <v>2</v>
      </c>
      <c r="N925" s="3" t="str">
        <f aca="false">'1. Raw Data'!N924</f>
        <v>Yes</v>
      </c>
    </row>
    <row r="926" customFormat="false" ht="15" hidden="false" customHeight="false" outlineLevel="0" collapsed="false">
      <c r="A926" s="3" t="str">
        <f aca="false">'1. Raw Data'!A925</f>
        <v>EMP-0924</v>
      </c>
      <c r="B926" s="3" t="n">
        <f aca="false">'1. Raw Data'!B925</f>
        <v>32</v>
      </c>
      <c r="C926" s="3" t="str">
        <f aca="false">'1. Raw Data'!C925</f>
        <v>Marketing</v>
      </c>
      <c r="D926" s="3" t="str">
        <f aca="false">'1. Raw Data'!D925</f>
        <v>Mid</v>
      </c>
      <c r="E926" s="3" t="str">
        <f aca="false">'1. Raw Data'!E925</f>
        <v>Technical</v>
      </c>
      <c r="F926" s="3" t="n">
        <f aca="false">'1. Raw Data'!F925</f>
        <v>9</v>
      </c>
      <c r="G926" s="3" t="n">
        <f aca="false">IF('1. Raw Data'!G925="",ROUND(IFERROR(AVERAGEIFS('1. Raw Data'!G2:G1201,'1. Raw Data'!C2:C1201,'1. Raw Data'!C925,'1. Raw Data'!D2:D1201,'1. Raw Data'!D925),0),2),'1. Raw Data'!G925)</f>
        <v>4375.6</v>
      </c>
      <c r="H926" s="3" t="str">
        <f aca="false">PROPER('1. Raw Data'!H925)</f>
        <v>No</v>
      </c>
      <c r="I926" s="3" t="n">
        <f aca="false">'1. Raw Data'!I925</f>
        <v>4</v>
      </c>
      <c r="J926" s="3" t="n">
        <f aca="false">'1. Raw Data'!J925</f>
        <v>4</v>
      </c>
      <c r="K926" s="3" t="n">
        <f aca="false">'1. Raw Data'!K925</f>
        <v>4</v>
      </c>
      <c r="L926" s="3" t="n">
        <f aca="false">'1. Raw Data'!L925</f>
        <v>2</v>
      </c>
      <c r="M926" s="3" t="n">
        <f aca="false">'1. Raw Data'!M925</f>
        <v>3</v>
      </c>
      <c r="N926" s="3" t="str">
        <f aca="false">'1. Raw Data'!N925</f>
        <v>No</v>
      </c>
    </row>
    <row r="927" customFormat="false" ht="15" hidden="false" customHeight="false" outlineLevel="0" collapsed="false">
      <c r="A927" s="3" t="str">
        <f aca="false">'1. Raw Data'!A926</f>
        <v>EMP-0925</v>
      </c>
      <c r="B927" s="3" t="n">
        <f aca="false">'1. Raw Data'!B926</f>
        <v>32</v>
      </c>
      <c r="C927" s="3" t="str">
        <f aca="false">'1. Raw Data'!C926</f>
        <v>Engineering</v>
      </c>
      <c r="D927" s="3" t="str">
        <f aca="false">'1. Raw Data'!D926</f>
        <v>Junior</v>
      </c>
      <c r="E927" s="3" t="str">
        <f aca="false">'1. Raw Data'!E926</f>
        <v>Marketing</v>
      </c>
      <c r="F927" s="3" t="n">
        <f aca="false">'1. Raw Data'!F926</f>
        <v>2.1</v>
      </c>
      <c r="G927" s="3" t="n">
        <f aca="false">IF('1. Raw Data'!G926="",ROUND(IFERROR(AVERAGEIFS('1. Raw Data'!G2:G1201,'1. Raw Data'!C2:C1201,'1. Raw Data'!C926,'1. Raw Data'!D2:D1201,'1. Raw Data'!D926),0),2),'1. Raw Data'!G926)</f>
        <v>3424.18</v>
      </c>
      <c r="H927" s="3" t="str">
        <f aca="false">PROPER('1. Raw Data'!H926)</f>
        <v>No</v>
      </c>
      <c r="I927" s="3" t="n">
        <f aca="false">'1. Raw Data'!I926</f>
        <v>1</v>
      </c>
      <c r="J927" s="3" t="n">
        <f aca="false">'1. Raw Data'!J926</f>
        <v>3</v>
      </c>
      <c r="K927" s="3" t="n">
        <f aca="false">'1. Raw Data'!K926</f>
        <v>8</v>
      </c>
      <c r="L927" s="3" t="n">
        <f aca="false">'1. Raw Data'!L926</f>
        <v>1</v>
      </c>
      <c r="M927" s="3" t="n">
        <f aca="false">'1. Raw Data'!M926</f>
        <v>3</v>
      </c>
      <c r="N927" s="3" t="str">
        <f aca="false">'1. Raw Data'!N926</f>
        <v>Yes</v>
      </c>
    </row>
    <row r="928" customFormat="false" ht="15" hidden="false" customHeight="false" outlineLevel="0" collapsed="false">
      <c r="A928" s="3" t="str">
        <f aca="false">'1. Raw Data'!A927</f>
        <v>EMP-0926</v>
      </c>
      <c r="B928" s="3" t="n">
        <f aca="false">'1. Raw Data'!B927</f>
        <v>27</v>
      </c>
      <c r="C928" s="3" t="str">
        <f aca="false">'1. Raw Data'!C927</f>
        <v>Sales</v>
      </c>
      <c r="D928" s="3" t="str">
        <f aca="false">'1. Raw Data'!D927</f>
        <v>Junior</v>
      </c>
      <c r="E928" s="3" t="str">
        <f aca="false">'1. Raw Data'!E927</f>
        <v>Business</v>
      </c>
      <c r="F928" s="3" t="n">
        <f aca="false">'1. Raw Data'!F927</f>
        <v>5.1</v>
      </c>
      <c r="G928" s="3" t="n">
        <f aca="false">IF('1. Raw Data'!G927="",ROUND(IFERROR(AVERAGEIFS('1. Raw Data'!G2:G1201,'1. Raw Data'!C2:C1201,'1. Raw Data'!C927,'1. Raw Data'!D2:D1201,'1. Raw Data'!D927),0),2),'1. Raw Data'!G927)</f>
        <v>3358.66</v>
      </c>
      <c r="H928" s="3" t="str">
        <f aca="false">PROPER('1. Raw Data'!H927)</f>
        <v>No</v>
      </c>
      <c r="I928" s="3" t="n">
        <f aca="false">'1. Raw Data'!I927</f>
        <v>2</v>
      </c>
      <c r="J928" s="3" t="n">
        <f aca="false">'1. Raw Data'!J927</f>
        <v>3</v>
      </c>
      <c r="K928" s="3" t="n">
        <f aca="false">'1. Raw Data'!K927</f>
        <v>3</v>
      </c>
      <c r="L928" s="3" t="n">
        <f aca="false">'1. Raw Data'!L927</f>
        <v>1</v>
      </c>
      <c r="M928" s="3" t="n">
        <f aca="false">'1. Raw Data'!M927</f>
        <v>1</v>
      </c>
      <c r="N928" s="3" t="str">
        <f aca="false">'1. Raw Data'!N927</f>
        <v>No</v>
      </c>
    </row>
    <row r="929" customFormat="false" ht="15" hidden="false" customHeight="false" outlineLevel="0" collapsed="false">
      <c r="A929" s="3" t="str">
        <f aca="false">'1. Raw Data'!A928</f>
        <v>EMP-0927</v>
      </c>
      <c r="B929" s="3" t="n">
        <f aca="false">'1. Raw Data'!B928</f>
        <v>23</v>
      </c>
      <c r="C929" s="3" t="str">
        <f aca="false">'1. Raw Data'!C928</f>
        <v>Customer Support</v>
      </c>
      <c r="D929" s="3" t="str">
        <f aca="false">'1. Raw Data'!D928</f>
        <v>Junior</v>
      </c>
      <c r="E929" s="3" t="str">
        <f aca="false">'1. Raw Data'!E928</f>
        <v>Marketing</v>
      </c>
      <c r="F929" s="3" t="n">
        <f aca="false">'1. Raw Data'!F928</f>
        <v>2</v>
      </c>
      <c r="G929" s="3" t="n">
        <f aca="false">IF('1. Raw Data'!G928="",ROUND(IFERROR(AVERAGEIFS('1. Raw Data'!G2:G1201,'1. Raw Data'!C2:C1201,'1. Raw Data'!C928,'1. Raw Data'!D2:D1201,'1. Raw Data'!D928),0),2),'1. Raw Data'!G928)</f>
        <v>3538.42</v>
      </c>
      <c r="H929" s="3" t="str">
        <f aca="false">PROPER('1. Raw Data'!H928)</f>
        <v>Yes</v>
      </c>
      <c r="I929" s="3" t="n">
        <f aca="false">'1. Raw Data'!I928</f>
        <v>3</v>
      </c>
      <c r="J929" s="3" t="n">
        <f aca="false">'1. Raw Data'!J928</f>
        <v>2</v>
      </c>
      <c r="K929" s="3" t="n">
        <f aca="false">'1. Raw Data'!K928</f>
        <v>5</v>
      </c>
      <c r="L929" s="3" t="n">
        <f aca="false">'1. Raw Data'!L928</f>
        <v>0</v>
      </c>
      <c r="M929" s="3" t="n">
        <f aca="false">'1. Raw Data'!M928</f>
        <v>3</v>
      </c>
      <c r="N929" s="3" t="str">
        <f aca="false">'1. Raw Data'!N928</f>
        <v>Yes</v>
      </c>
    </row>
    <row r="930" customFormat="false" ht="15" hidden="false" customHeight="false" outlineLevel="0" collapsed="false">
      <c r="A930" s="3" t="str">
        <f aca="false">'1. Raw Data'!A929</f>
        <v>EMP-0928</v>
      </c>
      <c r="B930" s="3" t="n">
        <f aca="false">'1. Raw Data'!B929</f>
        <v>33</v>
      </c>
      <c r="C930" s="3" t="str">
        <f aca="false">'1. Raw Data'!C929</f>
        <v>Marketing</v>
      </c>
      <c r="D930" s="3" t="str">
        <f aca="false">'1. Raw Data'!D929</f>
        <v>Mid</v>
      </c>
      <c r="E930" s="3" t="str">
        <f aca="false">'1. Raw Data'!E929</f>
        <v>Other</v>
      </c>
      <c r="F930" s="3" t="n">
        <f aca="false">'1. Raw Data'!F929</f>
        <v>0.1</v>
      </c>
      <c r="G930" s="3" t="n">
        <f aca="false">IF('1. Raw Data'!G929="",ROUND(IFERROR(AVERAGEIFS('1. Raw Data'!G2:G1201,'1. Raw Data'!C2:C1201,'1. Raw Data'!C929,'1. Raw Data'!D2:D1201,'1. Raw Data'!D929),0),2),'1. Raw Data'!G929)</f>
        <v>4668.93</v>
      </c>
      <c r="H930" s="3" t="str">
        <f aca="false">PROPER('1. Raw Data'!H929)</f>
        <v>Yes</v>
      </c>
      <c r="I930" s="3" t="n">
        <f aca="false">'1. Raw Data'!I929</f>
        <v>3</v>
      </c>
      <c r="J930" s="3" t="n">
        <f aca="false">'1. Raw Data'!J929</f>
        <v>3</v>
      </c>
      <c r="K930" s="3" t="n">
        <f aca="false">'1. Raw Data'!K929</f>
        <v>4</v>
      </c>
      <c r="L930" s="3" t="n">
        <f aca="false">'1. Raw Data'!L929</f>
        <v>0</v>
      </c>
      <c r="M930" s="3" t="n">
        <f aca="false">'1. Raw Data'!M929</f>
        <v>3</v>
      </c>
      <c r="N930" s="3" t="str">
        <f aca="false">'1. Raw Data'!N929</f>
        <v>No</v>
      </c>
    </row>
    <row r="931" customFormat="false" ht="15" hidden="false" customHeight="false" outlineLevel="0" collapsed="false">
      <c r="A931" s="3" t="str">
        <f aca="false">'1. Raw Data'!A930</f>
        <v>EMP-0929</v>
      </c>
      <c r="B931" s="3" t="n">
        <f aca="false">'1. Raw Data'!B930</f>
        <v>50</v>
      </c>
      <c r="C931" s="3" t="str">
        <f aca="false">'1. Raw Data'!C930</f>
        <v>HR</v>
      </c>
      <c r="D931" s="3" t="str">
        <f aca="false">'1. Raw Data'!D930</f>
        <v>Lead</v>
      </c>
      <c r="E931" s="3" t="str">
        <f aca="false">'1. Raw Data'!E930</f>
        <v>Other</v>
      </c>
      <c r="F931" s="3" t="n">
        <f aca="false">'1. Raw Data'!F930</f>
        <v>4.7</v>
      </c>
      <c r="G931" s="3" t="n">
        <f aca="false">IF('1. Raw Data'!G930="",ROUND(IFERROR(AVERAGEIFS('1. Raw Data'!G2:G1201,'1. Raw Data'!C2:C1201,'1. Raw Data'!C930,'1. Raw Data'!D2:D1201,'1. Raw Data'!D930),0),2),'1. Raw Data'!G930)</f>
        <v>8250.01</v>
      </c>
      <c r="H931" s="3" t="str">
        <f aca="false">PROPER('1. Raw Data'!H930)</f>
        <v>Yes</v>
      </c>
      <c r="I931" s="3" t="n">
        <f aca="false">'1. Raw Data'!I930</f>
        <v>4</v>
      </c>
      <c r="J931" s="3" t="n">
        <f aca="false">'1. Raw Data'!J930</f>
        <v>3</v>
      </c>
      <c r="K931" s="3" t="n">
        <f aca="false">'1. Raw Data'!K930</f>
        <v>10</v>
      </c>
      <c r="L931" s="3" t="n">
        <f aca="false">'1. Raw Data'!L930</f>
        <v>2</v>
      </c>
      <c r="M931" s="3" t="n">
        <f aca="false">'1. Raw Data'!M930</f>
        <v>1</v>
      </c>
      <c r="N931" s="3" t="str">
        <f aca="false">'1. Raw Data'!N930</f>
        <v>No</v>
      </c>
    </row>
    <row r="932" customFormat="false" ht="15" hidden="false" customHeight="false" outlineLevel="0" collapsed="false">
      <c r="A932" s="3" t="str">
        <f aca="false">'1. Raw Data'!A931</f>
        <v>EMP-0930</v>
      </c>
      <c r="B932" s="3" t="n">
        <f aca="false">'1. Raw Data'!B931</f>
        <v>29</v>
      </c>
      <c r="C932" s="3" t="str">
        <f aca="false">'1. Raw Data'!C931</f>
        <v>Engineering</v>
      </c>
      <c r="D932" s="3" t="str">
        <f aca="false">'1. Raw Data'!D931</f>
        <v>Junior</v>
      </c>
      <c r="E932" s="3" t="str">
        <f aca="false">'1. Raw Data'!E931</f>
        <v>Marketing</v>
      </c>
      <c r="F932" s="3" t="n">
        <f aca="false">'1. Raw Data'!F931</f>
        <v>6.1</v>
      </c>
      <c r="G932" s="3" t="n">
        <f aca="false">IF('1. Raw Data'!G931="",ROUND(IFERROR(AVERAGEIFS('1. Raw Data'!G2:G1201,'1. Raw Data'!C2:C1201,'1. Raw Data'!C931,'1. Raw Data'!D2:D1201,'1. Raw Data'!D931),0),2),'1. Raw Data'!G931)</f>
        <v>2841.69</v>
      </c>
      <c r="H932" s="3" t="str">
        <f aca="false">PROPER('1. Raw Data'!H931)</f>
        <v>Yes</v>
      </c>
      <c r="I932" s="3" t="n">
        <f aca="false">'1. Raw Data'!I931</f>
        <v>4</v>
      </c>
      <c r="J932" s="3" t="n">
        <f aca="false">'1. Raw Data'!J931</f>
        <v>2</v>
      </c>
      <c r="K932" s="3" t="n">
        <f aca="false">'1. Raw Data'!K931</f>
        <v>4</v>
      </c>
      <c r="L932" s="3" t="n">
        <f aca="false">'1. Raw Data'!L931</f>
        <v>0</v>
      </c>
      <c r="M932" s="3" t="n">
        <f aca="false">'1. Raw Data'!M931</f>
        <v>0</v>
      </c>
      <c r="N932" s="3" t="str">
        <f aca="false">'1. Raw Data'!N931</f>
        <v>Yes</v>
      </c>
    </row>
    <row r="933" customFormat="false" ht="15" hidden="false" customHeight="false" outlineLevel="0" collapsed="false">
      <c r="A933" s="3" t="str">
        <f aca="false">'1. Raw Data'!A932</f>
        <v>EMP-0931</v>
      </c>
      <c r="B933" s="3" t="n">
        <f aca="false">'1. Raw Data'!B932</f>
        <v>26</v>
      </c>
      <c r="C933" s="3" t="str">
        <f aca="false">'1. Raw Data'!C932</f>
        <v>Customer Support</v>
      </c>
      <c r="D933" s="3" t="str">
        <f aca="false">'1. Raw Data'!D932</f>
        <v>Senior</v>
      </c>
      <c r="E933" s="3" t="str">
        <f aca="false">'1. Raw Data'!E932</f>
        <v>Marketing</v>
      </c>
      <c r="F933" s="3" t="n">
        <f aca="false">'1. Raw Data'!F932</f>
        <v>5</v>
      </c>
      <c r="G933" s="3" t="n">
        <f aca="false">IF('1. Raw Data'!G932="",ROUND(IFERROR(AVERAGEIFS('1. Raw Data'!G2:G1201,'1. Raw Data'!C2:C1201,'1. Raw Data'!C932,'1. Raw Data'!D2:D1201,'1. Raw Data'!D932),0),2),'1. Raw Data'!G932)</f>
        <v>8160.41</v>
      </c>
      <c r="H933" s="3" t="str">
        <f aca="false">PROPER('1. Raw Data'!H932)</f>
        <v>No</v>
      </c>
      <c r="I933" s="3" t="n">
        <f aca="false">'1. Raw Data'!I932</f>
        <v>3</v>
      </c>
      <c r="J933" s="3" t="n">
        <f aca="false">'1. Raw Data'!J932</f>
        <v>4</v>
      </c>
      <c r="K933" s="3" t="n">
        <f aca="false">'1. Raw Data'!K932</f>
        <v>9</v>
      </c>
      <c r="L933" s="3" t="n">
        <f aca="false">'1. Raw Data'!L932</f>
        <v>0</v>
      </c>
      <c r="M933" s="3" t="n">
        <f aca="false">'1. Raw Data'!M932</f>
        <v>1</v>
      </c>
      <c r="N933" s="3" t="str">
        <f aca="false">'1. Raw Data'!N932</f>
        <v>No</v>
      </c>
    </row>
    <row r="934" customFormat="false" ht="15" hidden="false" customHeight="false" outlineLevel="0" collapsed="false">
      <c r="A934" s="3" t="str">
        <f aca="false">'1. Raw Data'!A933</f>
        <v>EMP-0932</v>
      </c>
      <c r="B934" s="3" t="n">
        <f aca="false">'1. Raw Data'!B933</f>
        <v>30</v>
      </c>
      <c r="C934" s="3" t="str">
        <f aca="false">'1. Raw Data'!C933</f>
        <v>Sales</v>
      </c>
      <c r="D934" s="3" t="str">
        <f aca="false">'1. Raw Data'!D933</f>
        <v>Junior</v>
      </c>
      <c r="E934" s="3" t="str">
        <f aca="false">'1. Raw Data'!E933</f>
        <v>Business</v>
      </c>
      <c r="F934" s="3" t="n">
        <f aca="false">'1. Raw Data'!F933</f>
        <v>0.3</v>
      </c>
      <c r="G934" s="3" t="n">
        <f aca="false">IF('1. Raw Data'!G933="",ROUND(IFERROR(AVERAGEIFS('1. Raw Data'!G2:G1201,'1. Raw Data'!C2:C1201,'1. Raw Data'!C933,'1. Raw Data'!D2:D1201,'1. Raw Data'!D933),0),2),'1. Raw Data'!G933)</f>
        <v>2776.81</v>
      </c>
      <c r="H934" s="3" t="str">
        <f aca="false">PROPER('1. Raw Data'!H933)</f>
        <v>No</v>
      </c>
      <c r="I934" s="3" t="n">
        <f aca="false">'1. Raw Data'!I933</f>
        <v>2</v>
      </c>
      <c r="J934" s="3" t="n">
        <f aca="false">'1. Raw Data'!J933</f>
        <v>4</v>
      </c>
      <c r="K934" s="3" t="n">
        <f aca="false">'1. Raw Data'!K933</f>
        <v>8</v>
      </c>
      <c r="L934" s="3" t="n">
        <f aca="false">'1. Raw Data'!L933</f>
        <v>0</v>
      </c>
      <c r="M934" s="3" t="n">
        <f aca="false">'1. Raw Data'!M933</f>
        <v>3</v>
      </c>
      <c r="N934" s="3" t="str">
        <f aca="false">'1. Raw Data'!N933</f>
        <v>No</v>
      </c>
    </row>
    <row r="935" customFormat="false" ht="15" hidden="false" customHeight="false" outlineLevel="0" collapsed="false">
      <c r="A935" s="3" t="str">
        <f aca="false">'1. Raw Data'!A934</f>
        <v>EMP-0933</v>
      </c>
      <c r="B935" s="3" t="n">
        <f aca="false">'1. Raw Data'!B934</f>
        <v>44</v>
      </c>
      <c r="C935" s="3" t="str">
        <f aca="false">'1. Raw Data'!C934</f>
        <v>Engineering</v>
      </c>
      <c r="D935" s="3" t="str">
        <f aca="false">'1. Raw Data'!D934</f>
        <v>Junior</v>
      </c>
      <c r="E935" s="3" t="str">
        <f aca="false">'1. Raw Data'!E934</f>
        <v>Marketing</v>
      </c>
      <c r="F935" s="3" t="n">
        <f aca="false">'1. Raw Data'!F934</f>
        <v>1.5</v>
      </c>
      <c r="G935" s="3" t="n">
        <f aca="false">IF('1. Raw Data'!G934="",ROUND(IFERROR(AVERAGEIFS('1. Raw Data'!G2:G1201,'1. Raw Data'!C2:C1201,'1. Raw Data'!C934,'1. Raw Data'!D2:D1201,'1. Raw Data'!D934),0),2),'1. Raw Data'!G934)</f>
        <v>3724.74</v>
      </c>
      <c r="H935" s="3" t="str">
        <f aca="false">PROPER('1. Raw Data'!H934)</f>
        <v>No</v>
      </c>
      <c r="I935" s="3" t="n">
        <f aca="false">'1. Raw Data'!I934</f>
        <v>1</v>
      </c>
      <c r="J935" s="3" t="n">
        <f aca="false">'1. Raw Data'!J934</f>
        <v>2</v>
      </c>
      <c r="K935" s="3" t="n">
        <f aca="false">'1. Raw Data'!K934</f>
        <v>16</v>
      </c>
      <c r="L935" s="3" t="n">
        <f aca="false">'1. Raw Data'!L934</f>
        <v>0</v>
      </c>
      <c r="M935" s="3" t="n">
        <f aca="false">'1. Raw Data'!M934</f>
        <v>3</v>
      </c>
      <c r="N935" s="3" t="str">
        <f aca="false">'1. Raw Data'!N934</f>
        <v>No</v>
      </c>
    </row>
    <row r="936" customFormat="false" ht="15" hidden="false" customHeight="false" outlineLevel="0" collapsed="false">
      <c r="A936" s="3" t="str">
        <f aca="false">'1. Raw Data'!A935</f>
        <v>EMP-0934</v>
      </c>
      <c r="B936" s="3" t="n">
        <f aca="false">'1. Raw Data'!B935</f>
        <v>24</v>
      </c>
      <c r="C936" s="3" t="str">
        <f aca="false">'1. Raw Data'!C935</f>
        <v>Finance</v>
      </c>
      <c r="D936" s="3" t="str">
        <f aca="false">'1. Raw Data'!D935</f>
        <v>Mid</v>
      </c>
      <c r="E936" s="3" t="str">
        <f aca="false">'1. Raw Data'!E935</f>
        <v>Technical</v>
      </c>
      <c r="F936" s="3" t="n">
        <f aca="false">'1. Raw Data'!F935</f>
        <v>1.1</v>
      </c>
      <c r="G936" s="3" t="n">
        <f aca="false">IF('1. Raw Data'!G935="",ROUND(IFERROR(AVERAGEIFS('1. Raw Data'!G2:G1201,'1. Raw Data'!C2:C1201,'1. Raw Data'!C935,'1. Raw Data'!D2:D1201,'1. Raw Data'!D935),0),2),'1. Raw Data'!G935)</f>
        <v>4830.52</v>
      </c>
      <c r="H936" s="3" t="str">
        <f aca="false">PROPER('1. Raw Data'!H935)</f>
        <v>No</v>
      </c>
      <c r="I936" s="3" t="n">
        <f aca="false">'1. Raw Data'!I935</f>
        <v>4</v>
      </c>
      <c r="J936" s="3" t="n">
        <f aca="false">'1. Raw Data'!J935</f>
        <v>3</v>
      </c>
      <c r="K936" s="3" t="n">
        <f aca="false">'1. Raw Data'!K935</f>
        <v>7</v>
      </c>
      <c r="L936" s="3" t="n">
        <f aca="false">'1. Raw Data'!L935</f>
        <v>1</v>
      </c>
      <c r="M936" s="3" t="n">
        <f aca="false">'1. Raw Data'!M935</f>
        <v>2</v>
      </c>
      <c r="N936" s="3" t="str">
        <f aca="false">'1. Raw Data'!N935</f>
        <v>No</v>
      </c>
    </row>
    <row r="937" customFormat="false" ht="15" hidden="false" customHeight="false" outlineLevel="0" collapsed="false">
      <c r="A937" s="3" t="str">
        <f aca="false">'1. Raw Data'!A936</f>
        <v>EMP-0935</v>
      </c>
      <c r="B937" s="3" t="n">
        <f aca="false">'1. Raw Data'!B936</f>
        <v>24</v>
      </c>
      <c r="C937" s="3" t="str">
        <f aca="false">'1. Raw Data'!C936</f>
        <v>Sales</v>
      </c>
      <c r="D937" s="3" t="str">
        <f aca="false">'1. Raw Data'!D936</f>
        <v>Junior</v>
      </c>
      <c r="E937" s="3" t="str">
        <f aca="false">'1. Raw Data'!E936</f>
        <v>Technical</v>
      </c>
      <c r="F937" s="3" t="n">
        <f aca="false">'1. Raw Data'!F936</f>
        <v>2.5</v>
      </c>
      <c r="G937" s="3" t="n">
        <f aca="false">IF('1. Raw Data'!G936="",ROUND(IFERROR(AVERAGEIFS('1. Raw Data'!G2:G1201,'1. Raw Data'!C2:C1201,'1. Raw Data'!C936,'1. Raw Data'!D2:D1201,'1. Raw Data'!D936),0),2),'1. Raw Data'!G936)</f>
        <v>3626.28</v>
      </c>
      <c r="H937" s="3" t="str">
        <f aca="false">PROPER('1. Raw Data'!H936)</f>
        <v>No</v>
      </c>
      <c r="I937" s="3" t="n">
        <f aca="false">'1. Raw Data'!I936</f>
        <v>4</v>
      </c>
      <c r="J937" s="3" t="n">
        <f aca="false">'1. Raw Data'!J936</f>
        <v>3</v>
      </c>
      <c r="K937" s="3" t="n">
        <f aca="false">'1. Raw Data'!K936</f>
        <v>23</v>
      </c>
      <c r="L937" s="3" t="n">
        <f aca="false">'1. Raw Data'!L936</f>
        <v>0</v>
      </c>
      <c r="M937" s="3" t="n">
        <f aca="false">'1. Raw Data'!M936</f>
        <v>0</v>
      </c>
      <c r="N937" s="3" t="str">
        <f aca="false">'1. Raw Data'!N936</f>
        <v>No</v>
      </c>
    </row>
    <row r="938" customFormat="false" ht="15" hidden="false" customHeight="false" outlineLevel="0" collapsed="false">
      <c r="A938" s="3" t="str">
        <f aca="false">'1. Raw Data'!A937</f>
        <v>EMP-0936</v>
      </c>
      <c r="B938" s="3" t="n">
        <f aca="false">'1. Raw Data'!B937</f>
        <v>21</v>
      </c>
      <c r="C938" s="3" t="str">
        <f aca="false">'1. Raw Data'!C937</f>
        <v>Customer Support</v>
      </c>
      <c r="D938" s="3" t="str">
        <f aca="false">'1. Raw Data'!D937</f>
        <v>Junior</v>
      </c>
      <c r="E938" s="3" t="str">
        <f aca="false">'1. Raw Data'!E937</f>
        <v>Marketing</v>
      </c>
      <c r="F938" s="3" t="n">
        <f aca="false">'1. Raw Data'!F937</f>
        <v>0</v>
      </c>
      <c r="G938" s="3" t="n">
        <f aca="false">IF('1. Raw Data'!G937="",ROUND(IFERROR(AVERAGEIFS('1. Raw Data'!G2:G1201,'1. Raw Data'!C2:C1201,'1. Raw Data'!C937,'1. Raw Data'!D2:D1201,'1. Raw Data'!D937),0),2),'1. Raw Data'!G937)</f>
        <v>3532.98</v>
      </c>
      <c r="H938" s="3" t="str">
        <f aca="false">PROPER('1. Raw Data'!H937)</f>
        <v>No</v>
      </c>
      <c r="I938" s="3" t="n">
        <f aca="false">'1. Raw Data'!I937</f>
        <v>3</v>
      </c>
      <c r="J938" s="3" t="n">
        <f aca="false">'1. Raw Data'!J937</f>
        <v>3</v>
      </c>
      <c r="K938" s="3" t="n">
        <f aca="false">'1. Raw Data'!K937</f>
        <v>2</v>
      </c>
      <c r="L938" s="3" t="n">
        <f aca="false">'1. Raw Data'!L937</f>
        <v>0</v>
      </c>
      <c r="M938" s="3" t="n">
        <f aca="false">'1. Raw Data'!M937</f>
        <v>0</v>
      </c>
      <c r="N938" s="3" t="str">
        <f aca="false">'1. Raw Data'!N937</f>
        <v>No</v>
      </c>
    </row>
    <row r="939" customFormat="false" ht="15" hidden="false" customHeight="false" outlineLevel="0" collapsed="false">
      <c r="A939" s="3" t="str">
        <f aca="false">'1. Raw Data'!A938</f>
        <v>EMP-0937</v>
      </c>
      <c r="B939" s="3" t="n">
        <f aca="false">'1. Raw Data'!B938</f>
        <v>40</v>
      </c>
      <c r="C939" s="3" t="str">
        <f aca="false">'1. Raw Data'!C938</f>
        <v>HR</v>
      </c>
      <c r="D939" s="3" t="str">
        <f aca="false">'1. Raw Data'!D938</f>
        <v>Junior</v>
      </c>
      <c r="E939" s="3" t="str">
        <f aca="false">'1. Raw Data'!E938</f>
        <v>Marketing</v>
      </c>
      <c r="F939" s="3" t="n">
        <f aca="false">'1. Raw Data'!F938</f>
        <v>2.7</v>
      </c>
      <c r="G939" s="3" t="n">
        <f aca="false">IF('1. Raw Data'!G938="",ROUND(IFERROR(AVERAGEIFS('1. Raw Data'!G2:G1201,'1. Raw Data'!C2:C1201,'1. Raw Data'!C938,'1. Raw Data'!D2:D1201,'1. Raw Data'!D938),0),2),'1. Raw Data'!G938)</f>
        <v>3790.75</v>
      </c>
      <c r="H939" s="3" t="str">
        <f aca="false">PROPER('1. Raw Data'!H938)</f>
        <v>No</v>
      </c>
      <c r="I939" s="3" t="n">
        <f aca="false">'1. Raw Data'!I938</f>
        <v>3</v>
      </c>
      <c r="J939" s="3" t="n">
        <f aca="false">'1. Raw Data'!J938</f>
        <v>4</v>
      </c>
      <c r="K939" s="3" t="n">
        <f aca="false">'1. Raw Data'!K938</f>
        <v>1</v>
      </c>
      <c r="L939" s="3" t="n">
        <f aca="false">'1. Raw Data'!L938</f>
        <v>1</v>
      </c>
      <c r="M939" s="3" t="n">
        <f aca="false">'1. Raw Data'!M938</f>
        <v>3</v>
      </c>
      <c r="N939" s="3" t="str">
        <f aca="false">'1. Raw Data'!N938</f>
        <v>No</v>
      </c>
    </row>
    <row r="940" customFormat="false" ht="15" hidden="false" customHeight="false" outlineLevel="0" collapsed="false">
      <c r="A940" s="3" t="str">
        <f aca="false">'1. Raw Data'!A939</f>
        <v>EMP-0938</v>
      </c>
      <c r="B940" s="3" t="n">
        <f aca="false">'1. Raw Data'!B939</f>
        <v>40</v>
      </c>
      <c r="C940" s="3" t="str">
        <f aca="false">'1. Raw Data'!C939</f>
        <v>Customer Support</v>
      </c>
      <c r="D940" s="3" t="str">
        <f aca="false">'1. Raw Data'!D939</f>
        <v>Senior</v>
      </c>
      <c r="E940" s="3" t="str">
        <f aca="false">'1. Raw Data'!E939</f>
        <v>Marketing</v>
      </c>
      <c r="F940" s="3" t="n">
        <f aca="false">'1. Raw Data'!F939</f>
        <v>3.9</v>
      </c>
      <c r="G940" s="3" t="n">
        <f aca="false">IF('1. Raw Data'!G939="",ROUND(IFERROR(AVERAGEIFS('1. Raw Data'!G2:G1201,'1. Raw Data'!C2:C1201,'1. Raw Data'!C939,'1. Raw Data'!D2:D1201,'1. Raw Data'!D939),0),2),'1. Raw Data'!G939)</f>
        <v>7527.14</v>
      </c>
      <c r="H940" s="3" t="str">
        <f aca="false">PROPER('1. Raw Data'!H939)</f>
        <v>No</v>
      </c>
      <c r="I940" s="3" t="n">
        <f aca="false">'1. Raw Data'!I939</f>
        <v>4</v>
      </c>
      <c r="J940" s="3" t="n">
        <f aca="false">'1. Raw Data'!J939</f>
        <v>4</v>
      </c>
      <c r="K940" s="3" t="n">
        <f aca="false">'1. Raw Data'!K939</f>
        <v>10</v>
      </c>
      <c r="L940" s="3" t="n">
        <f aca="false">'1. Raw Data'!L939</f>
        <v>0</v>
      </c>
      <c r="M940" s="3" t="n">
        <f aca="false">'1. Raw Data'!M939</f>
        <v>3</v>
      </c>
      <c r="N940" s="3" t="str">
        <f aca="false">'1. Raw Data'!N939</f>
        <v>No</v>
      </c>
    </row>
    <row r="941" customFormat="false" ht="15" hidden="false" customHeight="false" outlineLevel="0" collapsed="false">
      <c r="A941" s="3" t="str">
        <f aca="false">'1. Raw Data'!A940</f>
        <v>EMP-0939</v>
      </c>
      <c r="B941" s="3" t="n">
        <f aca="false">'1. Raw Data'!B940</f>
        <v>21</v>
      </c>
      <c r="C941" s="3" t="str">
        <f aca="false">'1. Raw Data'!C940</f>
        <v>Marketing</v>
      </c>
      <c r="D941" s="3" t="str">
        <f aca="false">'1. Raw Data'!D940</f>
        <v>Junior</v>
      </c>
      <c r="E941" s="3" t="str">
        <f aca="false">'1. Raw Data'!E940</f>
        <v>Marketing</v>
      </c>
      <c r="F941" s="3" t="n">
        <f aca="false">'1. Raw Data'!F940</f>
        <v>0</v>
      </c>
      <c r="G941" s="3" t="n">
        <f aca="false">IF('1. Raw Data'!G940="",ROUND(IFERROR(AVERAGEIFS('1. Raw Data'!G2:G1201,'1. Raw Data'!C2:C1201,'1. Raw Data'!C940,'1. Raw Data'!D2:D1201,'1. Raw Data'!D940),0),2),'1. Raw Data'!G940)</f>
        <v>3047.67</v>
      </c>
      <c r="H941" s="3" t="str">
        <f aca="false">PROPER('1. Raw Data'!H940)</f>
        <v>Yes</v>
      </c>
      <c r="I941" s="3" t="n">
        <f aca="false">'1. Raw Data'!I940</f>
        <v>1</v>
      </c>
      <c r="J941" s="3" t="n">
        <f aca="false">'1. Raw Data'!J940</f>
        <v>4</v>
      </c>
      <c r="K941" s="3" t="n">
        <f aca="false">'1. Raw Data'!K940</f>
        <v>2</v>
      </c>
      <c r="L941" s="3" t="n">
        <f aca="false">'1. Raw Data'!L940</f>
        <v>0</v>
      </c>
      <c r="M941" s="3" t="n">
        <f aca="false">'1. Raw Data'!M940</f>
        <v>1</v>
      </c>
      <c r="N941" s="3" t="str">
        <f aca="false">'1. Raw Data'!N940</f>
        <v>No</v>
      </c>
    </row>
    <row r="942" customFormat="false" ht="15" hidden="false" customHeight="false" outlineLevel="0" collapsed="false">
      <c r="A942" s="3" t="str">
        <f aca="false">'1. Raw Data'!A941</f>
        <v>EMP-0940</v>
      </c>
      <c r="B942" s="3" t="n">
        <f aca="false">'1. Raw Data'!B941</f>
        <v>30</v>
      </c>
      <c r="C942" s="3" t="str">
        <f aca="false">'1. Raw Data'!C941</f>
        <v>Finance</v>
      </c>
      <c r="D942" s="3" t="str">
        <f aca="false">'1. Raw Data'!D941</f>
        <v>Junior</v>
      </c>
      <c r="E942" s="3" t="str">
        <f aca="false">'1. Raw Data'!E941</f>
        <v>Other</v>
      </c>
      <c r="F942" s="3" t="n">
        <f aca="false">'1. Raw Data'!F941</f>
        <v>4.6</v>
      </c>
      <c r="G942" s="3" t="n">
        <f aca="false">IF('1. Raw Data'!G941="",ROUND(IFERROR(AVERAGEIFS('1. Raw Data'!G2:G1201,'1. Raw Data'!C2:C1201,'1. Raw Data'!C941,'1. Raw Data'!D2:D1201,'1. Raw Data'!D941),0),2),'1. Raw Data'!G941)</f>
        <v>3237.7</v>
      </c>
      <c r="H942" s="3" t="str">
        <f aca="false">PROPER('1. Raw Data'!H941)</f>
        <v>No</v>
      </c>
      <c r="I942" s="3" t="n">
        <f aca="false">'1. Raw Data'!I941</f>
        <v>3</v>
      </c>
      <c r="J942" s="3" t="n">
        <f aca="false">'1. Raw Data'!J941</f>
        <v>3</v>
      </c>
      <c r="K942" s="3" t="n">
        <f aca="false">'1. Raw Data'!K941</f>
        <v>2</v>
      </c>
      <c r="L942" s="3" t="n">
        <f aca="false">'1. Raw Data'!L941</f>
        <v>2</v>
      </c>
      <c r="M942" s="3" t="n">
        <f aca="false">'1. Raw Data'!M941</f>
        <v>2</v>
      </c>
      <c r="N942" s="3" t="str">
        <f aca="false">'1. Raw Data'!N941</f>
        <v>No</v>
      </c>
    </row>
    <row r="943" customFormat="false" ht="15" hidden="false" customHeight="false" outlineLevel="0" collapsed="false">
      <c r="A943" s="3" t="str">
        <f aca="false">'1. Raw Data'!A942</f>
        <v>EMP-0941</v>
      </c>
      <c r="B943" s="3" t="n">
        <f aca="false">'1. Raw Data'!B942</f>
        <v>25</v>
      </c>
      <c r="C943" s="3" t="str">
        <f aca="false">'1. Raw Data'!C942</f>
        <v>Engineering</v>
      </c>
      <c r="D943" s="3" t="str">
        <f aca="false">'1. Raw Data'!D942</f>
        <v>Mid</v>
      </c>
      <c r="E943" s="3" t="str">
        <f aca="false">'1. Raw Data'!E942</f>
        <v>Marketing</v>
      </c>
      <c r="F943" s="3" t="n">
        <f aca="false">'1. Raw Data'!F942</f>
        <v>0.1</v>
      </c>
      <c r="G943" s="3" t="n">
        <f aca="false">IF('1. Raw Data'!G942="",ROUND(IFERROR(AVERAGEIFS('1. Raw Data'!G2:G1201,'1. Raw Data'!C2:C1201,'1. Raw Data'!C942,'1. Raw Data'!D2:D1201,'1. Raw Data'!D942),0),2),'1. Raw Data'!G942)</f>
        <v>4145.01</v>
      </c>
      <c r="H943" s="3" t="str">
        <f aca="false">PROPER('1. Raw Data'!H942)</f>
        <v>No</v>
      </c>
      <c r="I943" s="3" t="n">
        <f aca="false">'1. Raw Data'!I942</f>
        <v>1</v>
      </c>
      <c r="J943" s="3" t="n">
        <f aca="false">'1. Raw Data'!J942</f>
        <v>3</v>
      </c>
      <c r="K943" s="3" t="n">
        <f aca="false">'1. Raw Data'!K942</f>
        <v>3</v>
      </c>
      <c r="L943" s="3" t="n">
        <f aca="false">'1. Raw Data'!L942</f>
        <v>0</v>
      </c>
      <c r="M943" s="3" t="n">
        <f aca="false">'1. Raw Data'!M942</f>
        <v>4</v>
      </c>
      <c r="N943" s="3" t="str">
        <f aca="false">'1. Raw Data'!N942</f>
        <v>No</v>
      </c>
    </row>
    <row r="944" customFormat="false" ht="15" hidden="false" customHeight="false" outlineLevel="0" collapsed="false">
      <c r="A944" s="3" t="str">
        <f aca="false">'1. Raw Data'!A943</f>
        <v>EMP-0942</v>
      </c>
      <c r="B944" s="3" t="n">
        <f aca="false">'1. Raw Data'!B943</f>
        <v>32</v>
      </c>
      <c r="C944" s="3" t="str">
        <f aca="false">'1. Raw Data'!C943</f>
        <v>Sales</v>
      </c>
      <c r="D944" s="3" t="str">
        <f aca="false">'1. Raw Data'!D943</f>
        <v>Senior</v>
      </c>
      <c r="E944" s="3" t="str">
        <f aca="false">'1. Raw Data'!E943</f>
        <v>Business</v>
      </c>
      <c r="F944" s="3" t="n">
        <f aca="false">'1. Raw Data'!F943</f>
        <v>1.3</v>
      </c>
      <c r="G944" s="3" t="n">
        <f aca="false">IF('1. Raw Data'!G943="",ROUND(IFERROR(AVERAGEIFS('1. Raw Data'!G2:G1201,'1. Raw Data'!C2:C1201,'1. Raw Data'!C943,'1. Raw Data'!D2:D1201,'1. Raw Data'!D943),0),2),'1. Raw Data'!G943)</f>
        <v>8004.53</v>
      </c>
      <c r="H944" s="3" t="str">
        <f aca="false">PROPER('1. Raw Data'!H943)</f>
        <v>No</v>
      </c>
      <c r="I944" s="3" t="n">
        <f aca="false">'1. Raw Data'!I943</f>
        <v>3</v>
      </c>
      <c r="J944" s="3" t="n">
        <f aca="false">'1. Raw Data'!J943</f>
        <v>3</v>
      </c>
      <c r="K944" s="3" t="n">
        <f aca="false">'1. Raw Data'!K943</f>
        <v>14</v>
      </c>
      <c r="L944" s="3" t="n">
        <f aca="false">'1. Raw Data'!L943</f>
        <v>1</v>
      </c>
      <c r="M944" s="3" t="n">
        <f aca="false">'1. Raw Data'!M943</f>
        <v>0</v>
      </c>
      <c r="N944" s="3" t="str">
        <f aca="false">'1. Raw Data'!N943</f>
        <v>No</v>
      </c>
    </row>
    <row r="945" customFormat="false" ht="15" hidden="false" customHeight="false" outlineLevel="0" collapsed="false">
      <c r="A945" s="3" t="str">
        <f aca="false">'1. Raw Data'!A944</f>
        <v>EMP-0943</v>
      </c>
      <c r="B945" s="3" t="n">
        <f aca="false">'1. Raw Data'!B944</f>
        <v>48</v>
      </c>
      <c r="C945" s="3" t="str">
        <f aca="false">'1. Raw Data'!C944</f>
        <v>Sales</v>
      </c>
      <c r="D945" s="3" t="str">
        <f aca="false">'1. Raw Data'!D944</f>
        <v>Mid</v>
      </c>
      <c r="E945" s="3" t="str">
        <f aca="false">'1. Raw Data'!E944</f>
        <v>Other</v>
      </c>
      <c r="F945" s="3" t="n">
        <f aca="false">'1. Raw Data'!F944</f>
        <v>0.5</v>
      </c>
      <c r="G945" s="3" t="n">
        <f aca="false">IF('1. Raw Data'!G944="",ROUND(IFERROR(AVERAGEIFS('1. Raw Data'!G2:G1201,'1. Raw Data'!C2:C1201,'1. Raw Data'!C944,'1. Raw Data'!D2:D1201,'1. Raw Data'!D944),0),2),'1. Raw Data'!G944)</f>
        <v>4374.07</v>
      </c>
      <c r="H945" s="3" t="str">
        <f aca="false">PROPER('1. Raw Data'!H944)</f>
        <v>Yes</v>
      </c>
      <c r="I945" s="3" t="n">
        <f aca="false">'1. Raw Data'!I944</f>
        <v>2</v>
      </c>
      <c r="J945" s="3" t="n">
        <f aca="false">'1. Raw Data'!J944</f>
        <v>4</v>
      </c>
      <c r="K945" s="3" t="n">
        <f aca="false">'1. Raw Data'!K944</f>
        <v>9</v>
      </c>
      <c r="L945" s="3" t="n">
        <f aca="false">'1. Raw Data'!L944</f>
        <v>0</v>
      </c>
      <c r="M945" s="3" t="n">
        <f aca="false">'1. Raw Data'!M944</f>
        <v>4</v>
      </c>
      <c r="N945" s="3" t="str">
        <f aca="false">'1. Raw Data'!N944</f>
        <v>No</v>
      </c>
    </row>
    <row r="946" customFormat="false" ht="15" hidden="false" customHeight="false" outlineLevel="0" collapsed="false">
      <c r="A946" s="3" t="str">
        <f aca="false">'1. Raw Data'!A945</f>
        <v>EMP-0944</v>
      </c>
      <c r="B946" s="3" t="n">
        <f aca="false">'1. Raw Data'!B945</f>
        <v>31</v>
      </c>
      <c r="C946" s="3" t="str">
        <f aca="false">'1. Raw Data'!C945</f>
        <v>Marketing</v>
      </c>
      <c r="D946" s="3" t="str">
        <f aca="false">'1. Raw Data'!D945</f>
        <v>Mid</v>
      </c>
      <c r="E946" s="3" t="str">
        <f aca="false">'1. Raw Data'!E945</f>
        <v>Other</v>
      </c>
      <c r="F946" s="3" t="n">
        <f aca="false">'1. Raw Data'!F945</f>
        <v>5.1</v>
      </c>
      <c r="G946" s="3" t="n">
        <f aca="false">IF('1. Raw Data'!G945="",ROUND(IFERROR(AVERAGEIFS('1. Raw Data'!G2:G1201,'1. Raw Data'!C2:C1201,'1. Raw Data'!C945,'1. Raw Data'!D2:D1201,'1. Raw Data'!D945),0),2),'1. Raw Data'!G945)</f>
        <v>4805.17</v>
      </c>
      <c r="H946" s="3" t="str">
        <f aca="false">PROPER('1. Raw Data'!H945)</f>
        <v>Yes</v>
      </c>
      <c r="I946" s="3" t="n">
        <f aca="false">'1. Raw Data'!I945</f>
        <v>2</v>
      </c>
      <c r="J946" s="3" t="n">
        <f aca="false">'1. Raw Data'!J945</f>
        <v>2</v>
      </c>
      <c r="K946" s="3" t="n">
        <f aca="false">'1. Raw Data'!K945</f>
        <v>10</v>
      </c>
      <c r="L946" s="3" t="n">
        <f aca="false">'1. Raw Data'!L945</f>
        <v>0</v>
      </c>
      <c r="M946" s="3" t="n">
        <f aca="false">'1. Raw Data'!M945</f>
        <v>3</v>
      </c>
      <c r="N946" s="3" t="str">
        <f aca="false">'1. Raw Data'!N945</f>
        <v>Yes</v>
      </c>
    </row>
    <row r="947" customFormat="false" ht="15" hidden="false" customHeight="false" outlineLevel="0" collapsed="false">
      <c r="A947" s="3" t="str">
        <f aca="false">'1. Raw Data'!A946</f>
        <v>EMP-0945</v>
      </c>
      <c r="B947" s="3" t="n">
        <f aca="false">'1. Raw Data'!B946</f>
        <v>34</v>
      </c>
      <c r="C947" s="3" t="str">
        <f aca="false">'1. Raw Data'!C946</f>
        <v>Marketing</v>
      </c>
      <c r="D947" s="3" t="str">
        <f aca="false">'1. Raw Data'!D946</f>
        <v>Junior</v>
      </c>
      <c r="E947" s="3" t="str">
        <f aca="false">'1. Raw Data'!E946</f>
        <v>Marketing</v>
      </c>
      <c r="F947" s="3" t="n">
        <f aca="false">'1. Raw Data'!F946</f>
        <v>4.6</v>
      </c>
      <c r="G947" s="3" t="n">
        <f aca="false">IF('1. Raw Data'!G946="",ROUND(IFERROR(AVERAGEIFS('1. Raw Data'!G2:G1201,'1. Raw Data'!C2:C1201,'1. Raw Data'!C946,'1. Raw Data'!D2:D1201,'1. Raw Data'!D946),0),2),'1. Raw Data'!G946)</f>
        <v>3370.39</v>
      </c>
      <c r="H947" s="3" t="str">
        <f aca="false">PROPER('1. Raw Data'!H946)</f>
        <v>No</v>
      </c>
      <c r="I947" s="3" t="n">
        <f aca="false">'1. Raw Data'!I946</f>
        <v>1</v>
      </c>
      <c r="J947" s="3" t="n">
        <f aca="false">'1. Raw Data'!J946</f>
        <v>2</v>
      </c>
      <c r="K947" s="3" t="n">
        <f aca="false">'1. Raw Data'!K946</f>
        <v>13</v>
      </c>
      <c r="L947" s="3" t="n">
        <f aca="false">'1. Raw Data'!L946</f>
        <v>1</v>
      </c>
      <c r="M947" s="3" t="n">
        <f aca="false">'1. Raw Data'!M946</f>
        <v>1</v>
      </c>
      <c r="N947" s="3" t="str">
        <f aca="false">'1. Raw Data'!N946</f>
        <v>No</v>
      </c>
    </row>
    <row r="948" customFormat="false" ht="15" hidden="false" customHeight="false" outlineLevel="0" collapsed="false">
      <c r="A948" s="3" t="str">
        <f aca="false">'1. Raw Data'!A947</f>
        <v>EMP-0946</v>
      </c>
      <c r="B948" s="3" t="n">
        <f aca="false">'1. Raw Data'!B947</f>
        <v>35</v>
      </c>
      <c r="C948" s="3" t="str">
        <f aca="false">'1. Raw Data'!C947</f>
        <v>Customer Support</v>
      </c>
      <c r="D948" s="3" t="str">
        <f aca="false">'1. Raw Data'!D947</f>
        <v>Lead</v>
      </c>
      <c r="E948" s="3" t="str">
        <f aca="false">'1. Raw Data'!E947</f>
        <v>Business</v>
      </c>
      <c r="F948" s="3" t="n">
        <f aca="false">'1. Raw Data'!F947</f>
        <v>3.6</v>
      </c>
      <c r="G948" s="3" t="n">
        <f aca="false">IF('1. Raw Data'!G947="",ROUND(IFERROR(AVERAGEIFS('1. Raw Data'!G2:G1201,'1. Raw Data'!C2:C1201,'1. Raw Data'!C947,'1. Raw Data'!D2:D1201,'1. Raw Data'!D947),0),2),'1. Raw Data'!G947)</f>
        <v>8122.57</v>
      </c>
      <c r="H948" s="3" t="str">
        <f aca="false">PROPER('1. Raw Data'!H947)</f>
        <v>Yes</v>
      </c>
      <c r="I948" s="3" t="n">
        <f aca="false">'1. Raw Data'!I947</f>
        <v>3</v>
      </c>
      <c r="J948" s="3" t="n">
        <f aca="false">'1. Raw Data'!J947</f>
        <v>3</v>
      </c>
      <c r="K948" s="3" t="n">
        <f aca="false">'1. Raw Data'!K947</f>
        <v>2</v>
      </c>
      <c r="L948" s="3" t="n">
        <f aca="false">'1. Raw Data'!L947</f>
        <v>2</v>
      </c>
      <c r="M948" s="3" t="n">
        <f aca="false">'1. Raw Data'!M947</f>
        <v>3</v>
      </c>
      <c r="N948" s="3" t="str">
        <f aca="false">'1. Raw Data'!N947</f>
        <v>No</v>
      </c>
    </row>
    <row r="949" customFormat="false" ht="15" hidden="false" customHeight="false" outlineLevel="0" collapsed="false">
      <c r="A949" s="3" t="str">
        <f aca="false">'1. Raw Data'!A948</f>
        <v>EMP-0947</v>
      </c>
      <c r="B949" s="3" t="n">
        <f aca="false">'1. Raw Data'!B948</f>
        <v>46</v>
      </c>
      <c r="C949" s="3" t="str">
        <f aca="false">'1. Raw Data'!C948</f>
        <v>Engineering</v>
      </c>
      <c r="D949" s="3" t="str">
        <f aca="false">'1. Raw Data'!D948</f>
        <v>Senior</v>
      </c>
      <c r="E949" s="3" t="str">
        <f aca="false">'1. Raw Data'!E948</f>
        <v>Marketing</v>
      </c>
      <c r="F949" s="3" t="n">
        <f aca="false">'1. Raw Data'!F948</f>
        <v>5.5</v>
      </c>
      <c r="G949" s="3" t="n">
        <f aca="false">IF('1. Raw Data'!G948="",ROUND(IFERROR(AVERAGEIFS('1. Raw Data'!G2:G1201,'1. Raw Data'!C2:C1201,'1. Raw Data'!C948,'1. Raw Data'!D2:D1201,'1. Raw Data'!D948),0),2),'1. Raw Data'!G948)</f>
        <v>6440.29</v>
      </c>
      <c r="H949" s="3" t="str">
        <f aca="false">PROPER('1. Raw Data'!H948)</f>
        <v>No</v>
      </c>
      <c r="I949" s="3" t="n">
        <f aca="false">'1. Raw Data'!I948</f>
        <v>2</v>
      </c>
      <c r="J949" s="3" t="n">
        <f aca="false">'1. Raw Data'!J948</f>
        <v>1</v>
      </c>
      <c r="K949" s="3" t="n">
        <f aca="false">'1. Raw Data'!K948</f>
        <v>6</v>
      </c>
      <c r="L949" s="3" t="n">
        <f aca="false">'1. Raw Data'!L948</f>
        <v>1</v>
      </c>
      <c r="M949" s="3" t="n">
        <f aca="false">'1. Raw Data'!M948</f>
        <v>1</v>
      </c>
      <c r="N949" s="3" t="str">
        <f aca="false">'1. Raw Data'!N948</f>
        <v>Yes</v>
      </c>
    </row>
    <row r="950" customFormat="false" ht="15" hidden="false" customHeight="false" outlineLevel="0" collapsed="false">
      <c r="A950" s="3" t="str">
        <f aca="false">'1. Raw Data'!A949</f>
        <v>EMP-0948</v>
      </c>
      <c r="B950" s="3" t="n">
        <f aca="false">'1. Raw Data'!B949</f>
        <v>35</v>
      </c>
      <c r="C950" s="3" t="str">
        <f aca="false">'1. Raw Data'!C949</f>
        <v>Sales</v>
      </c>
      <c r="D950" s="3" t="str">
        <f aca="false">'1. Raw Data'!D949</f>
        <v>Junior</v>
      </c>
      <c r="E950" s="3" t="str">
        <f aca="false">'1. Raw Data'!E949</f>
        <v>Technical</v>
      </c>
      <c r="F950" s="3" t="n">
        <f aca="false">'1. Raw Data'!F949</f>
        <v>1.3</v>
      </c>
      <c r="G950" s="3" t="n">
        <f aca="false">IF('1. Raw Data'!G949="",ROUND(IFERROR(AVERAGEIFS('1. Raw Data'!G2:G1201,'1. Raw Data'!C2:C1201,'1. Raw Data'!C949,'1. Raw Data'!D2:D1201,'1. Raw Data'!D949),0),2),'1. Raw Data'!G949)</f>
        <v>3333.39</v>
      </c>
      <c r="H950" s="3" t="str">
        <f aca="false">PROPER('1. Raw Data'!H949)</f>
        <v>No</v>
      </c>
      <c r="I950" s="3" t="n">
        <f aca="false">'1. Raw Data'!I949</f>
        <v>4</v>
      </c>
      <c r="J950" s="3" t="n">
        <f aca="false">'1. Raw Data'!J949</f>
        <v>3</v>
      </c>
      <c r="K950" s="3" t="n">
        <f aca="false">'1. Raw Data'!K949</f>
        <v>4</v>
      </c>
      <c r="L950" s="3" t="n">
        <f aca="false">'1. Raw Data'!L949</f>
        <v>1</v>
      </c>
      <c r="M950" s="3" t="n">
        <f aca="false">'1. Raw Data'!M949</f>
        <v>3</v>
      </c>
      <c r="N950" s="3" t="str">
        <f aca="false">'1. Raw Data'!N949</f>
        <v>Yes</v>
      </c>
    </row>
    <row r="951" customFormat="false" ht="15" hidden="false" customHeight="false" outlineLevel="0" collapsed="false">
      <c r="A951" s="3" t="str">
        <f aca="false">'1. Raw Data'!A950</f>
        <v>EMP-0949</v>
      </c>
      <c r="B951" s="3" t="n">
        <f aca="false">'1. Raw Data'!B950</f>
        <v>44</v>
      </c>
      <c r="C951" s="3" t="str">
        <f aca="false">'1. Raw Data'!C950</f>
        <v>Sales</v>
      </c>
      <c r="D951" s="3" t="str">
        <f aca="false">'1. Raw Data'!D950</f>
        <v>Senior</v>
      </c>
      <c r="E951" s="3" t="str">
        <f aca="false">'1. Raw Data'!E950</f>
        <v>Business</v>
      </c>
      <c r="F951" s="3" t="n">
        <f aca="false">'1. Raw Data'!F950</f>
        <v>2.1</v>
      </c>
      <c r="G951" s="3" t="n">
        <f aca="false">IF('1. Raw Data'!G950="",ROUND(IFERROR(AVERAGEIFS('1. Raw Data'!G2:G1201,'1. Raw Data'!C2:C1201,'1. Raw Data'!C950,'1. Raw Data'!D2:D1201,'1. Raw Data'!D950),0),2),'1. Raw Data'!G950)</f>
        <v>6149.78</v>
      </c>
      <c r="H951" s="3" t="str">
        <f aca="false">PROPER('1. Raw Data'!H950)</f>
        <v>No</v>
      </c>
      <c r="I951" s="3" t="n">
        <f aca="false">'1. Raw Data'!I950</f>
        <v>1</v>
      </c>
      <c r="J951" s="3" t="n">
        <f aca="false">'1. Raw Data'!J950</f>
        <v>2</v>
      </c>
      <c r="K951" s="3" t="n">
        <f aca="false">'1. Raw Data'!K950</f>
        <v>1</v>
      </c>
      <c r="L951" s="3" t="n">
        <f aca="false">'1. Raw Data'!L950</f>
        <v>0</v>
      </c>
      <c r="M951" s="3" t="n">
        <f aca="false">'1. Raw Data'!M950</f>
        <v>1</v>
      </c>
      <c r="N951" s="3" t="str">
        <f aca="false">'1. Raw Data'!N950</f>
        <v>No</v>
      </c>
    </row>
    <row r="952" customFormat="false" ht="15" hidden="false" customHeight="false" outlineLevel="0" collapsed="false">
      <c r="A952" s="3" t="str">
        <f aca="false">'1. Raw Data'!A951</f>
        <v>EMP-0950</v>
      </c>
      <c r="B952" s="3" t="n">
        <f aca="false">'1. Raw Data'!B951</f>
        <v>31</v>
      </c>
      <c r="C952" s="3" t="str">
        <f aca="false">'1. Raw Data'!C951</f>
        <v>Engineering</v>
      </c>
      <c r="D952" s="3" t="str">
        <f aca="false">'1. Raw Data'!D951</f>
        <v>Mid</v>
      </c>
      <c r="E952" s="3" t="str">
        <f aca="false">'1. Raw Data'!E951</f>
        <v>Marketing</v>
      </c>
      <c r="F952" s="3" t="n">
        <f aca="false">'1. Raw Data'!F951</f>
        <v>7.6</v>
      </c>
      <c r="G952" s="3" t="n">
        <f aca="false">IF('1. Raw Data'!G951="",ROUND(IFERROR(AVERAGEIFS('1. Raw Data'!G2:G1201,'1. Raw Data'!C2:C1201,'1. Raw Data'!C951,'1. Raw Data'!D2:D1201,'1. Raw Data'!D951),0),2),'1. Raw Data'!G951)</f>
        <v>5492.64</v>
      </c>
      <c r="H952" s="3" t="str">
        <f aca="false">PROPER('1. Raw Data'!H951)</f>
        <v>No</v>
      </c>
      <c r="I952" s="3" t="n">
        <f aca="false">'1. Raw Data'!I951</f>
        <v>2</v>
      </c>
      <c r="J952" s="3" t="n">
        <f aca="false">'1. Raw Data'!J951</f>
        <v>1</v>
      </c>
      <c r="K952" s="3" t="n">
        <f aca="false">'1. Raw Data'!K951</f>
        <v>17</v>
      </c>
      <c r="L952" s="3" t="n">
        <f aca="false">'1. Raw Data'!L951</f>
        <v>0</v>
      </c>
      <c r="M952" s="3" t="n">
        <f aca="false">'1. Raw Data'!M951</f>
        <v>4</v>
      </c>
      <c r="N952" s="3" t="str">
        <f aca="false">'1. Raw Data'!N951</f>
        <v>No</v>
      </c>
    </row>
    <row r="953" customFormat="false" ht="15" hidden="false" customHeight="false" outlineLevel="0" collapsed="false">
      <c r="A953" s="3" t="str">
        <f aca="false">'1. Raw Data'!A952</f>
        <v>EMP-0951</v>
      </c>
      <c r="B953" s="3" t="n">
        <f aca="false">'1. Raw Data'!B952</f>
        <v>43</v>
      </c>
      <c r="C953" s="3" t="str">
        <f aca="false">'1. Raw Data'!C952</f>
        <v>Customer Support</v>
      </c>
      <c r="D953" s="3" t="str">
        <f aca="false">'1. Raw Data'!D952</f>
        <v>Mid</v>
      </c>
      <c r="E953" s="3" t="str">
        <f aca="false">'1. Raw Data'!E952</f>
        <v>Technical</v>
      </c>
      <c r="F953" s="3" t="n">
        <f aca="false">'1. Raw Data'!F952</f>
        <v>3.1</v>
      </c>
      <c r="G953" s="3" t="n">
        <f aca="false">IF('1. Raw Data'!G952="",ROUND(IFERROR(AVERAGEIFS('1. Raw Data'!G2:G1201,'1. Raw Data'!C2:C1201,'1. Raw Data'!C952,'1. Raw Data'!D2:D1201,'1. Raw Data'!D952),0),2),'1. Raw Data'!G952)</f>
        <v>4255.79</v>
      </c>
      <c r="H953" s="3" t="str">
        <f aca="false">PROPER('1. Raw Data'!H952)</f>
        <v>Yes</v>
      </c>
      <c r="I953" s="3" t="n">
        <f aca="false">'1. Raw Data'!I952</f>
        <v>3</v>
      </c>
      <c r="J953" s="3" t="n">
        <f aca="false">'1. Raw Data'!J952</f>
        <v>3</v>
      </c>
      <c r="K953" s="3" t="n">
        <f aca="false">'1. Raw Data'!K952</f>
        <v>10</v>
      </c>
      <c r="L953" s="3" t="n">
        <f aca="false">'1. Raw Data'!L952</f>
        <v>2</v>
      </c>
      <c r="M953" s="3" t="n">
        <f aca="false">'1. Raw Data'!M952</f>
        <v>6</v>
      </c>
      <c r="N953" s="3" t="str">
        <f aca="false">'1. Raw Data'!N952</f>
        <v>No</v>
      </c>
    </row>
    <row r="954" customFormat="false" ht="15" hidden="false" customHeight="false" outlineLevel="0" collapsed="false">
      <c r="A954" s="3" t="str">
        <f aca="false">'1. Raw Data'!A953</f>
        <v>EMP-0952</v>
      </c>
      <c r="B954" s="3" t="n">
        <f aca="false">'1. Raw Data'!B953</f>
        <v>29</v>
      </c>
      <c r="C954" s="3" t="str">
        <f aca="false">'1. Raw Data'!C953</f>
        <v>Customer Support</v>
      </c>
      <c r="D954" s="3" t="str">
        <f aca="false">'1. Raw Data'!D953</f>
        <v>Mid</v>
      </c>
      <c r="E954" s="3" t="str">
        <f aca="false">'1. Raw Data'!E953</f>
        <v>Marketing</v>
      </c>
      <c r="F954" s="3" t="n">
        <f aca="false">'1. Raw Data'!F953</f>
        <v>4.5</v>
      </c>
      <c r="G954" s="3" t="n">
        <f aca="false">IF('1. Raw Data'!G953="",ROUND(IFERROR(AVERAGEIFS('1. Raw Data'!G2:G1201,'1. Raw Data'!C2:C1201,'1. Raw Data'!C953,'1. Raw Data'!D2:D1201,'1. Raw Data'!D953),0),2),'1. Raw Data'!G953)</f>
        <v>5606.33</v>
      </c>
      <c r="H954" s="3" t="str">
        <f aca="false">PROPER('1. Raw Data'!H953)</f>
        <v>No</v>
      </c>
      <c r="I954" s="3" t="n">
        <f aca="false">'1. Raw Data'!I953</f>
        <v>1</v>
      </c>
      <c r="J954" s="3" t="n">
        <f aca="false">'1. Raw Data'!J953</f>
        <v>4</v>
      </c>
      <c r="K954" s="3" t="n">
        <f aca="false">'1. Raw Data'!K953</f>
        <v>1</v>
      </c>
      <c r="L954" s="3" t="n">
        <f aca="false">'1. Raw Data'!L953</f>
        <v>0</v>
      </c>
      <c r="M954" s="3" t="n">
        <f aca="false">'1. Raw Data'!M953</f>
        <v>1</v>
      </c>
      <c r="N954" s="3" t="str">
        <f aca="false">'1. Raw Data'!N953</f>
        <v>No</v>
      </c>
    </row>
    <row r="955" customFormat="false" ht="15" hidden="false" customHeight="false" outlineLevel="0" collapsed="false">
      <c r="A955" s="3" t="str">
        <f aca="false">'1. Raw Data'!A954</f>
        <v>EMP-0953</v>
      </c>
      <c r="B955" s="3" t="n">
        <f aca="false">'1. Raw Data'!B954</f>
        <v>39</v>
      </c>
      <c r="C955" s="3" t="str">
        <f aca="false">'1. Raw Data'!C954</f>
        <v>Sales</v>
      </c>
      <c r="D955" s="3" t="str">
        <f aca="false">'1. Raw Data'!D954</f>
        <v>Mid</v>
      </c>
      <c r="E955" s="3" t="str">
        <f aca="false">'1. Raw Data'!E954</f>
        <v>Other</v>
      </c>
      <c r="F955" s="3" t="n">
        <f aca="false">'1. Raw Data'!F954</f>
        <v>13.3</v>
      </c>
      <c r="G955" s="3" t="n">
        <f aca="false">IF('1. Raw Data'!G954="",ROUND(IFERROR(AVERAGEIFS('1. Raw Data'!G2:G1201,'1. Raw Data'!C2:C1201,'1. Raw Data'!C954,'1. Raw Data'!D2:D1201,'1. Raw Data'!D954),0),2),'1. Raw Data'!G954)</f>
        <v>4224.8</v>
      </c>
      <c r="H955" s="3" t="str">
        <f aca="false">PROPER('1. Raw Data'!H954)</f>
        <v>Yes</v>
      </c>
      <c r="I955" s="3" t="n">
        <f aca="false">'1. Raw Data'!I954</f>
        <v>4</v>
      </c>
      <c r="J955" s="3" t="n">
        <f aca="false">'1. Raw Data'!J954</f>
        <v>3</v>
      </c>
      <c r="K955" s="3" t="n">
        <f aca="false">'1. Raw Data'!K954</f>
        <v>2</v>
      </c>
      <c r="L955" s="3" t="n">
        <f aca="false">'1. Raw Data'!L954</f>
        <v>3</v>
      </c>
      <c r="M955" s="3" t="n">
        <f aca="false">'1. Raw Data'!M954</f>
        <v>1</v>
      </c>
      <c r="N955" s="3" t="str">
        <f aca="false">'1. Raw Data'!N954</f>
        <v>Yes</v>
      </c>
    </row>
    <row r="956" customFormat="false" ht="15" hidden="false" customHeight="false" outlineLevel="0" collapsed="false">
      <c r="A956" s="3" t="str">
        <f aca="false">'1. Raw Data'!A955</f>
        <v>EMP-0954</v>
      </c>
      <c r="B956" s="3" t="n">
        <f aca="false">'1. Raw Data'!B955</f>
        <v>42</v>
      </c>
      <c r="C956" s="3" t="str">
        <f aca="false">'1. Raw Data'!C955</f>
        <v>Finance</v>
      </c>
      <c r="D956" s="3" t="str">
        <f aca="false">'1. Raw Data'!D955</f>
        <v>Senior</v>
      </c>
      <c r="E956" s="3" t="str">
        <f aca="false">'1. Raw Data'!E955</f>
        <v>Marketing</v>
      </c>
      <c r="F956" s="3" t="n">
        <f aca="false">'1. Raw Data'!F955</f>
        <v>5.1</v>
      </c>
      <c r="G956" s="3" t="n">
        <f aca="false">IF('1. Raw Data'!G955="",ROUND(IFERROR(AVERAGEIFS('1. Raw Data'!G2:G1201,'1. Raw Data'!C2:C1201,'1. Raw Data'!C955,'1. Raw Data'!D2:D1201,'1. Raw Data'!D955),0),2),'1. Raw Data'!G955)</f>
        <v>6249.61</v>
      </c>
      <c r="H956" s="3" t="str">
        <f aca="false">PROPER('1. Raw Data'!H955)</f>
        <v>No</v>
      </c>
      <c r="I956" s="3" t="n">
        <f aca="false">'1. Raw Data'!I955</f>
        <v>3</v>
      </c>
      <c r="J956" s="3" t="n">
        <f aca="false">'1. Raw Data'!J955</f>
        <v>3</v>
      </c>
      <c r="K956" s="3" t="n">
        <f aca="false">'1. Raw Data'!K955</f>
        <v>11</v>
      </c>
      <c r="L956" s="3" t="n">
        <f aca="false">'1. Raw Data'!L955</f>
        <v>0</v>
      </c>
      <c r="M956" s="3" t="n">
        <f aca="false">'1. Raw Data'!M955</f>
        <v>1</v>
      </c>
      <c r="N956" s="3" t="str">
        <f aca="false">'1. Raw Data'!N955</f>
        <v>No</v>
      </c>
    </row>
    <row r="957" customFormat="false" ht="15" hidden="false" customHeight="false" outlineLevel="0" collapsed="false">
      <c r="A957" s="3" t="str">
        <f aca="false">'1. Raw Data'!A956</f>
        <v>EMP-0955</v>
      </c>
      <c r="B957" s="3" t="n">
        <f aca="false">'1. Raw Data'!B956</f>
        <v>28</v>
      </c>
      <c r="C957" s="3" t="str">
        <f aca="false">'1. Raw Data'!C956</f>
        <v>Customer Support</v>
      </c>
      <c r="D957" s="3" t="str">
        <f aca="false">'1. Raw Data'!D956</f>
        <v>Mid</v>
      </c>
      <c r="E957" s="3" t="str">
        <f aca="false">'1. Raw Data'!E956</f>
        <v>Other</v>
      </c>
      <c r="F957" s="3" t="n">
        <f aca="false">'1. Raw Data'!F956</f>
        <v>0.3</v>
      </c>
      <c r="G957" s="3" t="n">
        <f aca="false">IF('1. Raw Data'!G956="",ROUND(IFERROR(AVERAGEIFS('1. Raw Data'!G2:G1201,'1. Raw Data'!C2:C1201,'1. Raw Data'!C956,'1. Raw Data'!D2:D1201,'1. Raw Data'!D956),0),2),'1. Raw Data'!G956)</f>
        <v>4559.96</v>
      </c>
      <c r="H957" s="3" t="str">
        <f aca="false">PROPER('1. Raw Data'!H956)</f>
        <v>Yes</v>
      </c>
      <c r="I957" s="3" t="n">
        <f aca="false">'1. Raw Data'!I956</f>
        <v>3</v>
      </c>
      <c r="J957" s="3" t="n">
        <f aca="false">'1. Raw Data'!J956</f>
        <v>4</v>
      </c>
      <c r="K957" s="3" t="n">
        <f aca="false">'1. Raw Data'!K956</f>
        <v>5</v>
      </c>
      <c r="L957" s="3" t="n">
        <f aca="false">'1. Raw Data'!L956</f>
        <v>0</v>
      </c>
      <c r="M957" s="3" t="n">
        <f aca="false">'1. Raw Data'!M956</f>
        <v>3</v>
      </c>
      <c r="N957" s="3" t="str">
        <f aca="false">'1. Raw Data'!N956</f>
        <v>No</v>
      </c>
    </row>
    <row r="958" customFormat="false" ht="15" hidden="false" customHeight="false" outlineLevel="0" collapsed="false">
      <c r="A958" s="3" t="str">
        <f aca="false">'1. Raw Data'!A957</f>
        <v>EMP-0956</v>
      </c>
      <c r="B958" s="3" t="n">
        <f aca="false">'1. Raw Data'!B957</f>
        <v>31</v>
      </c>
      <c r="C958" s="3" t="str">
        <f aca="false">'1. Raw Data'!C957</f>
        <v>Customer Support</v>
      </c>
      <c r="D958" s="3" t="str">
        <f aca="false">'1. Raw Data'!D957</f>
        <v>Mid</v>
      </c>
      <c r="E958" s="3" t="str">
        <f aca="false">'1. Raw Data'!E957</f>
        <v>Marketing</v>
      </c>
      <c r="F958" s="3" t="n">
        <f aca="false">'1. Raw Data'!F957</f>
        <v>4.3</v>
      </c>
      <c r="G958" s="3" t="n">
        <f aca="false">IF('1. Raw Data'!G957="",ROUND(IFERROR(AVERAGEIFS('1. Raw Data'!G2:G1201,'1. Raw Data'!C2:C1201,'1. Raw Data'!C957,'1. Raw Data'!D2:D1201,'1. Raw Data'!D957),0),2),'1. Raw Data'!G957)</f>
        <v>4553.46</v>
      </c>
      <c r="H958" s="3" t="str">
        <f aca="false">PROPER('1. Raw Data'!H957)</f>
        <v>Yes</v>
      </c>
      <c r="I958" s="3" t="n">
        <f aca="false">'1. Raw Data'!I957</f>
        <v>2</v>
      </c>
      <c r="J958" s="3" t="n">
        <f aca="false">'1. Raw Data'!J957</f>
        <v>2</v>
      </c>
      <c r="K958" s="3" t="n">
        <f aca="false">'1. Raw Data'!K957</f>
        <v>2</v>
      </c>
      <c r="L958" s="3" t="n">
        <f aca="false">'1. Raw Data'!L957</f>
        <v>4</v>
      </c>
      <c r="M958" s="3" t="n">
        <f aca="false">'1. Raw Data'!M957</f>
        <v>2</v>
      </c>
      <c r="N958" s="3" t="str">
        <f aca="false">'1. Raw Data'!N957</f>
        <v>No</v>
      </c>
    </row>
    <row r="959" customFormat="false" ht="15" hidden="false" customHeight="false" outlineLevel="0" collapsed="false">
      <c r="A959" s="3" t="str">
        <f aca="false">'1. Raw Data'!A958</f>
        <v>EMP-0957</v>
      </c>
      <c r="B959" s="3" t="n">
        <f aca="false">'1. Raw Data'!B958</f>
        <v>27</v>
      </c>
      <c r="C959" s="3" t="str">
        <f aca="false">'1. Raw Data'!C958</f>
        <v>Sales</v>
      </c>
      <c r="D959" s="3" t="str">
        <f aca="false">'1. Raw Data'!D958</f>
        <v>Junior</v>
      </c>
      <c r="E959" s="3" t="str">
        <f aca="false">'1. Raw Data'!E958</f>
        <v>Other</v>
      </c>
      <c r="F959" s="3" t="n">
        <f aca="false">'1. Raw Data'!F958</f>
        <v>1</v>
      </c>
      <c r="G959" s="3" t="n">
        <f aca="false">IF('1. Raw Data'!G958="",ROUND(IFERROR(AVERAGEIFS('1. Raw Data'!G2:G1201,'1. Raw Data'!C2:C1201,'1. Raw Data'!C958,'1. Raw Data'!D2:D1201,'1. Raw Data'!D958),0),2),'1. Raw Data'!G958)</f>
        <v>3171.09</v>
      </c>
      <c r="H959" s="3" t="str">
        <f aca="false">PROPER('1. Raw Data'!H958)</f>
        <v>No</v>
      </c>
      <c r="I959" s="3" t="n">
        <f aca="false">'1. Raw Data'!I958</f>
        <v>3</v>
      </c>
      <c r="J959" s="3" t="n">
        <f aca="false">'1. Raw Data'!J958</f>
        <v>1</v>
      </c>
      <c r="K959" s="3" t="n">
        <f aca="false">'1. Raw Data'!K958</f>
        <v>2</v>
      </c>
      <c r="L959" s="3" t="n">
        <f aca="false">'1. Raw Data'!L958</f>
        <v>1</v>
      </c>
      <c r="M959" s="3" t="n">
        <f aca="false">'1. Raw Data'!M958</f>
        <v>1</v>
      </c>
      <c r="N959" s="3" t="str">
        <f aca="false">'1. Raw Data'!N958</f>
        <v>No</v>
      </c>
    </row>
    <row r="960" customFormat="false" ht="15" hidden="false" customHeight="false" outlineLevel="0" collapsed="false">
      <c r="A960" s="3" t="str">
        <f aca="false">'1. Raw Data'!A959</f>
        <v>EMP-0958</v>
      </c>
      <c r="B960" s="3" t="n">
        <f aca="false">'1. Raw Data'!B959</f>
        <v>25</v>
      </c>
      <c r="C960" s="3" t="str">
        <f aca="false">'1. Raw Data'!C959</f>
        <v>Sales</v>
      </c>
      <c r="D960" s="3" t="str">
        <f aca="false">'1. Raw Data'!D959</f>
        <v>Senior</v>
      </c>
      <c r="E960" s="3" t="str">
        <f aca="false">'1. Raw Data'!E959</f>
        <v>Marketing</v>
      </c>
      <c r="F960" s="3" t="n">
        <f aca="false">'1. Raw Data'!F959</f>
        <v>1.5</v>
      </c>
      <c r="G960" s="3" t="n">
        <f aca="false">IF('1. Raw Data'!G959="",ROUND(IFERROR(AVERAGEIFS('1. Raw Data'!G2:G1201,'1. Raw Data'!C2:C1201,'1. Raw Data'!C959,'1. Raw Data'!D2:D1201,'1. Raw Data'!D959),0),2),'1. Raw Data'!G959)</f>
        <v>7522.92</v>
      </c>
      <c r="H960" s="3" t="str">
        <f aca="false">PROPER('1. Raw Data'!H959)</f>
        <v>No</v>
      </c>
      <c r="I960" s="3" t="n">
        <f aca="false">'1. Raw Data'!I959</f>
        <v>3</v>
      </c>
      <c r="J960" s="3" t="n">
        <f aca="false">'1. Raw Data'!J959</f>
        <v>3</v>
      </c>
      <c r="K960" s="3" t="n">
        <f aca="false">'1. Raw Data'!K959</f>
        <v>1</v>
      </c>
      <c r="L960" s="3" t="n">
        <f aca="false">'1. Raw Data'!L959</f>
        <v>1</v>
      </c>
      <c r="M960" s="3" t="n">
        <f aca="false">'1. Raw Data'!M959</f>
        <v>2</v>
      </c>
      <c r="N960" s="3" t="str">
        <f aca="false">'1. Raw Data'!N959</f>
        <v>No</v>
      </c>
    </row>
    <row r="961" customFormat="false" ht="15" hidden="false" customHeight="false" outlineLevel="0" collapsed="false">
      <c r="A961" s="3" t="str">
        <f aca="false">'1. Raw Data'!A960</f>
        <v>EMP-0959</v>
      </c>
      <c r="B961" s="3" t="n">
        <f aca="false">'1. Raw Data'!B960</f>
        <v>29</v>
      </c>
      <c r="C961" s="3" t="str">
        <f aca="false">'1. Raw Data'!C960</f>
        <v>Sales</v>
      </c>
      <c r="D961" s="3" t="str">
        <f aca="false">'1. Raw Data'!D960</f>
        <v>Mid</v>
      </c>
      <c r="E961" s="3" t="str">
        <f aca="false">'1. Raw Data'!E960</f>
        <v>Other</v>
      </c>
      <c r="F961" s="3" t="n">
        <f aca="false">'1. Raw Data'!F960</f>
        <v>1.9</v>
      </c>
      <c r="G961" s="3" t="n">
        <f aca="false">IF('1. Raw Data'!G960="",ROUND(IFERROR(AVERAGEIFS('1. Raw Data'!G2:G1201,'1. Raw Data'!C2:C1201,'1. Raw Data'!C960,'1. Raw Data'!D2:D1201,'1. Raw Data'!D960),0),2),'1. Raw Data'!G960)</f>
        <v>4922.47</v>
      </c>
      <c r="H961" s="3" t="str">
        <f aca="false">PROPER('1. Raw Data'!H960)</f>
        <v>No</v>
      </c>
      <c r="I961" s="3" t="n">
        <f aca="false">'1. Raw Data'!I960</f>
        <v>1</v>
      </c>
      <c r="J961" s="3" t="n">
        <f aca="false">'1. Raw Data'!J960</f>
        <v>3</v>
      </c>
      <c r="K961" s="3" t="n">
        <f aca="false">'1. Raw Data'!K960</f>
        <v>11</v>
      </c>
      <c r="L961" s="3" t="n">
        <f aca="false">'1. Raw Data'!L960</f>
        <v>1</v>
      </c>
      <c r="M961" s="3" t="n">
        <f aca="false">'1. Raw Data'!M960</f>
        <v>1</v>
      </c>
      <c r="N961" s="3" t="str">
        <f aca="false">'1. Raw Data'!N960</f>
        <v>Yes</v>
      </c>
    </row>
    <row r="962" customFormat="false" ht="15" hidden="false" customHeight="false" outlineLevel="0" collapsed="false">
      <c r="A962" s="3" t="str">
        <f aca="false">'1. Raw Data'!A961</f>
        <v>EMP-0960</v>
      </c>
      <c r="B962" s="3" t="n">
        <f aca="false">'1. Raw Data'!B961</f>
        <v>34</v>
      </c>
      <c r="C962" s="3" t="str">
        <f aca="false">'1. Raw Data'!C961</f>
        <v>Finance</v>
      </c>
      <c r="D962" s="3" t="str">
        <f aca="false">'1. Raw Data'!D961</f>
        <v>Junior</v>
      </c>
      <c r="E962" s="3" t="str">
        <f aca="false">'1. Raw Data'!E961</f>
        <v>Business</v>
      </c>
      <c r="F962" s="3" t="n">
        <f aca="false">'1. Raw Data'!F961</f>
        <v>0.7</v>
      </c>
      <c r="G962" s="3" t="n">
        <f aca="false">IF('1. Raw Data'!G961="",ROUND(IFERROR(AVERAGEIFS('1. Raw Data'!G2:G1201,'1. Raw Data'!C2:C1201,'1. Raw Data'!C961,'1. Raw Data'!D2:D1201,'1. Raw Data'!D961),0),2),'1. Raw Data'!G961)</f>
        <v>2878.27</v>
      </c>
      <c r="H962" s="3" t="str">
        <f aca="false">PROPER('1. Raw Data'!H961)</f>
        <v>No</v>
      </c>
      <c r="I962" s="3" t="n">
        <f aca="false">'1. Raw Data'!I961</f>
        <v>4</v>
      </c>
      <c r="J962" s="3" t="n">
        <f aca="false">'1. Raw Data'!J961</f>
        <v>3</v>
      </c>
      <c r="K962" s="3" t="n">
        <f aca="false">'1. Raw Data'!K961</f>
        <v>1</v>
      </c>
      <c r="L962" s="3" t="n">
        <f aca="false">'1. Raw Data'!L961</f>
        <v>0</v>
      </c>
      <c r="M962" s="3" t="n">
        <f aca="false">'1. Raw Data'!M961</f>
        <v>3</v>
      </c>
      <c r="N962" s="3" t="str">
        <f aca="false">'1. Raw Data'!N961</f>
        <v>No</v>
      </c>
    </row>
    <row r="963" customFormat="false" ht="15" hidden="false" customHeight="false" outlineLevel="0" collapsed="false">
      <c r="A963" s="3" t="str">
        <f aca="false">'1. Raw Data'!A962</f>
        <v>EMP-0961</v>
      </c>
      <c r="B963" s="3" t="n">
        <f aca="false">'1. Raw Data'!B962</f>
        <v>21</v>
      </c>
      <c r="C963" s="3" t="str">
        <f aca="false">'1. Raw Data'!C962</f>
        <v>Customer Support</v>
      </c>
      <c r="D963" s="3" t="str">
        <f aca="false">'1. Raw Data'!D962</f>
        <v>Junior</v>
      </c>
      <c r="E963" s="3" t="str">
        <f aca="false">'1. Raw Data'!E962</f>
        <v>Technical</v>
      </c>
      <c r="F963" s="3" t="n">
        <f aca="false">'1. Raw Data'!F962</f>
        <v>0</v>
      </c>
      <c r="G963" s="3" t="n">
        <f aca="false">IF('1. Raw Data'!G962="",ROUND(IFERROR(AVERAGEIFS('1. Raw Data'!G2:G1201,'1. Raw Data'!C2:C1201,'1. Raw Data'!C962,'1. Raw Data'!D2:D1201,'1. Raw Data'!D962),0),2),'1. Raw Data'!G962)</f>
        <v>3722.68</v>
      </c>
      <c r="H963" s="3" t="str">
        <f aca="false">PROPER('1. Raw Data'!H962)</f>
        <v>No</v>
      </c>
      <c r="I963" s="3" t="n">
        <f aca="false">'1. Raw Data'!I962</f>
        <v>1</v>
      </c>
      <c r="J963" s="3" t="n">
        <f aca="false">'1. Raw Data'!J962</f>
        <v>2</v>
      </c>
      <c r="K963" s="3" t="n">
        <f aca="false">'1. Raw Data'!K962</f>
        <v>2</v>
      </c>
      <c r="L963" s="3" t="n">
        <f aca="false">'1. Raw Data'!L962</f>
        <v>0</v>
      </c>
      <c r="M963" s="3" t="n">
        <f aca="false">'1. Raw Data'!M962</f>
        <v>1</v>
      </c>
      <c r="N963" s="3" t="str">
        <f aca="false">'1. Raw Data'!N962</f>
        <v>Yes</v>
      </c>
    </row>
    <row r="964" customFormat="false" ht="15" hidden="false" customHeight="false" outlineLevel="0" collapsed="false">
      <c r="A964" s="3" t="str">
        <f aca="false">'1. Raw Data'!A963</f>
        <v>EMP-0962</v>
      </c>
      <c r="B964" s="3" t="n">
        <f aca="false">'1. Raw Data'!B963</f>
        <v>31</v>
      </c>
      <c r="C964" s="3" t="str">
        <f aca="false">'1. Raw Data'!C963</f>
        <v>Customer Support</v>
      </c>
      <c r="D964" s="3" t="str">
        <f aca="false">'1. Raw Data'!D963</f>
        <v>Junior</v>
      </c>
      <c r="E964" s="3" t="str">
        <f aca="false">'1. Raw Data'!E963</f>
        <v>Marketing</v>
      </c>
      <c r="F964" s="3" t="n">
        <f aca="false">'1. Raw Data'!F963</f>
        <v>0.6</v>
      </c>
      <c r="G964" s="3" t="n">
        <f aca="false">IF('1. Raw Data'!G963="",ROUND(IFERROR(AVERAGEIFS('1. Raw Data'!G2:G1201,'1. Raw Data'!C2:C1201,'1. Raw Data'!C963,'1. Raw Data'!D2:D1201,'1. Raw Data'!D963),0),2),'1. Raw Data'!G963)</f>
        <v>3427.4</v>
      </c>
      <c r="H964" s="3" t="str">
        <f aca="false">PROPER('1. Raw Data'!H963)</f>
        <v>Yes</v>
      </c>
      <c r="I964" s="3" t="n">
        <f aca="false">'1. Raw Data'!I963</f>
        <v>4</v>
      </c>
      <c r="J964" s="3" t="n">
        <f aca="false">'1. Raw Data'!J963</f>
        <v>4</v>
      </c>
      <c r="K964" s="3" t="n">
        <f aca="false">'1. Raw Data'!K963</f>
        <v>1</v>
      </c>
      <c r="L964" s="3" t="n">
        <f aca="false">'1. Raw Data'!L963</f>
        <v>0</v>
      </c>
      <c r="M964" s="3" t="n">
        <f aca="false">'1. Raw Data'!M963</f>
        <v>4</v>
      </c>
      <c r="N964" s="3" t="str">
        <f aca="false">'1. Raw Data'!N963</f>
        <v>No</v>
      </c>
    </row>
    <row r="965" customFormat="false" ht="15" hidden="false" customHeight="false" outlineLevel="0" collapsed="false">
      <c r="A965" s="3" t="str">
        <f aca="false">'1. Raw Data'!A964</f>
        <v>EMP-0963</v>
      </c>
      <c r="B965" s="3" t="n">
        <f aca="false">'1. Raw Data'!B964</f>
        <v>50</v>
      </c>
      <c r="C965" s="3" t="str">
        <f aca="false">'1. Raw Data'!C964</f>
        <v>HR</v>
      </c>
      <c r="D965" s="3" t="str">
        <f aca="false">'1. Raw Data'!D964</f>
        <v>Senior</v>
      </c>
      <c r="E965" s="3" t="str">
        <f aca="false">'1. Raw Data'!E964</f>
        <v>Technical</v>
      </c>
      <c r="F965" s="3" t="n">
        <f aca="false">'1. Raw Data'!F964</f>
        <v>3.2</v>
      </c>
      <c r="G965" s="3" t="n">
        <f aca="false">IF('1. Raw Data'!G964="",ROUND(IFERROR(AVERAGEIFS('1. Raw Data'!G2:G1201,'1. Raw Data'!C2:C1201,'1. Raw Data'!C964,'1. Raw Data'!D2:D1201,'1. Raw Data'!D964),0),2),'1. Raw Data'!G964)</f>
        <v>8440.41</v>
      </c>
      <c r="H965" s="3" t="str">
        <f aca="false">PROPER('1. Raw Data'!H964)</f>
        <v>No</v>
      </c>
      <c r="I965" s="3" t="n">
        <f aca="false">'1. Raw Data'!I964</f>
        <v>3</v>
      </c>
      <c r="J965" s="3" t="n">
        <f aca="false">'1. Raw Data'!J964</f>
        <v>2</v>
      </c>
      <c r="K965" s="3" t="n">
        <f aca="false">'1. Raw Data'!K964</f>
        <v>15</v>
      </c>
      <c r="L965" s="3" t="n">
        <f aca="false">'1. Raw Data'!L964</f>
        <v>0</v>
      </c>
      <c r="M965" s="3" t="n">
        <f aca="false">'1. Raw Data'!M964</f>
        <v>1</v>
      </c>
      <c r="N965" s="3" t="str">
        <f aca="false">'1. Raw Data'!N964</f>
        <v>No</v>
      </c>
    </row>
    <row r="966" customFormat="false" ht="15" hidden="false" customHeight="false" outlineLevel="0" collapsed="false">
      <c r="A966" s="3" t="str">
        <f aca="false">'1. Raw Data'!A965</f>
        <v>EMP-0964</v>
      </c>
      <c r="B966" s="3" t="n">
        <f aca="false">'1. Raw Data'!B965</f>
        <v>21</v>
      </c>
      <c r="C966" s="3" t="str">
        <f aca="false">'1. Raw Data'!C965</f>
        <v>Customer Support</v>
      </c>
      <c r="D966" s="3" t="str">
        <f aca="false">'1. Raw Data'!D965</f>
        <v>Mid</v>
      </c>
      <c r="E966" s="3" t="str">
        <f aca="false">'1. Raw Data'!E965</f>
        <v>Technical</v>
      </c>
      <c r="F966" s="3" t="n">
        <f aca="false">'1. Raw Data'!F965</f>
        <v>0</v>
      </c>
      <c r="G966" s="3" t="n">
        <f aca="false">IF('1. Raw Data'!G965="",ROUND(IFERROR(AVERAGEIFS('1. Raw Data'!G2:G1201,'1. Raw Data'!C2:C1201,'1. Raw Data'!C965,'1. Raw Data'!D2:D1201,'1. Raw Data'!D965),0),2),'1. Raw Data'!G965)</f>
        <v>5033.04</v>
      </c>
      <c r="H966" s="3" t="str">
        <f aca="false">PROPER('1. Raw Data'!H965)</f>
        <v>No</v>
      </c>
      <c r="I966" s="3" t="n">
        <f aca="false">'1. Raw Data'!I965</f>
        <v>1</v>
      </c>
      <c r="J966" s="3" t="n">
        <f aca="false">'1. Raw Data'!J965</f>
        <v>1</v>
      </c>
      <c r="K966" s="3" t="n">
        <f aca="false">'1. Raw Data'!K965</f>
        <v>2</v>
      </c>
      <c r="L966" s="3" t="n">
        <f aca="false">'1. Raw Data'!L965</f>
        <v>0</v>
      </c>
      <c r="M966" s="3" t="n">
        <f aca="false">'1. Raw Data'!M965</f>
        <v>0</v>
      </c>
      <c r="N966" s="3" t="str">
        <f aca="false">'1. Raw Data'!N965</f>
        <v>Yes</v>
      </c>
    </row>
    <row r="967" customFormat="false" ht="15" hidden="false" customHeight="false" outlineLevel="0" collapsed="false">
      <c r="A967" s="3" t="str">
        <f aca="false">'1. Raw Data'!A966</f>
        <v>EMP-0965</v>
      </c>
      <c r="B967" s="3" t="n">
        <f aca="false">'1. Raw Data'!B966</f>
        <v>28</v>
      </c>
      <c r="C967" s="3" t="str">
        <f aca="false">'1. Raw Data'!C966</f>
        <v>Engineering</v>
      </c>
      <c r="D967" s="3" t="str">
        <f aca="false">'1. Raw Data'!D966</f>
        <v>Senior</v>
      </c>
      <c r="E967" s="3" t="str">
        <f aca="false">'1. Raw Data'!E966</f>
        <v>Technical</v>
      </c>
      <c r="F967" s="3" t="n">
        <f aca="false">'1. Raw Data'!F966</f>
        <v>1</v>
      </c>
      <c r="G967" s="3" t="n">
        <f aca="false">IF('1. Raw Data'!G966="",ROUND(IFERROR(AVERAGEIFS('1. Raw Data'!G2:G1201,'1. Raw Data'!C2:C1201,'1. Raw Data'!C966,'1. Raw Data'!D2:D1201,'1. Raw Data'!D966),0),2),'1. Raw Data'!G966)</f>
        <v>8298.25</v>
      </c>
      <c r="H967" s="3" t="str">
        <f aca="false">PROPER('1. Raw Data'!H966)</f>
        <v>Yes</v>
      </c>
      <c r="I967" s="3" t="n">
        <f aca="false">'1. Raw Data'!I966</f>
        <v>4</v>
      </c>
      <c r="J967" s="3" t="n">
        <f aca="false">'1. Raw Data'!J966</f>
        <v>2</v>
      </c>
      <c r="K967" s="3" t="n">
        <f aca="false">'1. Raw Data'!K966</f>
        <v>19</v>
      </c>
      <c r="L967" s="3" t="n">
        <f aca="false">'1. Raw Data'!L966</f>
        <v>0</v>
      </c>
      <c r="M967" s="3" t="n">
        <f aca="false">'1. Raw Data'!M966</f>
        <v>2</v>
      </c>
      <c r="N967" s="3" t="str">
        <f aca="false">'1. Raw Data'!N966</f>
        <v>No</v>
      </c>
    </row>
    <row r="968" customFormat="false" ht="15" hidden="false" customHeight="false" outlineLevel="0" collapsed="false">
      <c r="A968" s="3" t="str">
        <f aca="false">'1. Raw Data'!A967</f>
        <v>EMP-0966</v>
      </c>
      <c r="B968" s="3" t="n">
        <f aca="false">'1. Raw Data'!B967</f>
        <v>43</v>
      </c>
      <c r="C968" s="3" t="str">
        <f aca="false">'1. Raw Data'!C967</f>
        <v>Customer Support</v>
      </c>
      <c r="D968" s="3" t="str">
        <f aca="false">'1. Raw Data'!D967</f>
        <v>Junior</v>
      </c>
      <c r="E968" s="3" t="str">
        <f aca="false">'1. Raw Data'!E967</f>
        <v>Other</v>
      </c>
      <c r="F968" s="3" t="n">
        <f aca="false">'1. Raw Data'!F967</f>
        <v>3.9</v>
      </c>
      <c r="G968" s="3" t="n">
        <f aca="false">IF('1. Raw Data'!G967="",ROUND(IFERROR(AVERAGEIFS('1. Raw Data'!G2:G1201,'1. Raw Data'!C2:C1201,'1. Raw Data'!C967,'1. Raw Data'!D2:D1201,'1. Raw Data'!D967),0),2),'1. Raw Data'!G967)</f>
        <v>3569.81</v>
      </c>
      <c r="H968" s="3" t="str">
        <f aca="false">PROPER('1. Raw Data'!H967)</f>
        <v>Yes</v>
      </c>
      <c r="I968" s="3" t="n">
        <f aca="false">'1. Raw Data'!I967</f>
        <v>3</v>
      </c>
      <c r="J968" s="3" t="n">
        <f aca="false">'1. Raw Data'!J967</f>
        <v>3</v>
      </c>
      <c r="K968" s="3" t="n">
        <f aca="false">'1. Raw Data'!K967</f>
        <v>1</v>
      </c>
      <c r="L968" s="3" t="n">
        <f aca="false">'1. Raw Data'!L967</f>
        <v>0</v>
      </c>
      <c r="M968" s="3" t="n">
        <f aca="false">'1. Raw Data'!M967</f>
        <v>3</v>
      </c>
      <c r="N968" s="3" t="str">
        <f aca="false">'1. Raw Data'!N967</f>
        <v>No</v>
      </c>
    </row>
    <row r="969" customFormat="false" ht="15" hidden="false" customHeight="false" outlineLevel="0" collapsed="false">
      <c r="A969" s="3" t="str">
        <f aca="false">'1. Raw Data'!A968</f>
        <v>EMP-0967</v>
      </c>
      <c r="B969" s="3" t="n">
        <f aca="false">'1. Raw Data'!B968</f>
        <v>31</v>
      </c>
      <c r="C969" s="3" t="str">
        <f aca="false">'1. Raw Data'!C968</f>
        <v>Engineering</v>
      </c>
      <c r="D969" s="3" t="str">
        <f aca="false">'1. Raw Data'!D968</f>
        <v>Junior</v>
      </c>
      <c r="E969" s="3" t="str">
        <f aca="false">'1. Raw Data'!E968</f>
        <v>Business</v>
      </c>
      <c r="F969" s="3" t="n">
        <f aca="false">'1. Raw Data'!F968</f>
        <v>4.4</v>
      </c>
      <c r="G969" s="3" t="n">
        <f aca="false">IF('1. Raw Data'!G968="",ROUND(IFERROR(AVERAGEIFS('1. Raw Data'!G2:G1201,'1. Raw Data'!C2:C1201,'1. Raw Data'!C968,'1. Raw Data'!D2:D1201,'1. Raw Data'!D968),0),2),'1. Raw Data'!G968)</f>
        <v>2935.75</v>
      </c>
      <c r="H969" s="3" t="str">
        <f aca="false">PROPER('1. Raw Data'!H968)</f>
        <v>No</v>
      </c>
      <c r="I969" s="3" t="n">
        <f aca="false">'1. Raw Data'!I968</f>
        <v>1</v>
      </c>
      <c r="J969" s="3" t="n">
        <f aca="false">'1. Raw Data'!J968</f>
        <v>2</v>
      </c>
      <c r="K969" s="3" t="n">
        <f aca="false">'1. Raw Data'!K968</f>
        <v>1</v>
      </c>
      <c r="L969" s="3" t="n">
        <f aca="false">'1. Raw Data'!L968</f>
        <v>0</v>
      </c>
      <c r="M969" s="3" t="n">
        <f aca="false">'1. Raw Data'!M968</f>
        <v>2</v>
      </c>
      <c r="N969" s="3" t="str">
        <f aca="false">'1. Raw Data'!N968</f>
        <v>No</v>
      </c>
    </row>
    <row r="970" customFormat="false" ht="15" hidden="false" customHeight="false" outlineLevel="0" collapsed="false">
      <c r="A970" s="3" t="str">
        <f aca="false">'1. Raw Data'!A969</f>
        <v>EMP-0968</v>
      </c>
      <c r="B970" s="3" t="n">
        <f aca="false">'1. Raw Data'!B969</f>
        <v>25</v>
      </c>
      <c r="C970" s="3" t="str">
        <f aca="false">'1. Raw Data'!C969</f>
        <v>Sales</v>
      </c>
      <c r="D970" s="3" t="str">
        <f aca="false">'1. Raw Data'!D969</f>
        <v>Senior</v>
      </c>
      <c r="E970" s="3" t="str">
        <f aca="false">'1. Raw Data'!E969</f>
        <v>Business</v>
      </c>
      <c r="F970" s="3" t="n">
        <f aca="false">'1. Raw Data'!F969</f>
        <v>0.2</v>
      </c>
      <c r="G970" s="3" t="n">
        <f aca="false">IF('1. Raw Data'!G969="",ROUND(IFERROR(AVERAGEIFS('1. Raw Data'!G2:G1201,'1. Raw Data'!C2:C1201,'1. Raw Data'!C969,'1. Raw Data'!D2:D1201,'1. Raw Data'!D969),0),2),'1. Raw Data'!G969)</f>
        <v>7191.78</v>
      </c>
      <c r="H970" s="3" t="str">
        <f aca="false">PROPER('1. Raw Data'!H969)</f>
        <v>No</v>
      </c>
      <c r="I970" s="3" t="n">
        <f aca="false">'1. Raw Data'!I969</f>
        <v>4</v>
      </c>
      <c r="J970" s="3" t="n">
        <f aca="false">'1. Raw Data'!J969</f>
        <v>4</v>
      </c>
      <c r="K970" s="3" t="n">
        <f aca="false">'1. Raw Data'!K969</f>
        <v>26</v>
      </c>
      <c r="L970" s="3" t="n">
        <f aca="false">'1. Raw Data'!L969</f>
        <v>0</v>
      </c>
      <c r="M970" s="3" t="n">
        <f aca="false">'1. Raw Data'!M969</f>
        <v>1</v>
      </c>
      <c r="N970" s="3" t="str">
        <f aca="false">'1. Raw Data'!N969</f>
        <v>No</v>
      </c>
    </row>
    <row r="971" customFormat="false" ht="15" hidden="false" customHeight="false" outlineLevel="0" collapsed="false">
      <c r="A971" s="3" t="str">
        <f aca="false">'1. Raw Data'!A970</f>
        <v>EMP-0969</v>
      </c>
      <c r="B971" s="3" t="n">
        <f aca="false">'1. Raw Data'!B970</f>
        <v>43</v>
      </c>
      <c r="C971" s="3" t="str">
        <f aca="false">'1. Raw Data'!C970</f>
        <v>Finance</v>
      </c>
      <c r="D971" s="3" t="str">
        <f aca="false">'1. Raw Data'!D970</f>
        <v>Senior</v>
      </c>
      <c r="E971" s="3" t="str">
        <f aca="false">'1. Raw Data'!E970</f>
        <v>Marketing</v>
      </c>
      <c r="F971" s="3" t="n">
        <f aca="false">'1. Raw Data'!F970</f>
        <v>2.8</v>
      </c>
      <c r="G971" s="3" t="n">
        <f aca="false">IF('1. Raw Data'!G970="",ROUND(IFERROR(AVERAGEIFS('1. Raw Data'!G2:G1201,'1. Raw Data'!C2:C1201,'1. Raw Data'!C970,'1. Raw Data'!D2:D1201,'1. Raw Data'!D970),0),2),'1. Raw Data'!G970)</f>
        <v>8633.16</v>
      </c>
      <c r="H971" s="3" t="str">
        <f aca="false">PROPER('1. Raw Data'!H970)</f>
        <v>No</v>
      </c>
      <c r="I971" s="3" t="n">
        <f aca="false">'1. Raw Data'!I970</f>
        <v>3</v>
      </c>
      <c r="J971" s="3" t="n">
        <f aca="false">'1. Raw Data'!J970</f>
        <v>3</v>
      </c>
      <c r="K971" s="3" t="n">
        <f aca="false">'1. Raw Data'!K970</f>
        <v>1</v>
      </c>
      <c r="L971" s="3" t="n">
        <f aca="false">'1. Raw Data'!L970</f>
        <v>1</v>
      </c>
      <c r="M971" s="3" t="n">
        <f aca="false">'1. Raw Data'!M970</f>
        <v>5</v>
      </c>
      <c r="N971" s="3" t="str">
        <f aca="false">'1. Raw Data'!N970</f>
        <v>No</v>
      </c>
    </row>
    <row r="972" customFormat="false" ht="15" hidden="false" customHeight="false" outlineLevel="0" collapsed="false">
      <c r="A972" s="3" t="str">
        <f aca="false">'1. Raw Data'!A971</f>
        <v>EMP-0970</v>
      </c>
      <c r="B972" s="3" t="n">
        <f aca="false">'1. Raw Data'!B971</f>
        <v>28</v>
      </c>
      <c r="C972" s="3" t="str">
        <f aca="false">'1. Raw Data'!C971</f>
        <v>Sales</v>
      </c>
      <c r="D972" s="3" t="str">
        <f aca="false">'1. Raw Data'!D971</f>
        <v>Mid</v>
      </c>
      <c r="E972" s="3" t="str">
        <f aca="false">'1. Raw Data'!E971</f>
        <v>Other</v>
      </c>
      <c r="F972" s="3" t="n">
        <f aca="false">'1. Raw Data'!F971</f>
        <v>5.1</v>
      </c>
      <c r="G972" s="3" t="n">
        <f aca="false">IF('1. Raw Data'!G971="",ROUND(IFERROR(AVERAGEIFS('1. Raw Data'!G2:G1201,'1. Raw Data'!C2:C1201,'1. Raw Data'!C971,'1. Raw Data'!D2:D1201,'1. Raw Data'!D971),0),2),'1. Raw Data'!G971)</f>
        <v>4319.59</v>
      </c>
      <c r="H972" s="3" t="str">
        <f aca="false">PROPER('1. Raw Data'!H971)</f>
        <v>No</v>
      </c>
      <c r="I972" s="3" t="n">
        <f aca="false">'1. Raw Data'!I971</f>
        <v>2</v>
      </c>
      <c r="J972" s="3" t="n">
        <f aca="false">'1. Raw Data'!J971</f>
        <v>3</v>
      </c>
      <c r="K972" s="3" t="n">
        <f aca="false">'1. Raw Data'!K971</f>
        <v>6</v>
      </c>
      <c r="L972" s="3" t="n">
        <f aca="false">'1. Raw Data'!L971</f>
        <v>2</v>
      </c>
      <c r="M972" s="3" t="n">
        <f aca="false">'1. Raw Data'!M971</f>
        <v>3</v>
      </c>
      <c r="N972" s="3" t="str">
        <f aca="false">'1. Raw Data'!N971</f>
        <v>No</v>
      </c>
    </row>
    <row r="973" customFormat="false" ht="15" hidden="false" customHeight="false" outlineLevel="0" collapsed="false">
      <c r="A973" s="3" t="str">
        <f aca="false">'1. Raw Data'!A972</f>
        <v>EMP-0971</v>
      </c>
      <c r="B973" s="3" t="n">
        <f aca="false">'1. Raw Data'!B972</f>
        <v>43</v>
      </c>
      <c r="C973" s="3" t="str">
        <f aca="false">'1. Raw Data'!C972</f>
        <v>Marketing</v>
      </c>
      <c r="D973" s="3" t="str">
        <f aca="false">'1. Raw Data'!D972</f>
        <v>Mid</v>
      </c>
      <c r="E973" s="3" t="str">
        <f aca="false">'1. Raw Data'!E972</f>
        <v>Technical</v>
      </c>
      <c r="F973" s="3" t="n">
        <f aca="false">'1. Raw Data'!F972</f>
        <v>1.4</v>
      </c>
      <c r="G973" s="3" t="n">
        <f aca="false">IF('1. Raw Data'!G972="",ROUND(IFERROR(AVERAGEIFS('1. Raw Data'!G2:G1201,'1. Raw Data'!C2:C1201,'1. Raw Data'!C972,'1. Raw Data'!D2:D1201,'1. Raw Data'!D972),0),2),'1. Raw Data'!G972)</f>
        <v>4910.91</v>
      </c>
      <c r="H973" s="3" t="str">
        <f aca="false">PROPER('1. Raw Data'!H972)</f>
        <v>No</v>
      </c>
      <c r="I973" s="3" t="n">
        <f aca="false">'1. Raw Data'!I972</f>
        <v>3</v>
      </c>
      <c r="J973" s="3" t="n">
        <f aca="false">'1. Raw Data'!J972</f>
        <v>3</v>
      </c>
      <c r="K973" s="3" t="n">
        <f aca="false">'1. Raw Data'!K972</f>
        <v>8</v>
      </c>
      <c r="L973" s="3" t="n">
        <f aca="false">'1. Raw Data'!L972</f>
        <v>1</v>
      </c>
      <c r="M973" s="3" t="n">
        <f aca="false">'1. Raw Data'!M972</f>
        <v>1</v>
      </c>
      <c r="N973" s="3" t="str">
        <f aca="false">'1. Raw Data'!N972</f>
        <v>No</v>
      </c>
    </row>
    <row r="974" customFormat="false" ht="15" hidden="false" customHeight="false" outlineLevel="0" collapsed="false">
      <c r="A974" s="3" t="str">
        <f aca="false">'1. Raw Data'!A973</f>
        <v>EMP-0972</v>
      </c>
      <c r="B974" s="3" t="n">
        <f aca="false">'1. Raw Data'!B973</f>
        <v>43</v>
      </c>
      <c r="C974" s="3" t="str">
        <f aca="false">'1. Raw Data'!C973</f>
        <v>Sales</v>
      </c>
      <c r="D974" s="3" t="str">
        <f aca="false">'1. Raw Data'!D973</f>
        <v>Junior</v>
      </c>
      <c r="E974" s="3" t="str">
        <f aca="false">'1. Raw Data'!E973</f>
        <v>Other</v>
      </c>
      <c r="F974" s="3" t="n">
        <f aca="false">'1. Raw Data'!F973</f>
        <v>0.9</v>
      </c>
      <c r="G974" s="3" t="n">
        <f aca="false">IF('1. Raw Data'!G973="",ROUND(IFERROR(AVERAGEIFS('1. Raw Data'!G2:G1201,'1. Raw Data'!C2:C1201,'1. Raw Data'!C973,'1. Raw Data'!D2:D1201,'1. Raw Data'!D973),0),2),'1. Raw Data'!G973)</f>
        <v>3450.28</v>
      </c>
      <c r="H974" s="3" t="str">
        <f aca="false">PROPER('1. Raw Data'!H973)</f>
        <v>Yes</v>
      </c>
      <c r="I974" s="3" t="n">
        <f aca="false">'1. Raw Data'!I973</f>
        <v>2</v>
      </c>
      <c r="J974" s="3" t="n">
        <f aca="false">'1. Raw Data'!J973</f>
        <v>4</v>
      </c>
      <c r="K974" s="3" t="n">
        <f aca="false">'1. Raw Data'!K973</f>
        <v>10</v>
      </c>
      <c r="L974" s="3" t="n">
        <f aca="false">'1. Raw Data'!L973</f>
        <v>0</v>
      </c>
      <c r="M974" s="3" t="n">
        <f aca="false">'1. Raw Data'!M973</f>
        <v>5</v>
      </c>
      <c r="N974" s="3" t="str">
        <f aca="false">'1. Raw Data'!N973</f>
        <v>No</v>
      </c>
    </row>
    <row r="975" customFormat="false" ht="15" hidden="false" customHeight="false" outlineLevel="0" collapsed="false">
      <c r="A975" s="3" t="str">
        <f aca="false">'1. Raw Data'!A974</f>
        <v>EMP-0973</v>
      </c>
      <c r="B975" s="3" t="n">
        <f aca="false">'1. Raw Data'!B974</f>
        <v>23</v>
      </c>
      <c r="C975" s="3" t="str">
        <f aca="false">'1. Raw Data'!C974</f>
        <v>Sales</v>
      </c>
      <c r="D975" s="3" t="str">
        <f aca="false">'1. Raw Data'!D974</f>
        <v>Mid</v>
      </c>
      <c r="E975" s="3" t="str">
        <f aca="false">'1. Raw Data'!E974</f>
        <v>Marketing</v>
      </c>
      <c r="F975" s="3" t="n">
        <f aca="false">'1. Raw Data'!F974</f>
        <v>2</v>
      </c>
      <c r="G975" s="3" t="n">
        <f aca="false">IF('1. Raw Data'!G974="",ROUND(IFERROR(AVERAGEIFS('1. Raw Data'!G2:G1201,'1. Raw Data'!C2:C1201,'1. Raw Data'!C974,'1. Raw Data'!D2:D1201,'1. Raw Data'!D974),0),2),'1. Raw Data'!G974)</f>
        <v>4627.58</v>
      </c>
      <c r="H975" s="3" t="str">
        <f aca="false">PROPER('1. Raw Data'!H974)</f>
        <v>Yes</v>
      </c>
      <c r="I975" s="3" t="n">
        <f aca="false">'1. Raw Data'!I974</f>
        <v>1</v>
      </c>
      <c r="J975" s="3" t="n">
        <f aca="false">'1. Raw Data'!J974</f>
        <v>2</v>
      </c>
      <c r="K975" s="3" t="n">
        <f aca="false">'1. Raw Data'!K974</f>
        <v>27</v>
      </c>
      <c r="L975" s="3" t="n">
        <f aca="false">'1. Raw Data'!L974</f>
        <v>1</v>
      </c>
      <c r="M975" s="3" t="n">
        <f aca="false">'1. Raw Data'!M974</f>
        <v>3</v>
      </c>
      <c r="N975" s="3" t="str">
        <f aca="false">'1. Raw Data'!N974</f>
        <v>No</v>
      </c>
    </row>
    <row r="976" customFormat="false" ht="15" hidden="false" customHeight="false" outlineLevel="0" collapsed="false">
      <c r="A976" s="3" t="str">
        <f aca="false">'1. Raw Data'!A975</f>
        <v>EMP-0974</v>
      </c>
      <c r="B976" s="3" t="n">
        <f aca="false">'1. Raw Data'!B975</f>
        <v>23</v>
      </c>
      <c r="C976" s="3" t="str">
        <f aca="false">'1. Raw Data'!C975</f>
        <v>Finance</v>
      </c>
      <c r="D976" s="3" t="str">
        <f aca="false">'1. Raw Data'!D975</f>
        <v>Mid</v>
      </c>
      <c r="E976" s="3" t="str">
        <f aca="false">'1. Raw Data'!E975</f>
        <v>Marketing</v>
      </c>
      <c r="F976" s="3" t="n">
        <f aca="false">'1. Raw Data'!F975</f>
        <v>1.3</v>
      </c>
      <c r="G976" s="3" t="n">
        <f aca="false">IF('1. Raw Data'!G975="",ROUND(IFERROR(AVERAGEIFS('1. Raw Data'!G2:G1201,'1. Raw Data'!C2:C1201,'1. Raw Data'!C975,'1. Raw Data'!D2:D1201,'1. Raw Data'!D975),0),2),'1. Raw Data'!G975)</f>
        <v>5063.31</v>
      </c>
      <c r="H976" s="3" t="str">
        <f aca="false">PROPER('1. Raw Data'!H975)</f>
        <v>No</v>
      </c>
      <c r="I976" s="3" t="n">
        <f aca="false">'1. Raw Data'!I975</f>
        <v>4</v>
      </c>
      <c r="J976" s="3" t="n">
        <f aca="false">'1. Raw Data'!J975</f>
        <v>1</v>
      </c>
      <c r="K976" s="3" t="n">
        <f aca="false">'1. Raw Data'!K975</f>
        <v>1</v>
      </c>
      <c r="L976" s="3" t="n">
        <f aca="false">'1. Raw Data'!L975</f>
        <v>0</v>
      </c>
      <c r="M976" s="3" t="n">
        <f aca="false">'1. Raw Data'!M975</f>
        <v>1</v>
      </c>
      <c r="N976" s="3" t="str">
        <f aca="false">'1. Raw Data'!N975</f>
        <v>No</v>
      </c>
    </row>
    <row r="977" customFormat="false" ht="15" hidden="false" customHeight="false" outlineLevel="0" collapsed="false">
      <c r="A977" s="3" t="str">
        <f aca="false">'1. Raw Data'!A976</f>
        <v>EMP-0975</v>
      </c>
      <c r="B977" s="3" t="n">
        <f aca="false">'1. Raw Data'!B976</f>
        <v>37</v>
      </c>
      <c r="C977" s="3" t="str">
        <f aca="false">'1. Raw Data'!C976</f>
        <v>Marketing</v>
      </c>
      <c r="D977" s="3" t="str">
        <f aca="false">'1. Raw Data'!D976</f>
        <v>Mid</v>
      </c>
      <c r="E977" s="3" t="str">
        <f aca="false">'1. Raw Data'!E976</f>
        <v>Technical</v>
      </c>
      <c r="F977" s="3" t="n">
        <f aca="false">'1. Raw Data'!F976</f>
        <v>0.6</v>
      </c>
      <c r="G977" s="3" t="n">
        <f aca="false">IF('1. Raw Data'!G976="",ROUND(IFERROR(AVERAGEIFS('1. Raw Data'!G2:G1201,'1. Raw Data'!C2:C1201,'1. Raw Data'!C976,'1. Raw Data'!D2:D1201,'1. Raw Data'!D976),0),2),'1. Raw Data'!G976)</f>
        <v>4790.87</v>
      </c>
      <c r="H977" s="3" t="str">
        <f aca="false">PROPER('1. Raw Data'!H976)</f>
        <v>No</v>
      </c>
      <c r="I977" s="3" t="n">
        <f aca="false">'1. Raw Data'!I976</f>
        <v>1</v>
      </c>
      <c r="J977" s="3" t="n">
        <f aca="false">'1. Raw Data'!J976</f>
        <v>3</v>
      </c>
      <c r="K977" s="3" t="n">
        <f aca="false">'1. Raw Data'!K976</f>
        <v>2</v>
      </c>
      <c r="L977" s="3" t="n">
        <f aca="false">'1. Raw Data'!L976</f>
        <v>0</v>
      </c>
      <c r="M977" s="3" t="n">
        <f aca="false">'1. Raw Data'!M976</f>
        <v>4</v>
      </c>
      <c r="N977" s="3" t="str">
        <f aca="false">'1. Raw Data'!N976</f>
        <v>No</v>
      </c>
    </row>
    <row r="978" customFormat="false" ht="15" hidden="false" customHeight="false" outlineLevel="0" collapsed="false">
      <c r="A978" s="3" t="str">
        <f aca="false">'1. Raw Data'!A977</f>
        <v>EMP-0976</v>
      </c>
      <c r="B978" s="3" t="n">
        <f aca="false">'1. Raw Data'!B977</f>
        <v>37</v>
      </c>
      <c r="C978" s="3" t="str">
        <f aca="false">'1. Raw Data'!C977</f>
        <v>Customer Support</v>
      </c>
      <c r="D978" s="3" t="str">
        <f aca="false">'1. Raw Data'!D977</f>
        <v>Lead</v>
      </c>
      <c r="E978" s="3" t="str">
        <f aca="false">'1. Raw Data'!E977</f>
        <v>Marketing</v>
      </c>
      <c r="F978" s="3" t="n">
        <f aca="false">'1. Raw Data'!F977</f>
        <v>4.2</v>
      </c>
      <c r="G978" s="3" t="n">
        <f aca="false">IF('1. Raw Data'!G977="",ROUND(IFERROR(AVERAGEIFS('1. Raw Data'!G2:G1201,'1. Raw Data'!C2:C1201,'1. Raw Data'!C977,'1. Raw Data'!D2:D1201,'1. Raw Data'!D977),0),2),'1. Raw Data'!G977)</f>
        <v>11099.44</v>
      </c>
      <c r="H978" s="3" t="str">
        <f aca="false">PROPER('1. Raw Data'!H977)</f>
        <v>No</v>
      </c>
      <c r="I978" s="3" t="n">
        <f aca="false">'1. Raw Data'!I977</f>
        <v>4</v>
      </c>
      <c r="J978" s="3" t="n">
        <f aca="false">'1. Raw Data'!J977</f>
        <v>2</v>
      </c>
      <c r="K978" s="3" t="n">
        <f aca="false">'1. Raw Data'!K977</f>
        <v>25</v>
      </c>
      <c r="L978" s="3" t="n">
        <f aca="false">'1. Raw Data'!L977</f>
        <v>0</v>
      </c>
      <c r="M978" s="3" t="n">
        <f aca="false">'1. Raw Data'!M977</f>
        <v>0</v>
      </c>
      <c r="N978" s="3" t="str">
        <f aca="false">'1. Raw Data'!N977</f>
        <v>No</v>
      </c>
    </row>
    <row r="979" customFormat="false" ht="15" hidden="false" customHeight="false" outlineLevel="0" collapsed="false">
      <c r="A979" s="3" t="str">
        <f aca="false">'1. Raw Data'!A978</f>
        <v>EMP-0977</v>
      </c>
      <c r="B979" s="3" t="n">
        <f aca="false">'1. Raw Data'!B978</f>
        <v>21</v>
      </c>
      <c r="C979" s="3" t="str">
        <f aca="false">'1. Raw Data'!C978</f>
        <v>Marketing</v>
      </c>
      <c r="D979" s="3" t="str">
        <f aca="false">'1. Raw Data'!D978</f>
        <v>Junior</v>
      </c>
      <c r="E979" s="3" t="str">
        <f aca="false">'1. Raw Data'!E978</f>
        <v>Marketing</v>
      </c>
      <c r="F979" s="3" t="n">
        <f aca="false">'1. Raw Data'!F978</f>
        <v>0</v>
      </c>
      <c r="G979" s="3" t="n">
        <f aca="false">IF('1. Raw Data'!G978="",ROUND(IFERROR(AVERAGEIFS('1. Raw Data'!G2:G1201,'1. Raw Data'!C2:C1201,'1. Raw Data'!C978,'1. Raw Data'!D2:D1201,'1. Raw Data'!D978),0),2),'1. Raw Data'!G978)</f>
        <v>3790.53</v>
      </c>
      <c r="H979" s="3" t="str">
        <f aca="false">PROPER('1. Raw Data'!H978)</f>
        <v>No</v>
      </c>
      <c r="I979" s="3" t="n">
        <f aca="false">'1. Raw Data'!I978</f>
        <v>4</v>
      </c>
      <c r="J979" s="3" t="n">
        <f aca="false">'1. Raw Data'!J978</f>
        <v>3</v>
      </c>
      <c r="K979" s="3" t="n">
        <f aca="false">'1. Raw Data'!K978</f>
        <v>3</v>
      </c>
      <c r="L979" s="3" t="n">
        <f aca="false">'1. Raw Data'!L978</f>
        <v>0</v>
      </c>
      <c r="M979" s="3" t="n">
        <f aca="false">'1. Raw Data'!M978</f>
        <v>2</v>
      </c>
      <c r="N979" s="3" t="str">
        <f aca="false">'1. Raw Data'!N978</f>
        <v>No</v>
      </c>
    </row>
    <row r="980" customFormat="false" ht="15" hidden="false" customHeight="false" outlineLevel="0" collapsed="false">
      <c r="A980" s="3" t="str">
        <f aca="false">'1. Raw Data'!A979</f>
        <v>EMP-0978</v>
      </c>
      <c r="B980" s="3" t="n">
        <f aca="false">'1. Raw Data'!B979</f>
        <v>34</v>
      </c>
      <c r="C980" s="3" t="str">
        <f aca="false">'1. Raw Data'!C979</f>
        <v>Engineering</v>
      </c>
      <c r="D980" s="3" t="str">
        <f aca="false">'1. Raw Data'!D979</f>
        <v>Junior</v>
      </c>
      <c r="E980" s="3" t="str">
        <f aca="false">'1. Raw Data'!E979</f>
        <v>Other</v>
      </c>
      <c r="F980" s="3" t="n">
        <f aca="false">'1. Raw Data'!F979</f>
        <v>0.4</v>
      </c>
      <c r="G980" s="3" t="n">
        <f aca="false">IF('1. Raw Data'!G979="",ROUND(IFERROR(AVERAGEIFS('1. Raw Data'!G2:G1201,'1. Raw Data'!C2:C1201,'1. Raw Data'!C979,'1. Raw Data'!D2:D1201,'1. Raw Data'!D979),0),2),'1. Raw Data'!G979)</f>
        <v>3327.49</v>
      </c>
      <c r="H980" s="3" t="str">
        <f aca="false">PROPER('1. Raw Data'!H979)</f>
        <v>No</v>
      </c>
      <c r="I980" s="3" t="n">
        <f aca="false">'1. Raw Data'!I979</f>
        <v>4</v>
      </c>
      <c r="J980" s="3" t="n">
        <f aca="false">'1. Raw Data'!J979</f>
        <v>1</v>
      </c>
      <c r="K980" s="3" t="n">
        <f aca="false">'1. Raw Data'!K979</f>
        <v>8</v>
      </c>
      <c r="L980" s="3" t="n">
        <f aca="false">'1. Raw Data'!L979</f>
        <v>0</v>
      </c>
      <c r="M980" s="3" t="n">
        <f aca="false">'1. Raw Data'!M979</f>
        <v>0</v>
      </c>
      <c r="N980" s="3" t="str">
        <f aca="false">'1. Raw Data'!N979</f>
        <v>No</v>
      </c>
    </row>
    <row r="981" customFormat="false" ht="15" hidden="false" customHeight="false" outlineLevel="0" collapsed="false">
      <c r="A981" s="3" t="str">
        <f aca="false">'1. Raw Data'!A980</f>
        <v>EMP-0979</v>
      </c>
      <c r="B981" s="3" t="n">
        <f aca="false">'1. Raw Data'!B980</f>
        <v>31</v>
      </c>
      <c r="C981" s="3" t="str">
        <f aca="false">'1. Raw Data'!C980</f>
        <v>Marketing</v>
      </c>
      <c r="D981" s="3" t="str">
        <f aca="false">'1. Raw Data'!D980</f>
        <v>Junior</v>
      </c>
      <c r="E981" s="3" t="str">
        <f aca="false">'1. Raw Data'!E980</f>
        <v>Marketing</v>
      </c>
      <c r="F981" s="3" t="n">
        <f aca="false">'1. Raw Data'!F980</f>
        <v>0.2</v>
      </c>
      <c r="G981" s="3" t="n">
        <f aca="false">IF('1. Raw Data'!G980="",ROUND(IFERROR(AVERAGEIFS('1. Raw Data'!G2:G1201,'1. Raw Data'!C2:C1201,'1. Raw Data'!C980,'1. Raw Data'!D2:D1201,'1. Raw Data'!D980),0),2),'1. Raw Data'!G980)</f>
        <v>3143.51</v>
      </c>
      <c r="H981" s="3" t="str">
        <f aca="false">PROPER('1. Raw Data'!H980)</f>
        <v>No</v>
      </c>
      <c r="I981" s="3" t="n">
        <f aca="false">'1. Raw Data'!I980</f>
        <v>4</v>
      </c>
      <c r="J981" s="3" t="n">
        <f aca="false">'1. Raw Data'!J980</f>
        <v>3</v>
      </c>
      <c r="K981" s="3" t="n">
        <f aca="false">'1. Raw Data'!K980</f>
        <v>4</v>
      </c>
      <c r="L981" s="3" t="n">
        <f aca="false">'1. Raw Data'!L980</f>
        <v>0</v>
      </c>
      <c r="M981" s="3" t="n">
        <f aca="false">'1. Raw Data'!M980</f>
        <v>1</v>
      </c>
      <c r="N981" s="3" t="str">
        <f aca="false">'1. Raw Data'!N980</f>
        <v>No</v>
      </c>
    </row>
    <row r="982" customFormat="false" ht="15" hidden="false" customHeight="false" outlineLevel="0" collapsed="false">
      <c r="A982" s="3" t="str">
        <f aca="false">'1. Raw Data'!A981</f>
        <v>EMP-0980</v>
      </c>
      <c r="B982" s="3" t="n">
        <f aca="false">'1. Raw Data'!B981</f>
        <v>42</v>
      </c>
      <c r="C982" s="3" t="str">
        <f aca="false">'1. Raw Data'!C981</f>
        <v>HR</v>
      </c>
      <c r="D982" s="3" t="str">
        <f aca="false">'1. Raw Data'!D981</f>
        <v>Mid</v>
      </c>
      <c r="E982" s="3" t="str">
        <f aca="false">'1. Raw Data'!E981</f>
        <v>Other</v>
      </c>
      <c r="F982" s="3" t="n">
        <f aca="false">'1. Raw Data'!F981</f>
        <v>3.4</v>
      </c>
      <c r="G982" s="3" t="n">
        <f aca="false">IF('1. Raw Data'!G981="",ROUND(IFERROR(AVERAGEIFS('1. Raw Data'!G2:G1201,'1. Raw Data'!C2:C1201,'1. Raw Data'!C981,'1. Raw Data'!D2:D1201,'1. Raw Data'!D981),0),2),'1. Raw Data'!G981)</f>
        <v>5611.66</v>
      </c>
      <c r="H982" s="3" t="str">
        <f aca="false">PROPER('1. Raw Data'!H981)</f>
        <v>Yes</v>
      </c>
      <c r="I982" s="3" t="n">
        <f aca="false">'1. Raw Data'!I981</f>
        <v>4</v>
      </c>
      <c r="J982" s="3" t="n">
        <f aca="false">'1. Raw Data'!J981</f>
        <v>4</v>
      </c>
      <c r="K982" s="3" t="n">
        <f aca="false">'1. Raw Data'!K981</f>
        <v>2</v>
      </c>
      <c r="L982" s="3" t="n">
        <f aca="false">'1. Raw Data'!L981</f>
        <v>1</v>
      </c>
      <c r="M982" s="3" t="n">
        <f aca="false">'1. Raw Data'!M981</f>
        <v>3</v>
      </c>
      <c r="N982" s="3" t="str">
        <f aca="false">'1. Raw Data'!N981</f>
        <v>No</v>
      </c>
    </row>
    <row r="983" customFormat="false" ht="15" hidden="false" customHeight="false" outlineLevel="0" collapsed="false">
      <c r="A983" s="3" t="str">
        <f aca="false">'1. Raw Data'!A982</f>
        <v>EMP-0981</v>
      </c>
      <c r="B983" s="3" t="n">
        <f aca="false">'1. Raw Data'!B982</f>
        <v>30</v>
      </c>
      <c r="C983" s="3" t="str">
        <f aca="false">'1. Raw Data'!C982</f>
        <v>Sales</v>
      </c>
      <c r="D983" s="3" t="str">
        <f aca="false">'1. Raw Data'!D982</f>
        <v>Junior</v>
      </c>
      <c r="E983" s="3" t="str">
        <f aca="false">'1. Raw Data'!E982</f>
        <v>Technical</v>
      </c>
      <c r="F983" s="3" t="n">
        <f aca="false">'1. Raw Data'!F982</f>
        <v>2.9</v>
      </c>
      <c r="G983" s="3" t="n">
        <f aca="false">IF('1. Raw Data'!G982="",ROUND(IFERROR(AVERAGEIFS('1. Raw Data'!G2:G1201,'1. Raw Data'!C2:C1201,'1. Raw Data'!C982,'1. Raw Data'!D2:D1201,'1. Raw Data'!D982),0),2),'1. Raw Data'!G982)</f>
        <v>3829.03</v>
      </c>
      <c r="H983" s="3" t="str">
        <f aca="false">PROPER('1. Raw Data'!H982)</f>
        <v>No</v>
      </c>
      <c r="I983" s="3" t="n">
        <f aca="false">'1. Raw Data'!I982</f>
        <v>4</v>
      </c>
      <c r="J983" s="3" t="n">
        <f aca="false">'1. Raw Data'!J982</f>
        <v>1</v>
      </c>
      <c r="K983" s="3" t="n">
        <f aca="false">'1. Raw Data'!K982</f>
        <v>5</v>
      </c>
      <c r="L983" s="3" t="n">
        <f aca="false">'1. Raw Data'!L982</f>
        <v>0</v>
      </c>
      <c r="M983" s="3" t="n">
        <f aca="false">'1. Raw Data'!M982</f>
        <v>1</v>
      </c>
      <c r="N983" s="3" t="str">
        <f aca="false">'1. Raw Data'!N982</f>
        <v>No</v>
      </c>
    </row>
    <row r="984" customFormat="false" ht="15" hidden="false" customHeight="false" outlineLevel="0" collapsed="false">
      <c r="A984" s="3" t="str">
        <f aca="false">'1. Raw Data'!A983</f>
        <v>EMP-0982</v>
      </c>
      <c r="B984" s="3" t="n">
        <f aca="false">'1. Raw Data'!B983</f>
        <v>39</v>
      </c>
      <c r="C984" s="3" t="str">
        <f aca="false">'1. Raw Data'!C983</f>
        <v>Finance</v>
      </c>
      <c r="D984" s="3" t="str">
        <f aca="false">'1. Raw Data'!D983</f>
        <v>Senior</v>
      </c>
      <c r="E984" s="3" t="str">
        <f aca="false">'1. Raw Data'!E983</f>
        <v>Business</v>
      </c>
      <c r="F984" s="3" t="n">
        <f aca="false">'1. Raw Data'!F983</f>
        <v>1.5</v>
      </c>
      <c r="G984" s="3" t="n">
        <f aca="false">IF('1. Raw Data'!G983="",ROUND(IFERROR(AVERAGEIFS('1. Raw Data'!G2:G1201,'1. Raw Data'!C2:C1201,'1. Raw Data'!C983,'1. Raw Data'!D2:D1201,'1. Raw Data'!D983),0),2),'1. Raw Data'!G983)</f>
        <v>7480.6</v>
      </c>
      <c r="H984" s="3" t="str">
        <f aca="false">PROPER('1. Raw Data'!H983)</f>
        <v>No</v>
      </c>
      <c r="I984" s="3" t="n">
        <f aca="false">'1. Raw Data'!I983</f>
        <v>1</v>
      </c>
      <c r="J984" s="3" t="n">
        <f aca="false">'1. Raw Data'!J983</f>
        <v>4</v>
      </c>
      <c r="K984" s="3" t="n">
        <f aca="false">'1. Raw Data'!K983</f>
        <v>18</v>
      </c>
      <c r="L984" s="3" t="n">
        <f aca="false">'1. Raw Data'!L983</f>
        <v>1</v>
      </c>
      <c r="M984" s="3" t="n">
        <f aca="false">'1. Raw Data'!M983</f>
        <v>2</v>
      </c>
      <c r="N984" s="3" t="str">
        <f aca="false">'1. Raw Data'!N983</f>
        <v>No</v>
      </c>
    </row>
    <row r="985" customFormat="false" ht="15" hidden="false" customHeight="false" outlineLevel="0" collapsed="false">
      <c r="A985" s="3" t="str">
        <f aca="false">'1. Raw Data'!A984</f>
        <v>EMP-0983</v>
      </c>
      <c r="B985" s="3" t="n">
        <f aca="false">'1. Raw Data'!B984</f>
        <v>34</v>
      </c>
      <c r="C985" s="3" t="str">
        <f aca="false">'1. Raw Data'!C984</f>
        <v>Finance</v>
      </c>
      <c r="D985" s="3" t="str">
        <f aca="false">'1. Raw Data'!D984</f>
        <v>Senior</v>
      </c>
      <c r="E985" s="3" t="str">
        <f aca="false">'1. Raw Data'!E984</f>
        <v>Technical</v>
      </c>
      <c r="F985" s="3" t="n">
        <f aca="false">'1. Raw Data'!F984</f>
        <v>3.7</v>
      </c>
      <c r="G985" s="3" t="n">
        <f aca="false">IF('1. Raw Data'!G984="",ROUND(IFERROR(AVERAGEIFS('1. Raw Data'!G2:G1201,'1. Raw Data'!C2:C1201,'1. Raw Data'!C984,'1. Raw Data'!D2:D1201,'1. Raw Data'!D984),0),2),'1. Raw Data'!G984)</f>
        <v>6226.97</v>
      </c>
      <c r="H985" s="3" t="str">
        <f aca="false">PROPER('1. Raw Data'!H984)</f>
        <v>No</v>
      </c>
      <c r="I985" s="3" t="n">
        <f aca="false">'1. Raw Data'!I984</f>
        <v>3</v>
      </c>
      <c r="J985" s="3" t="n">
        <f aca="false">'1. Raw Data'!J984</f>
        <v>3</v>
      </c>
      <c r="K985" s="3" t="n">
        <f aca="false">'1. Raw Data'!K984</f>
        <v>7</v>
      </c>
      <c r="L985" s="3" t="n">
        <f aca="false">'1. Raw Data'!L984</f>
        <v>3</v>
      </c>
      <c r="M985" s="3" t="n">
        <f aca="false">'1. Raw Data'!M984</f>
        <v>2</v>
      </c>
      <c r="N985" s="3" t="str">
        <f aca="false">'1. Raw Data'!N984</f>
        <v>No</v>
      </c>
    </row>
    <row r="986" customFormat="false" ht="15" hidden="false" customHeight="false" outlineLevel="0" collapsed="false">
      <c r="A986" s="3" t="str">
        <f aca="false">'1. Raw Data'!A985</f>
        <v>EMP-0984</v>
      </c>
      <c r="B986" s="3" t="n">
        <f aca="false">'1. Raw Data'!B985</f>
        <v>32</v>
      </c>
      <c r="C986" s="3" t="str">
        <f aca="false">'1. Raw Data'!C985</f>
        <v>Engineering</v>
      </c>
      <c r="D986" s="3" t="str">
        <f aca="false">'1. Raw Data'!D985</f>
        <v>Junior</v>
      </c>
      <c r="E986" s="3" t="str">
        <f aca="false">'1. Raw Data'!E985</f>
        <v>Marketing</v>
      </c>
      <c r="F986" s="3" t="n">
        <f aca="false">'1. Raw Data'!F985</f>
        <v>3.7</v>
      </c>
      <c r="G986" s="3" t="n">
        <f aca="false">IF('1. Raw Data'!G985="",ROUND(IFERROR(AVERAGEIFS('1. Raw Data'!G2:G1201,'1. Raw Data'!C2:C1201,'1. Raw Data'!C985,'1. Raw Data'!D2:D1201,'1. Raw Data'!D985),0),2),'1. Raw Data'!G985)</f>
        <v>3044.05</v>
      </c>
      <c r="H986" s="3" t="str">
        <f aca="false">PROPER('1. Raw Data'!H985)</f>
        <v>Yes</v>
      </c>
      <c r="I986" s="3" t="n">
        <f aca="false">'1. Raw Data'!I985</f>
        <v>4</v>
      </c>
      <c r="J986" s="3" t="n">
        <f aca="false">'1. Raw Data'!J985</f>
        <v>3</v>
      </c>
      <c r="K986" s="3" t="n">
        <f aca="false">'1. Raw Data'!K985</f>
        <v>4</v>
      </c>
      <c r="L986" s="3" t="n">
        <f aca="false">'1. Raw Data'!L985</f>
        <v>0</v>
      </c>
      <c r="M986" s="3" t="n">
        <f aca="false">'1. Raw Data'!M985</f>
        <v>1</v>
      </c>
      <c r="N986" s="3" t="str">
        <f aca="false">'1. Raw Data'!N985</f>
        <v>No</v>
      </c>
    </row>
    <row r="987" customFormat="false" ht="15" hidden="false" customHeight="false" outlineLevel="0" collapsed="false">
      <c r="A987" s="3" t="str">
        <f aca="false">'1. Raw Data'!A986</f>
        <v>EMP-0985</v>
      </c>
      <c r="B987" s="3" t="n">
        <f aca="false">'1. Raw Data'!B986</f>
        <v>43</v>
      </c>
      <c r="C987" s="3" t="str">
        <f aca="false">'1. Raw Data'!C986</f>
        <v>HR</v>
      </c>
      <c r="D987" s="3" t="str">
        <f aca="false">'1. Raw Data'!D986</f>
        <v>Senior</v>
      </c>
      <c r="E987" s="3" t="str">
        <f aca="false">'1. Raw Data'!E986</f>
        <v>Technical</v>
      </c>
      <c r="F987" s="3" t="n">
        <f aca="false">'1. Raw Data'!F986</f>
        <v>2.7</v>
      </c>
      <c r="G987" s="3" t="n">
        <f aca="false">IF('1. Raw Data'!G986="",ROUND(IFERROR(AVERAGEIFS('1. Raw Data'!G2:G1201,'1. Raw Data'!C2:C1201,'1. Raw Data'!C986,'1. Raw Data'!D2:D1201,'1. Raw Data'!D986),0),2),'1. Raw Data'!G986)</f>
        <v>6276.38</v>
      </c>
      <c r="H987" s="3" t="str">
        <f aca="false">PROPER('1. Raw Data'!H986)</f>
        <v>No</v>
      </c>
      <c r="I987" s="3" t="n">
        <f aca="false">'1. Raw Data'!I986</f>
        <v>4</v>
      </c>
      <c r="J987" s="3" t="n">
        <f aca="false">'1. Raw Data'!J986</f>
        <v>3</v>
      </c>
      <c r="K987" s="3" t="n">
        <f aca="false">'1. Raw Data'!K986</f>
        <v>18</v>
      </c>
      <c r="L987" s="3" t="n">
        <f aca="false">'1. Raw Data'!L986</f>
        <v>0</v>
      </c>
      <c r="M987" s="3" t="n">
        <f aca="false">'1. Raw Data'!M986</f>
        <v>6</v>
      </c>
      <c r="N987" s="3" t="str">
        <f aca="false">'1. Raw Data'!N986</f>
        <v>No</v>
      </c>
    </row>
    <row r="988" customFormat="false" ht="15" hidden="false" customHeight="false" outlineLevel="0" collapsed="false">
      <c r="A988" s="3" t="str">
        <f aca="false">'1. Raw Data'!A987</f>
        <v>EMP-0986</v>
      </c>
      <c r="B988" s="3" t="n">
        <f aca="false">'1. Raw Data'!B987</f>
        <v>42</v>
      </c>
      <c r="C988" s="3" t="str">
        <f aca="false">'1. Raw Data'!C987</f>
        <v>Marketing</v>
      </c>
      <c r="D988" s="3" t="str">
        <f aca="false">'1. Raw Data'!D987</f>
        <v>Junior</v>
      </c>
      <c r="E988" s="3" t="str">
        <f aca="false">'1. Raw Data'!E987</f>
        <v>Marketing</v>
      </c>
      <c r="F988" s="3" t="n">
        <f aca="false">'1. Raw Data'!F987</f>
        <v>2.8</v>
      </c>
      <c r="G988" s="3" t="n">
        <f aca="false">IF('1. Raw Data'!G987="",ROUND(IFERROR(AVERAGEIFS('1. Raw Data'!G2:G1201,'1. Raw Data'!C2:C1201,'1. Raw Data'!C987,'1. Raw Data'!D2:D1201,'1. Raw Data'!D987),0),2),'1. Raw Data'!G987)</f>
        <v>2855.1</v>
      </c>
      <c r="H988" s="3" t="str">
        <f aca="false">PROPER('1. Raw Data'!H987)</f>
        <v>No</v>
      </c>
      <c r="I988" s="3" t="n">
        <f aca="false">'1. Raw Data'!I987</f>
        <v>2</v>
      </c>
      <c r="J988" s="3" t="n">
        <f aca="false">'1. Raw Data'!J987</f>
        <v>4</v>
      </c>
      <c r="K988" s="3" t="n">
        <f aca="false">'1. Raw Data'!K987</f>
        <v>11</v>
      </c>
      <c r="L988" s="3" t="n">
        <f aca="false">'1. Raw Data'!L987</f>
        <v>2</v>
      </c>
      <c r="M988" s="3" t="n">
        <f aca="false">'1. Raw Data'!M987</f>
        <v>1</v>
      </c>
      <c r="N988" s="3" t="str">
        <f aca="false">'1. Raw Data'!N987</f>
        <v>No</v>
      </c>
    </row>
    <row r="989" customFormat="false" ht="15" hidden="false" customHeight="false" outlineLevel="0" collapsed="false">
      <c r="A989" s="3" t="str">
        <f aca="false">'1. Raw Data'!A988</f>
        <v>EMP-0987</v>
      </c>
      <c r="B989" s="3" t="n">
        <f aca="false">'1. Raw Data'!B988</f>
        <v>44</v>
      </c>
      <c r="C989" s="3" t="str">
        <f aca="false">'1. Raw Data'!C988</f>
        <v>Sales</v>
      </c>
      <c r="D989" s="3" t="str">
        <f aca="false">'1. Raw Data'!D988</f>
        <v>Senior</v>
      </c>
      <c r="E989" s="3" t="str">
        <f aca="false">'1. Raw Data'!E988</f>
        <v>Business</v>
      </c>
      <c r="F989" s="3" t="n">
        <f aca="false">'1. Raw Data'!F988</f>
        <v>2.3</v>
      </c>
      <c r="G989" s="3" t="n">
        <f aca="false">IF('1. Raw Data'!G988="",ROUND(IFERROR(AVERAGEIFS('1. Raw Data'!G2:G1201,'1. Raw Data'!C2:C1201,'1. Raw Data'!C988,'1. Raw Data'!D2:D1201,'1. Raw Data'!D988),0),2),'1. Raw Data'!G988)</f>
        <v>6972.18</v>
      </c>
      <c r="H989" s="3" t="str">
        <f aca="false">PROPER('1. Raw Data'!H988)</f>
        <v>No</v>
      </c>
      <c r="I989" s="3" t="n">
        <f aca="false">'1. Raw Data'!I988</f>
        <v>2</v>
      </c>
      <c r="J989" s="3" t="n">
        <f aca="false">'1. Raw Data'!J988</f>
        <v>3</v>
      </c>
      <c r="K989" s="3" t="n">
        <f aca="false">'1. Raw Data'!K988</f>
        <v>7</v>
      </c>
      <c r="L989" s="3" t="n">
        <f aca="false">'1. Raw Data'!L988</f>
        <v>2</v>
      </c>
      <c r="M989" s="3" t="n">
        <f aca="false">'1. Raw Data'!M988</f>
        <v>1</v>
      </c>
      <c r="N989" s="3" t="str">
        <f aca="false">'1. Raw Data'!N988</f>
        <v>No</v>
      </c>
    </row>
    <row r="990" customFormat="false" ht="15" hidden="false" customHeight="false" outlineLevel="0" collapsed="false">
      <c r="A990" s="3" t="str">
        <f aca="false">'1. Raw Data'!A989</f>
        <v>EMP-0988</v>
      </c>
      <c r="B990" s="3" t="n">
        <f aca="false">'1. Raw Data'!B989</f>
        <v>37</v>
      </c>
      <c r="C990" s="3" t="str">
        <f aca="false">'1. Raw Data'!C989</f>
        <v>Finance</v>
      </c>
      <c r="D990" s="3" t="str">
        <f aca="false">'1. Raw Data'!D989</f>
        <v>Mid</v>
      </c>
      <c r="E990" s="3" t="str">
        <f aca="false">'1. Raw Data'!E989</f>
        <v>Other</v>
      </c>
      <c r="F990" s="3" t="n">
        <f aca="false">'1. Raw Data'!F989</f>
        <v>4.9</v>
      </c>
      <c r="G990" s="3" t="n">
        <f aca="false">IF('1. Raw Data'!G989="",ROUND(IFERROR(AVERAGEIFS('1. Raw Data'!G2:G1201,'1. Raw Data'!C2:C1201,'1. Raw Data'!C989,'1. Raw Data'!D2:D1201,'1. Raw Data'!D989),0),2),'1. Raw Data'!G989)</f>
        <v>5748</v>
      </c>
      <c r="H990" s="3" t="str">
        <f aca="false">PROPER('1. Raw Data'!H989)</f>
        <v>No</v>
      </c>
      <c r="I990" s="3" t="n">
        <f aca="false">'1. Raw Data'!I989</f>
        <v>2</v>
      </c>
      <c r="J990" s="3" t="n">
        <f aca="false">'1. Raw Data'!J989</f>
        <v>3</v>
      </c>
      <c r="K990" s="3" t="n">
        <f aca="false">'1. Raw Data'!K989</f>
        <v>12</v>
      </c>
      <c r="L990" s="3" t="n">
        <f aca="false">'1. Raw Data'!L989</f>
        <v>1</v>
      </c>
      <c r="M990" s="3" t="n">
        <f aca="false">'1. Raw Data'!M989</f>
        <v>3</v>
      </c>
      <c r="N990" s="3" t="str">
        <f aca="false">'1. Raw Data'!N989</f>
        <v>No</v>
      </c>
    </row>
    <row r="991" customFormat="false" ht="15" hidden="false" customHeight="false" outlineLevel="0" collapsed="false">
      <c r="A991" s="3" t="str">
        <f aca="false">'1. Raw Data'!A990</f>
        <v>EMP-0989</v>
      </c>
      <c r="B991" s="3" t="n">
        <f aca="false">'1. Raw Data'!B990</f>
        <v>39</v>
      </c>
      <c r="C991" s="3" t="str">
        <f aca="false">'1. Raw Data'!C990</f>
        <v>Sales</v>
      </c>
      <c r="D991" s="3" t="str">
        <f aca="false">'1. Raw Data'!D990</f>
        <v>Junior</v>
      </c>
      <c r="E991" s="3" t="str">
        <f aca="false">'1. Raw Data'!E990</f>
        <v>Other</v>
      </c>
      <c r="F991" s="3" t="n">
        <f aca="false">'1. Raw Data'!F990</f>
        <v>0</v>
      </c>
      <c r="G991" s="3" t="n">
        <f aca="false">IF('1. Raw Data'!G990="",ROUND(IFERROR(AVERAGEIFS('1. Raw Data'!G2:G1201,'1. Raw Data'!C2:C1201,'1. Raw Data'!C990,'1. Raw Data'!D2:D1201,'1. Raw Data'!D990),0),2),'1. Raw Data'!G990)</f>
        <v>3035.77</v>
      </c>
      <c r="H991" s="3" t="str">
        <f aca="false">PROPER('1. Raw Data'!H990)</f>
        <v>Yes</v>
      </c>
      <c r="I991" s="3" t="n">
        <f aca="false">'1. Raw Data'!I990</f>
        <v>4</v>
      </c>
      <c r="J991" s="3" t="n">
        <f aca="false">'1. Raw Data'!J990</f>
        <v>3</v>
      </c>
      <c r="K991" s="3" t="n">
        <f aca="false">'1. Raw Data'!K990</f>
        <v>2</v>
      </c>
      <c r="L991" s="3" t="n">
        <f aca="false">'1. Raw Data'!L990</f>
        <v>0</v>
      </c>
      <c r="M991" s="3" t="n">
        <f aca="false">'1. Raw Data'!M990</f>
        <v>0</v>
      </c>
      <c r="N991" s="3" t="str">
        <f aca="false">'1. Raw Data'!N990</f>
        <v>No</v>
      </c>
    </row>
    <row r="992" customFormat="false" ht="15" hidden="false" customHeight="false" outlineLevel="0" collapsed="false">
      <c r="A992" s="3" t="str">
        <f aca="false">'1. Raw Data'!A991</f>
        <v>EMP-0990</v>
      </c>
      <c r="B992" s="3" t="n">
        <f aca="false">'1. Raw Data'!B991</f>
        <v>48</v>
      </c>
      <c r="C992" s="3" t="str">
        <f aca="false">'1. Raw Data'!C991</f>
        <v>Marketing</v>
      </c>
      <c r="D992" s="3" t="str">
        <f aca="false">'1. Raw Data'!D991</f>
        <v>Lead</v>
      </c>
      <c r="E992" s="3" t="str">
        <f aca="false">'1. Raw Data'!E991</f>
        <v>Business</v>
      </c>
      <c r="F992" s="3" t="n">
        <f aca="false">'1. Raw Data'!F991</f>
        <v>0.4</v>
      </c>
      <c r="G992" s="3" t="n">
        <f aca="false">IF('1. Raw Data'!G991="",ROUND(IFERROR(AVERAGEIFS('1. Raw Data'!G2:G1201,'1. Raw Data'!C2:C1201,'1. Raw Data'!C991,'1. Raw Data'!D2:D1201,'1. Raw Data'!D991),0),2),'1. Raw Data'!G991)</f>
        <v>9382.07</v>
      </c>
      <c r="H992" s="3" t="str">
        <f aca="false">PROPER('1. Raw Data'!H991)</f>
        <v>No</v>
      </c>
      <c r="I992" s="3" t="n">
        <f aca="false">'1. Raw Data'!I991</f>
        <v>2</v>
      </c>
      <c r="J992" s="3" t="n">
        <f aca="false">'1. Raw Data'!J991</f>
        <v>1</v>
      </c>
      <c r="K992" s="3" t="n">
        <f aca="false">'1. Raw Data'!K991</f>
        <v>9</v>
      </c>
      <c r="L992" s="3" t="n">
        <f aca="false">'1. Raw Data'!L991</f>
        <v>0</v>
      </c>
      <c r="M992" s="3" t="n">
        <f aca="false">'1. Raw Data'!M991</f>
        <v>3</v>
      </c>
      <c r="N992" s="3" t="str">
        <f aca="false">'1. Raw Data'!N991</f>
        <v>Yes</v>
      </c>
    </row>
    <row r="993" customFormat="false" ht="15" hidden="false" customHeight="false" outlineLevel="0" collapsed="false">
      <c r="A993" s="3" t="str">
        <f aca="false">'1. Raw Data'!A992</f>
        <v>EMP-0991</v>
      </c>
      <c r="B993" s="3" t="n">
        <f aca="false">'1. Raw Data'!B992</f>
        <v>42</v>
      </c>
      <c r="C993" s="3" t="str">
        <f aca="false">'1. Raw Data'!C992</f>
        <v>Customer Support</v>
      </c>
      <c r="D993" s="3" t="str">
        <f aca="false">'1. Raw Data'!D992</f>
        <v>Junior</v>
      </c>
      <c r="E993" s="3" t="str">
        <f aca="false">'1. Raw Data'!E992</f>
        <v>Business</v>
      </c>
      <c r="F993" s="3" t="n">
        <f aca="false">'1. Raw Data'!F992</f>
        <v>2</v>
      </c>
      <c r="G993" s="3" t="n">
        <f aca="false">IF('1. Raw Data'!G992="",ROUND(IFERROR(AVERAGEIFS('1. Raw Data'!G2:G1201,'1. Raw Data'!C2:C1201,'1. Raw Data'!C992,'1. Raw Data'!D2:D1201,'1. Raw Data'!D992),0),2),'1. Raw Data'!G992)</f>
        <v>3205.1</v>
      </c>
      <c r="H993" s="3" t="str">
        <f aca="false">PROPER('1. Raw Data'!H992)</f>
        <v>Yes</v>
      </c>
      <c r="I993" s="3" t="n">
        <f aca="false">'1. Raw Data'!I992</f>
        <v>3</v>
      </c>
      <c r="J993" s="3" t="n">
        <f aca="false">'1. Raw Data'!J992</f>
        <v>3</v>
      </c>
      <c r="K993" s="3" t="n">
        <f aca="false">'1. Raw Data'!K992</f>
        <v>12</v>
      </c>
      <c r="L993" s="3" t="n">
        <f aca="false">'1. Raw Data'!L992</f>
        <v>1</v>
      </c>
      <c r="M993" s="3" t="n">
        <f aca="false">'1. Raw Data'!M992</f>
        <v>3</v>
      </c>
      <c r="N993" s="3" t="str">
        <f aca="false">'1. Raw Data'!N992</f>
        <v>No</v>
      </c>
    </row>
    <row r="994" customFormat="false" ht="15" hidden="false" customHeight="false" outlineLevel="0" collapsed="false">
      <c r="A994" s="3" t="str">
        <f aca="false">'1. Raw Data'!A993</f>
        <v>EMP-0992</v>
      </c>
      <c r="B994" s="3" t="n">
        <f aca="false">'1. Raw Data'!B993</f>
        <v>34</v>
      </c>
      <c r="C994" s="3" t="str">
        <f aca="false">'1. Raw Data'!C993</f>
        <v>Sales</v>
      </c>
      <c r="D994" s="3" t="str">
        <f aca="false">'1. Raw Data'!D993</f>
        <v>Mid</v>
      </c>
      <c r="E994" s="3" t="str">
        <f aca="false">'1. Raw Data'!E993</f>
        <v>Technical</v>
      </c>
      <c r="F994" s="3" t="n">
        <f aca="false">'1. Raw Data'!F993</f>
        <v>3.3</v>
      </c>
      <c r="G994" s="3" t="n">
        <f aca="false">IF('1. Raw Data'!G993="",ROUND(IFERROR(AVERAGEIFS('1. Raw Data'!G2:G1201,'1. Raw Data'!C2:C1201,'1. Raw Data'!C993,'1. Raw Data'!D2:D1201,'1. Raw Data'!D993),0),2),'1. Raw Data'!G993)</f>
        <v>5574.16</v>
      </c>
      <c r="H994" s="3" t="str">
        <f aca="false">PROPER('1. Raw Data'!H993)</f>
        <v>No</v>
      </c>
      <c r="I994" s="3" t="n">
        <f aca="false">'1. Raw Data'!I993</f>
        <v>1</v>
      </c>
      <c r="J994" s="3" t="n">
        <f aca="false">'1. Raw Data'!J993</f>
        <v>4</v>
      </c>
      <c r="K994" s="3" t="n">
        <f aca="false">'1. Raw Data'!K993</f>
        <v>6</v>
      </c>
      <c r="L994" s="3" t="n">
        <f aca="false">'1. Raw Data'!L993</f>
        <v>0</v>
      </c>
      <c r="M994" s="3" t="n">
        <f aca="false">'1. Raw Data'!M993</f>
        <v>3</v>
      </c>
      <c r="N994" s="3" t="str">
        <f aca="false">'1. Raw Data'!N993</f>
        <v>No</v>
      </c>
    </row>
    <row r="995" customFormat="false" ht="15" hidden="false" customHeight="false" outlineLevel="0" collapsed="false">
      <c r="A995" s="3" t="str">
        <f aca="false">'1. Raw Data'!A994</f>
        <v>EMP-0993</v>
      </c>
      <c r="B995" s="3" t="n">
        <f aca="false">'1. Raw Data'!B994</f>
        <v>21</v>
      </c>
      <c r="C995" s="3" t="str">
        <f aca="false">'1. Raw Data'!C994</f>
        <v>Customer Support</v>
      </c>
      <c r="D995" s="3" t="str">
        <f aca="false">'1. Raw Data'!D994</f>
        <v>Mid</v>
      </c>
      <c r="E995" s="3" t="str">
        <f aca="false">'1. Raw Data'!E994</f>
        <v>Business</v>
      </c>
      <c r="F995" s="3" t="n">
        <f aca="false">'1. Raw Data'!F994</f>
        <v>0</v>
      </c>
      <c r="G995" s="3" t="n">
        <f aca="false">IF('1. Raw Data'!G994="",ROUND(IFERROR(AVERAGEIFS('1. Raw Data'!G2:G1201,'1. Raw Data'!C2:C1201,'1. Raw Data'!C994,'1. Raw Data'!D2:D1201,'1. Raw Data'!D994),0),2),'1. Raw Data'!G994)</f>
        <v>5397.4</v>
      </c>
      <c r="H995" s="3" t="str">
        <f aca="false">PROPER('1. Raw Data'!H994)</f>
        <v>No</v>
      </c>
      <c r="I995" s="3" t="n">
        <f aca="false">'1. Raw Data'!I994</f>
        <v>3</v>
      </c>
      <c r="J995" s="3" t="n">
        <f aca="false">'1. Raw Data'!J994</f>
        <v>3</v>
      </c>
      <c r="K995" s="3" t="n">
        <f aca="false">'1. Raw Data'!K994</f>
        <v>7</v>
      </c>
      <c r="L995" s="3" t="n">
        <f aca="false">'1. Raw Data'!L994</f>
        <v>0</v>
      </c>
      <c r="M995" s="3" t="n">
        <f aca="false">'1. Raw Data'!M994</f>
        <v>1</v>
      </c>
      <c r="N995" s="3" t="str">
        <f aca="false">'1. Raw Data'!N994</f>
        <v>No</v>
      </c>
    </row>
    <row r="996" customFormat="false" ht="15" hidden="false" customHeight="false" outlineLevel="0" collapsed="false">
      <c r="A996" s="3" t="str">
        <f aca="false">'1. Raw Data'!A995</f>
        <v>EMP-0994</v>
      </c>
      <c r="B996" s="3" t="n">
        <f aca="false">'1. Raw Data'!B995</f>
        <v>38</v>
      </c>
      <c r="C996" s="3" t="str">
        <f aca="false">'1. Raw Data'!C995</f>
        <v>Sales</v>
      </c>
      <c r="D996" s="3" t="str">
        <f aca="false">'1. Raw Data'!D995</f>
        <v>Senior</v>
      </c>
      <c r="E996" s="3" t="str">
        <f aca="false">'1. Raw Data'!E995</f>
        <v>Business</v>
      </c>
      <c r="F996" s="3" t="n">
        <f aca="false">'1. Raw Data'!F995</f>
        <v>0.5</v>
      </c>
      <c r="G996" s="3" t="n">
        <f aca="false">IF('1. Raw Data'!G995="",ROUND(IFERROR(AVERAGEIFS('1. Raw Data'!G2:G1201,'1. Raw Data'!C2:C1201,'1. Raw Data'!C995,'1. Raw Data'!D2:D1201,'1. Raw Data'!D995),0),2),'1. Raw Data'!G995)</f>
        <v>7724.07</v>
      </c>
      <c r="H996" s="3" t="str">
        <f aca="false">PROPER('1. Raw Data'!H995)</f>
        <v>No</v>
      </c>
      <c r="I996" s="3" t="n">
        <f aca="false">'1. Raw Data'!I995</f>
        <v>2</v>
      </c>
      <c r="J996" s="3" t="n">
        <f aca="false">'1. Raw Data'!J995</f>
        <v>2</v>
      </c>
      <c r="K996" s="3" t="n">
        <f aca="false">'1. Raw Data'!K995</f>
        <v>8</v>
      </c>
      <c r="L996" s="3" t="n">
        <f aca="false">'1. Raw Data'!L995</f>
        <v>0</v>
      </c>
      <c r="M996" s="3" t="n">
        <f aca="false">'1. Raw Data'!M995</f>
        <v>1</v>
      </c>
      <c r="N996" s="3" t="str">
        <f aca="false">'1. Raw Data'!N995</f>
        <v>No</v>
      </c>
    </row>
    <row r="997" customFormat="false" ht="15" hidden="false" customHeight="false" outlineLevel="0" collapsed="false">
      <c r="A997" s="3" t="str">
        <f aca="false">'1. Raw Data'!A996</f>
        <v>EMP-0995</v>
      </c>
      <c r="B997" s="3" t="n">
        <f aca="false">'1. Raw Data'!B996</f>
        <v>22</v>
      </c>
      <c r="C997" s="3" t="str">
        <f aca="false">'1. Raw Data'!C996</f>
        <v>Marketing</v>
      </c>
      <c r="D997" s="3" t="str">
        <f aca="false">'1. Raw Data'!D996</f>
        <v>Junior</v>
      </c>
      <c r="E997" s="3" t="str">
        <f aca="false">'1. Raw Data'!E996</f>
        <v>Other</v>
      </c>
      <c r="F997" s="3" t="n">
        <f aca="false">'1. Raw Data'!F996</f>
        <v>0.3</v>
      </c>
      <c r="G997" s="3" t="n">
        <f aca="false">IF('1. Raw Data'!G996="",ROUND(IFERROR(AVERAGEIFS('1. Raw Data'!G2:G1201,'1. Raw Data'!C2:C1201,'1. Raw Data'!C996,'1. Raw Data'!D2:D1201,'1. Raw Data'!D996),0),2),'1. Raw Data'!G996)</f>
        <v>3139.89</v>
      </c>
      <c r="H997" s="3" t="str">
        <f aca="false">PROPER('1. Raw Data'!H996)</f>
        <v>No</v>
      </c>
      <c r="I997" s="3" t="n">
        <f aca="false">'1. Raw Data'!I996</f>
        <v>1</v>
      </c>
      <c r="J997" s="3" t="n">
        <f aca="false">'1. Raw Data'!J996</f>
        <v>4</v>
      </c>
      <c r="K997" s="3" t="n">
        <f aca="false">'1. Raw Data'!K996</f>
        <v>3</v>
      </c>
      <c r="L997" s="3" t="n">
        <f aca="false">'1. Raw Data'!L996</f>
        <v>0</v>
      </c>
      <c r="M997" s="3" t="n">
        <f aca="false">'1. Raw Data'!M996</f>
        <v>2</v>
      </c>
      <c r="N997" s="3" t="str">
        <f aca="false">'1. Raw Data'!N996</f>
        <v>No</v>
      </c>
    </row>
    <row r="998" customFormat="false" ht="15" hidden="false" customHeight="false" outlineLevel="0" collapsed="false">
      <c r="A998" s="3" t="str">
        <f aca="false">'1. Raw Data'!A997</f>
        <v>EMP-0996</v>
      </c>
      <c r="B998" s="3" t="n">
        <f aca="false">'1. Raw Data'!B997</f>
        <v>27</v>
      </c>
      <c r="C998" s="3" t="str">
        <f aca="false">'1. Raw Data'!C997</f>
        <v>Marketing</v>
      </c>
      <c r="D998" s="3" t="str">
        <f aca="false">'1. Raw Data'!D997</f>
        <v>Mid</v>
      </c>
      <c r="E998" s="3" t="str">
        <f aca="false">'1. Raw Data'!E997</f>
        <v>Business</v>
      </c>
      <c r="F998" s="3" t="n">
        <f aca="false">'1. Raw Data'!F997</f>
        <v>1</v>
      </c>
      <c r="G998" s="3" t="n">
        <f aca="false">IF('1. Raw Data'!G997="",ROUND(IFERROR(AVERAGEIFS('1. Raw Data'!G2:G1201,'1. Raw Data'!C2:C1201,'1. Raw Data'!C997,'1. Raw Data'!D2:D1201,'1. Raw Data'!D997),0),2),'1. Raw Data'!G997)</f>
        <v>5723.39</v>
      </c>
      <c r="H998" s="3" t="str">
        <f aca="false">PROPER('1. Raw Data'!H997)</f>
        <v>No</v>
      </c>
      <c r="I998" s="3" t="n">
        <f aca="false">'1. Raw Data'!I997</f>
        <v>3</v>
      </c>
      <c r="J998" s="3" t="n">
        <f aca="false">'1. Raw Data'!J997</f>
        <v>2</v>
      </c>
      <c r="K998" s="3" t="n">
        <f aca="false">'1. Raw Data'!K997</f>
        <v>20</v>
      </c>
      <c r="L998" s="3" t="n">
        <f aca="false">'1. Raw Data'!L997</f>
        <v>1</v>
      </c>
      <c r="M998" s="3" t="n">
        <f aca="false">'1. Raw Data'!M997</f>
        <v>4</v>
      </c>
      <c r="N998" s="3" t="str">
        <f aca="false">'1. Raw Data'!N997</f>
        <v>No</v>
      </c>
    </row>
    <row r="999" customFormat="false" ht="15" hidden="false" customHeight="false" outlineLevel="0" collapsed="false">
      <c r="A999" s="3" t="str">
        <f aca="false">'1. Raw Data'!A998</f>
        <v>EMP-0997</v>
      </c>
      <c r="B999" s="3" t="n">
        <f aca="false">'1. Raw Data'!B998</f>
        <v>34</v>
      </c>
      <c r="C999" s="3" t="str">
        <f aca="false">'1. Raw Data'!C998</f>
        <v>Sales</v>
      </c>
      <c r="D999" s="3" t="str">
        <f aca="false">'1. Raw Data'!D998</f>
        <v>Mid</v>
      </c>
      <c r="E999" s="3" t="str">
        <f aca="false">'1. Raw Data'!E998</f>
        <v>Technical</v>
      </c>
      <c r="F999" s="3" t="n">
        <f aca="false">'1. Raw Data'!F998</f>
        <v>0.6</v>
      </c>
      <c r="G999" s="3" t="n">
        <f aca="false">IF('1. Raw Data'!G998="",ROUND(IFERROR(AVERAGEIFS('1. Raw Data'!G2:G1201,'1. Raw Data'!C2:C1201,'1. Raw Data'!C998,'1. Raw Data'!D2:D1201,'1. Raw Data'!D998),0),2),'1. Raw Data'!G998)</f>
        <v>4629.29</v>
      </c>
      <c r="H999" s="3" t="str">
        <f aca="false">PROPER('1. Raw Data'!H998)</f>
        <v>No</v>
      </c>
      <c r="I999" s="3" t="n">
        <f aca="false">'1. Raw Data'!I998</f>
        <v>2</v>
      </c>
      <c r="J999" s="3" t="n">
        <f aca="false">'1. Raw Data'!J998</f>
        <v>3</v>
      </c>
      <c r="K999" s="3" t="n">
        <f aca="false">'1. Raw Data'!K998</f>
        <v>2</v>
      </c>
      <c r="L999" s="3" t="n">
        <f aca="false">'1. Raw Data'!L998</f>
        <v>0</v>
      </c>
      <c r="M999" s="3" t="n">
        <f aca="false">'1. Raw Data'!M998</f>
        <v>1</v>
      </c>
      <c r="N999" s="3" t="str">
        <f aca="false">'1. Raw Data'!N998</f>
        <v>No</v>
      </c>
    </row>
    <row r="1000" customFormat="false" ht="15" hidden="false" customHeight="false" outlineLevel="0" collapsed="false">
      <c r="A1000" s="3" t="str">
        <f aca="false">'1. Raw Data'!A999</f>
        <v>EMP-0998</v>
      </c>
      <c r="B1000" s="3" t="n">
        <f aca="false">'1. Raw Data'!B999</f>
        <v>33</v>
      </c>
      <c r="C1000" s="3" t="str">
        <f aca="false">'1. Raw Data'!C999</f>
        <v>Customer Support</v>
      </c>
      <c r="D1000" s="3" t="str">
        <f aca="false">'1. Raw Data'!D999</f>
        <v>Mid</v>
      </c>
      <c r="E1000" s="3" t="str">
        <f aca="false">'1. Raw Data'!E999</f>
        <v>Business</v>
      </c>
      <c r="F1000" s="3" t="n">
        <f aca="false">'1. Raw Data'!F999</f>
        <v>6</v>
      </c>
      <c r="G1000" s="3" t="n">
        <f aca="false">IF('1. Raw Data'!G999="",ROUND(IFERROR(AVERAGEIFS('1. Raw Data'!G2:G1201,'1. Raw Data'!C2:C1201,'1. Raw Data'!C999,'1. Raw Data'!D2:D1201,'1. Raw Data'!D999),0),2),'1. Raw Data'!G999)</f>
        <v>5450.59</v>
      </c>
      <c r="H1000" s="3" t="str">
        <f aca="false">PROPER('1. Raw Data'!H999)</f>
        <v>Yes</v>
      </c>
      <c r="I1000" s="3" t="n">
        <f aca="false">'1. Raw Data'!I999</f>
        <v>1</v>
      </c>
      <c r="J1000" s="3" t="n">
        <f aca="false">'1. Raw Data'!J999</f>
        <v>4</v>
      </c>
      <c r="K1000" s="3" t="n">
        <f aca="false">'1. Raw Data'!K999</f>
        <v>4</v>
      </c>
      <c r="L1000" s="3" t="n">
        <f aca="false">'1. Raw Data'!L999</f>
        <v>2</v>
      </c>
      <c r="M1000" s="3" t="n">
        <f aca="false">'1. Raw Data'!M999</f>
        <v>2</v>
      </c>
      <c r="N1000" s="3" t="str">
        <f aca="false">'1. Raw Data'!N999</f>
        <v>Yes</v>
      </c>
    </row>
    <row r="1001" customFormat="false" ht="15" hidden="false" customHeight="false" outlineLevel="0" collapsed="false">
      <c r="A1001" s="3" t="str">
        <f aca="false">'1. Raw Data'!A1000</f>
        <v>EMP-0999</v>
      </c>
      <c r="B1001" s="3" t="n">
        <f aca="false">'1. Raw Data'!B1000</f>
        <v>32</v>
      </c>
      <c r="C1001" s="3" t="str">
        <f aca="false">'1. Raw Data'!C1000</f>
        <v>Customer Support</v>
      </c>
      <c r="D1001" s="3" t="str">
        <f aca="false">'1. Raw Data'!D1000</f>
        <v>Senior</v>
      </c>
      <c r="E1001" s="3" t="str">
        <f aca="false">'1. Raw Data'!E1000</f>
        <v>Business</v>
      </c>
      <c r="F1001" s="3" t="n">
        <f aca="false">'1. Raw Data'!F1000</f>
        <v>1.1</v>
      </c>
      <c r="G1001" s="3" t="n">
        <f aca="false">IF('1. Raw Data'!G1000="",ROUND(IFERROR(AVERAGEIFS('1. Raw Data'!G2:G1201,'1. Raw Data'!C2:C1201,'1. Raw Data'!C1000,'1. Raw Data'!D2:D1201,'1. Raw Data'!D1000),0),2),'1. Raw Data'!G1000)</f>
        <v>8142.48</v>
      </c>
      <c r="H1001" s="3" t="str">
        <f aca="false">PROPER('1. Raw Data'!H1000)</f>
        <v>Yes</v>
      </c>
      <c r="I1001" s="3" t="n">
        <f aca="false">'1. Raw Data'!I1000</f>
        <v>3</v>
      </c>
      <c r="J1001" s="3" t="n">
        <f aca="false">'1. Raw Data'!J1000</f>
        <v>4</v>
      </c>
      <c r="K1001" s="3" t="n">
        <f aca="false">'1. Raw Data'!K1000</f>
        <v>10</v>
      </c>
      <c r="L1001" s="3" t="n">
        <f aca="false">'1. Raw Data'!L1000</f>
        <v>0</v>
      </c>
      <c r="M1001" s="3" t="n">
        <f aca="false">'1. Raw Data'!M1000</f>
        <v>0</v>
      </c>
      <c r="N1001" s="3" t="str">
        <f aca="false">'1. Raw Data'!N1000</f>
        <v>No</v>
      </c>
    </row>
    <row r="1002" customFormat="false" ht="15" hidden="false" customHeight="false" outlineLevel="0" collapsed="false">
      <c r="A1002" s="3" t="str">
        <f aca="false">'1. Raw Data'!A1001</f>
        <v>EMP-1000</v>
      </c>
      <c r="B1002" s="3" t="n">
        <f aca="false">'1. Raw Data'!B1001</f>
        <v>35</v>
      </c>
      <c r="C1002" s="3" t="str">
        <f aca="false">'1. Raw Data'!C1001</f>
        <v>Engineering</v>
      </c>
      <c r="D1002" s="3" t="str">
        <f aca="false">'1. Raw Data'!D1001</f>
        <v>Junior</v>
      </c>
      <c r="E1002" s="3" t="str">
        <f aca="false">'1. Raw Data'!E1001</f>
        <v>Technical</v>
      </c>
      <c r="F1002" s="3" t="n">
        <f aca="false">'1. Raw Data'!F1001</f>
        <v>3</v>
      </c>
      <c r="G1002" s="3" t="n">
        <f aca="false">IF('1. Raw Data'!G1001="",ROUND(IFERROR(AVERAGEIFS('1. Raw Data'!G2:G1201,'1. Raw Data'!C2:C1201,'1. Raw Data'!C1001,'1. Raw Data'!D2:D1201,'1. Raw Data'!D1001),0),2),'1. Raw Data'!G1001)</f>
        <v>2772.87</v>
      </c>
      <c r="H1002" s="3" t="str">
        <f aca="false">PROPER('1. Raw Data'!H1001)</f>
        <v>No</v>
      </c>
      <c r="I1002" s="3" t="n">
        <f aca="false">'1. Raw Data'!I1001</f>
        <v>1</v>
      </c>
      <c r="J1002" s="3" t="n">
        <f aca="false">'1. Raw Data'!J1001</f>
        <v>2</v>
      </c>
      <c r="K1002" s="3" t="n">
        <f aca="false">'1. Raw Data'!K1001</f>
        <v>2</v>
      </c>
      <c r="L1002" s="3" t="n">
        <f aca="false">'1. Raw Data'!L1001</f>
        <v>0</v>
      </c>
      <c r="M1002" s="3" t="n">
        <f aca="false">'1. Raw Data'!M1001</f>
        <v>3</v>
      </c>
      <c r="N1002" s="3" t="str">
        <f aca="false">'1. Raw Data'!N1001</f>
        <v>No</v>
      </c>
    </row>
    <row r="1003" customFormat="false" ht="15" hidden="false" customHeight="false" outlineLevel="0" collapsed="false">
      <c r="A1003" s="3" t="str">
        <f aca="false">'1. Raw Data'!A1002</f>
        <v>EMP-1001</v>
      </c>
      <c r="B1003" s="3" t="n">
        <f aca="false">'1. Raw Data'!B1002</f>
        <v>39</v>
      </c>
      <c r="C1003" s="3" t="str">
        <f aca="false">'1. Raw Data'!C1002</f>
        <v>HR</v>
      </c>
      <c r="D1003" s="3" t="str">
        <f aca="false">'1. Raw Data'!D1002</f>
        <v>Junior</v>
      </c>
      <c r="E1003" s="3" t="str">
        <f aca="false">'1. Raw Data'!E1002</f>
        <v>Technical</v>
      </c>
      <c r="F1003" s="3" t="n">
        <f aca="false">'1. Raw Data'!F1002</f>
        <v>0.5</v>
      </c>
      <c r="G1003" s="3" t="n">
        <f aca="false">IF('1. Raw Data'!G1002="",ROUND(IFERROR(AVERAGEIFS('1. Raw Data'!G2:G1201,'1. Raw Data'!C2:C1201,'1. Raw Data'!C1002,'1. Raw Data'!D2:D1201,'1. Raw Data'!D1002),0),2),'1. Raw Data'!G1002)</f>
        <v>3090.91</v>
      </c>
      <c r="H1003" s="3" t="str">
        <f aca="false">PROPER('1. Raw Data'!H1002)</f>
        <v>Yes</v>
      </c>
      <c r="I1003" s="3" t="n">
        <f aca="false">'1. Raw Data'!I1002</f>
        <v>4</v>
      </c>
      <c r="J1003" s="3" t="n">
        <f aca="false">'1. Raw Data'!J1002</f>
        <v>2</v>
      </c>
      <c r="K1003" s="3" t="n">
        <f aca="false">'1. Raw Data'!K1002</f>
        <v>16</v>
      </c>
      <c r="L1003" s="3" t="n">
        <f aca="false">'1. Raw Data'!L1002</f>
        <v>0</v>
      </c>
      <c r="M1003" s="3" t="n">
        <f aca="false">'1. Raw Data'!M1002</f>
        <v>3</v>
      </c>
      <c r="N1003" s="3" t="str">
        <f aca="false">'1. Raw Data'!N1002</f>
        <v>No</v>
      </c>
    </row>
    <row r="1004" customFormat="false" ht="15" hidden="false" customHeight="false" outlineLevel="0" collapsed="false">
      <c r="A1004" s="3" t="str">
        <f aca="false">'1. Raw Data'!A1003</f>
        <v>EMP-1002</v>
      </c>
      <c r="B1004" s="3" t="n">
        <f aca="false">'1. Raw Data'!B1003</f>
        <v>30</v>
      </c>
      <c r="C1004" s="3" t="str">
        <f aca="false">'1. Raw Data'!C1003</f>
        <v>Sales</v>
      </c>
      <c r="D1004" s="3" t="str">
        <f aca="false">'1. Raw Data'!D1003</f>
        <v>Junior</v>
      </c>
      <c r="E1004" s="3" t="str">
        <f aca="false">'1. Raw Data'!E1003</f>
        <v>Business</v>
      </c>
      <c r="F1004" s="3" t="n">
        <f aca="false">'1. Raw Data'!F1003</f>
        <v>6.6</v>
      </c>
      <c r="G1004" s="3" t="n">
        <f aca="false">IF('1. Raw Data'!G1003="",ROUND(IFERROR(AVERAGEIFS('1. Raw Data'!G2:G1201,'1. Raw Data'!C2:C1201,'1. Raw Data'!C1003,'1. Raw Data'!D2:D1201,'1. Raw Data'!D1003),0),2),'1. Raw Data'!G1003)</f>
        <v>3482.13</v>
      </c>
      <c r="H1004" s="3" t="str">
        <f aca="false">PROPER('1. Raw Data'!H1003)</f>
        <v>No</v>
      </c>
      <c r="I1004" s="3" t="n">
        <f aca="false">'1. Raw Data'!I1003</f>
        <v>2</v>
      </c>
      <c r="J1004" s="3" t="n">
        <f aca="false">'1. Raw Data'!J1003</f>
        <v>3</v>
      </c>
      <c r="K1004" s="3" t="n">
        <f aca="false">'1. Raw Data'!K1003</f>
        <v>2</v>
      </c>
      <c r="L1004" s="3" t="n">
        <f aca="false">'1. Raw Data'!L1003</f>
        <v>0</v>
      </c>
      <c r="M1004" s="3" t="n">
        <f aca="false">'1. Raw Data'!M1003</f>
        <v>3</v>
      </c>
      <c r="N1004" s="3" t="str">
        <f aca="false">'1. Raw Data'!N1003</f>
        <v>No</v>
      </c>
    </row>
    <row r="1005" customFormat="false" ht="15" hidden="false" customHeight="false" outlineLevel="0" collapsed="false">
      <c r="A1005" s="3" t="str">
        <f aca="false">'1. Raw Data'!A1004</f>
        <v>EMP-1003</v>
      </c>
      <c r="B1005" s="3" t="n">
        <f aca="false">'1. Raw Data'!B1004</f>
        <v>27</v>
      </c>
      <c r="C1005" s="3" t="str">
        <f aca="false">'1. Raw Data'!C1004</f>
        <v>Sales</v>
      </c>
      <c r="D1005" s="3" t="str">
        <f aca="false">'1. Raw Data'!D1004</f>
        <v>Junior</v>
      </c>
      <c r="E1005" s="3" t="str">
        <f aca="false">'1. Raw Data'!E1004</f>
        <v>Marketing</v>
      </c>
      <c r="F1005" s="3" t="n">
        <f aca="false">'1. Raw Data'!F1004</f>
        <v>6</v>
      </c>
      <c r="G1005" s="3" t="n">
        <f aca="false">IF('1. Raw Data'!G1004="",ROUND(IFERROR(AVERAGEIFS('1. Raw Data'!G2:G1201,'1. Raw Data'!C2:C1201,'1. Raw Data'!C1004,'1. Raw Data'!D2:D1201,'1. Raw Data'!D1004),0),2),'1. Raw Data'!G1004)</f>
        <v>3636.31</v>
      </c>
      <c r="H1005" s="3" t="str">
        <f aca="false">PROPER('1. Raw Data'!H1004)</f>
        <v>Yes</v>
      </c>
      <c r="I1005" s="3" t="n">
        <f aca="false">'1. Raw Data'!I1004</f>
        <v>4</v>
      </c>
      <c r="J1005" s="3" t="n">
        <f aca="false">'1. Raw Data'!J1004</f>
        <v>4</v>
      </c>
      <c r="K1005" s="3" t="n">
        <f aca="false">'1. Raw Data'!K1004</f>
        <v>6</v>
      </c>
      <c r="L1005" s="3" t="n">
        <f aca="false">'1. Raw Data'!L1004</f>
        <v>1</v>
      </c>
      <c r="M1005" s="3" t="n">
        <f aca="false">'1. Raw Data'!M1004</f>
        <v>2</v>
      </c>
      <c r="N1005" s="3" t="str">
        <f aca="false">'1. Raw Data'!N1004</f>
        <v>No</v>
      </c>
    </row>
    <row r="1006" customFormat="false" ht="15" hidden="false" customHeight="false" outlineLevel="0" collapsed="false">
      <c r="A1006" s="3" t="str">
        <f aca="false">'1. Raw Data'!A1005</f>
        <v>EMP-1004</v>
      </c>
      <c r="B1006" s="3" t="n">
        <f aca="false">'1. Raw Data'!B1005</f>
        <v>39</v>
      </c>
      <c r="C1006" s="3" t="str">
        <f aca="false">'1. Raw Data'!C1005</f>
        <v>Engineering</v>
      </c>
      <c r="D1006" s="3" t="str">
        <f aca="false">'1. Raw Data'!D1005</f>
        <v>Junior</v>
      </c>
      <c r="E1006" s="3" t="str">
        <f aca="false">'1. Raw Data'!E1005</f>
        <v>Business</v>
      </c>
      <c r="F1006" s="3" t="n">
        <f aca="false">'1. Raw Data'!F1005</f>
        <v>2.5</v>
      </c>
      <c r="G1006" s="3" t="n">
        <f aca="false">IF('1. Raw Data'!G1005="",ROUND(IFERROR(AVERAGEIFS('1. Raw Data'!G2:G1201,'1. Raw Data'!C2:C1201,'1. Raw Data'!C1005,'1. Raw Data'!D2:D1201,'1. Raw Data'!D1005),0),2),'1. Raw Data'!G1005)</f>
        <v>3066.23</v>
      </c>
      <c r="H1006" s="3" t="str">
        <f aca="false">PROPER('1. Raw Data'!H1005)</f>
        <v>Yes</v>
      </c>
      <c r="I1006" s="3" t="n">
        <f aca="false">'1. Raw Data'!I1005</f>
        <v>2</v>
      </c>
      <c r="J1006" s="3" t="n">
        <f aca="false">'1. Raw Data'!J1005</f>
        <v>3</v>
      </c>
      <c r="K1006" s="3" t="n">
        <f aca="false">'1. Raw Data'!K1005</f>
        <v>7</v>
      </c>
      <c r="L1006" s="3" t="n">
        <f aca="false">'1. Raw Data'!L1005</f>
        <v>0</v>
      </c>
      <c r="M1006" s="3" t="n">
        <f aca="false">'1. Raw Data'!M1005</f>
        <v>3</v>
      </c>
      <c r="N1006" s="3" t="str">
        <f aca="false">'1. Raw Data'!N1005</f>
        <v>No</v>
      </c>
    </row>
    <row r="1007" customFormat="false" ht="15" hidden="false" customHeight="false" outlineLevel="0" collapsed="false">
      <c r="A1007" s="3" t="str">
        <f aca="false">'1. Raw Data'!A1006</f>
        <v>EMP-1005</v>
      </c>
      <c r="B1007" s="3" t="n">
        <f aca="false">'1. Raw Data'!B1006</f>
        <v>45</v>
      </c>
      <c r="C1007" s="3" t="str">
        <f aca="false">'1. Raw Data'!C1006</f>
        <v>Customer Support</v>
      </c>
      <c r="D1007" s="3" t="str">
        <f aca="false">'1. Raw Data'!D1006</f>
        <v>Mid</v>
      </c>
      <c r="E1007" s="3" t="str">
        <f aca="false">'1. Raw Data'!E1006</f>
        <v>Marketing</v>
      </c>
      <c r="F1007" s="3" t="n">
        <f aca="false">'1. Raw Data'!F1006</f>
        <v>1.5</v>
      </c>
      <c r="G1007" s="3" t="n">
        <f aca="false">IF('1. Raw Data'!G1006="",ROUND(IFERROR(AVERAGEIFS('1. Raw Data'!G2:G1201,'1. Raw Data'!C2:C1201,'1. Raw Data'!C1006,'1. Raw Data'!D2:D1201,'1. Raw Data'!D1006),0),2),'1. Raw Data'!G1006)</f>
        <v>5178.03</v>
      </c>
      <c r="H1007" s="3" t="str">
        <f aca="false">PROPER('1. Raw Data'!H1006)</f>
        <v>Yes</v>
      </c>
      <c r="I1007" s="3" t="n">
        <f aca="false">'1. Raw Data'!I1006</f>
        <v>1</v>
      </c>
      <c r="J1007" s="3" t="n">
        <f aca="false">'1. Raw Data'!J1006</f>
        <v>3</v>
      </c>
      <c r="K1007" s="3" t="n">
        <f aca="false">'1. Raw Data'!K1006</f>
        <v>8</v>
      </c>
      <c r="L1007" s="3" t="n">
        <f aca="false">'1. Raw Data'!L1006</f>
        <v>0</v>
      </c>
      <c r="M1007" s="3" t="n">
        <f aca="false">'1. Raw Data'!M1006</f>
        <v>1</v>
      </c>
      <c r="N1007" s="3" t="str">
        <f aca="false">'1. Raw Data'!N1006</f>
        <v>Yes</v>
      </c>
    </row>
    <row r="1008" customFormat="false" ht="15" hidden="false" customHeight="false" outlineLevel="0" collapsed="false">
      <c r="A1008" s="3" t="str">
        <f aca="false">'1. Raw Data'!A1007</f>
        <v>EMP-1006</v>
      </c>
      <c r="B1008" s="3" t="n">
        <f aca="false">'1. Raw Data'!B1007</f>
        <v>23</v>
      </c>
      <c r="C1008" s="3" t="str">
        <f aca="false">'1. Raw Data'!C1007</f>
        <v>HR</v>
      </c>
      <c r="D1008" s="3" t="str">
        <f aca="false">'1. Raw Data'!D1007</f>
        <v>Lead</v>
      </c>
      <c r="E1008" s="3" t="str">
        <f aca="false">'1. Raw Data'!E1007</f>
        <v>Marketing</v>
      </c>
      <c r="F1008" s="3" t="n">
        <f aca="false">'1. Raw Data'!F1007</f>
        <v>0.9</v>
      </c>
      <c r="G1008" s="3" t="n">
        <f aca="false">IF('1. Raw Data'!G1007="",ROUND(IFERROR(AVERAGEIFS('1. Raw Data'!G2:G1201,'1. Raw Data'!C2:C1201,'1. Raw Data'!C1007,'1. Raw Data'!D2:D1201,'1. Raw Data'!D1007),0),2),'1. Raw Data'!G1007)</f>
        <v>9126.91</v>
      </c>
      <c r="H1008" s="3" t="str">
        <f aca="false">PROPER('1. Raw Data'!H1007)</f>
        <v>No</v>
      </c>
      <c r="I1008" s="3" t="n">
        <f aca="false">'1. Raw Data'!I1007</f>
        <v>4</v>
      </c>
      <c r="J1008" s="3" t="n">
        <f aca="false">'1. Raw Data'!J1007</f>
        <v>4</v>
      </c>
      <c r="K1008" s="3" t="n">
        <f aca="false">'1. Raw Data'!K1007</f>
        <v>5</v>
      </c>
      <c r="L1008" s="3" t="n">
        <f aca="false">'1. Raw Data'!L1007</f>
        <v>0</v>
      </c>
      <c r="M1008" s="3" t="n">
        <f aca="false">'1. Raw Data'!M1007</f>
        <v>2</v>
      </c>
      <c r="N1008" s="3" t="str">
        <f aca="false">'1. Raw Data'!N1007</f>
        <v>Yes</v>
      </c>
    </row>
    <row r="1009" customFormat="false" ht="15" hidden="false" customHeight="false" outlineLevel="0" collapsed="false">
      <c r="A1009" s="3" t="str">
        <f aca="false">'1. Raw Data'!A1008</f>
        <v>EMP-1007</v>
      </c>
      <c r="B1009" s="3" t="n">
        <f aca="false">'1. Raw Data'!B1008</f>
        <v>36</v>
      </c>
      <c r="C1009" s="3" t="str">
        <f aca="false">'1. Raw Data'!C1008</f>
        <v>Engineering</v>
      </c>
      <c r="D1009" s="3" t="str">
        <f aca="false">'1. Raw Data'!D1008</f>
        <v>Junior</v>
      </c>
      <c r="E1009" s="3" t="str">
        <f aca="false">'1. Raw Data'!E1008</f>
        <v>Other</v>
      </c>
      <c r="F1009" s="3" t="n">
        <f aca="false">'1. Raw Data'!F1008</f>
        <v>0.4</v>
      </c>
      <c r="G1009" s="3" t="n">
        <f aca="false">IF('1. Raw Data'!G1008="",ROUND(IFERROR(AVERAGEIFS('1. Raw Data'!G2:G1201,'1. Raw Data'!C2:C1201,'1. Raw Data'!C1008,'1. Raw Data'!D2:D1201,'1. Raw Data'!D1008),0),2),'1. Raw Data'!G1008)</f>
        <v>2724.85</v>
      </c>
      <c r="H1009" s="3" t="str">
        <f aca="false">PROPER('1. Raw Data'!H1008)</f>
        <v>No</v>
      </c>
      <c r="I1009" s="3" t="n">
        <f aca="false">'1. Raw Data'!I1008</f>
        <v>4</v>
      </c>
      <c r="J1009" s="3" t="n">
        <f aca="false">'1. Raw Data'!J1008</f>
        <v>3</v>
      </c>
      <c r="K1009" s="3" t="n">
        <f aca="false">'1. Raw Data'!K1008</f>
        <v>3</v>
      </c>
      <c r="L1009" s="3" t="n">
        <f aca="false">'1. Raw Data'!L1008</f>
        <v>0</v>
      </c>
      <c r="M1009" s="3" t="n">
        <f aca="false">'1. Raw Data'!M1008</f>
        <v>3</v>
      </c>
      <c r="N1009" s="3" t="str">
        <f aca="false">'1. Raw Data'!N1008</f>
        <v>No</v>
      </c>
    </row>
    <row r="1010" customFormat="false" ht="15" hidden="false" customHeight="false" outlineLevel="0" collapsed="false">
      <c r="A1010" s="3" t="str">
        <f aca="false">'1. Raw Data'!A1009</f>
        <v>EMP-1008</v>
      </c>
      <c r="B1010" s="3" t="n">
        <f aca="false">'1. Raw Data'!B1009</f>
        <v>22</v>
      </c>
      <c r="C1010" s="3" t="str">
        <f aca="false">'1. Raw Data'!C1009</f>
        <v>Engineering</v>
      </c>
      <c r="D1010" s="3" t="str">
        <f aca="false">'1. Raw Data'!D1009</f>
        <v>Junior</v>
      </c>
      <c r="E1010" s="3" t="str">
        <f aca="false">'1. Raw Data'!E1009</f>
        <v>Other</v>
      </c>
      <c r="F1010" s="3" t="n">
        <f aca="false">'1. Raw Data'!F1009</f>
        <v>1</v>
      </c>
      <c r="G1010" s="3" t="n">
        <f aca="false">IF('1. Raw Data'!G1009="",ROUND(IFERROR(AVERAGEIFS('1. Raw Data'!G2:G1201,'1. Raw Data'!C2:C1201,'1. Raw Data'!C1009,'1. Raw Data'!D2:D1201,'1. Raw Data'!D1009),0),2),'1. Raw Data'!G1009)</f>
        <v>3096.3</v>
      </c>
      <c r="H1010" s="3" t="str">
        <f aca="false">PROPER('1. Raw Data'!H1009)</f>
        <v>No</v>
      </c>
      <c r="I1010" s="3" t="n">
        <f aca="false">'1. Raw Data'!I1009</f>
        <v>3</v>
      </c>
      <c r="J1010" s="3" t="n">
        <f aca="false">'1. Raw Data'!J1009</f>
        <v>4</v>
      </c>
      <c r="K1010" s="3" t="n">
        <f aca="false">'1. Raw Data'!K1009</f>
        <v>22</v>
      </c>
      <c r="L1010" s="3" t="n">
        <f aca="false">'1. Raw Data'!L1009</f>
        <v>0</v>
      </c>
      <c r="M1010" s="3" t="n">
        <f aca="false">'1. Raw Data'!M1009</f>
        <v>1</v>
      </c>
      <c r="N1010" s="3" t="str">
        <f aca="false">'1. Raw Data'!N1009</f>
        <v>No</v>
      </c>
    </row>
    <row r="1011" customFormat="false" ht="15" hidden="false" customHeight="false" outlineLevel="0" collapsed="false">
      <c r="A1011" s="3" t="str">
        <f aca="false">'1. Raw Data'!A1010</f>
        <v>EMP-1009</v>
      </c>
      <c r="B1011" s="3" t="n">
        <f aca="false">'1. Raw Data'!B1010</f>
        <v>37</v>
      </c>
      <c r="C1011" s="3" t="str">
        <f aca="false">'1. Raw Data'!C1010</f>
        <v>Marketing</v>
      </c>
      <c r="D1011" s="3" t="str">
        <f aca="false">'1. Raw Data'!D1010</f>
        <v>Senior</v>
      </c>
      <c r="E1011" s="3" t="str">
        <f aca="false">'1. Raw Data'!E1010</f>
        <v>Business</v>
      </c>
      <c r="F1011" s="3" t="n">
        <f aca="false">'1. Raw Data'!F1010</f>
        <v>0.6</v>
      </c>
      <c r="G1011" s="3" t="n">
        <f aca="false">IF('1. Raw Data'!G1010="",ROUND(IFERROR(AVERAGEIFS('1. Raw Data'!G2:G1201,'1. Raw Data'!C2:C1201,'1. Raw Data'!C1010,'1. Raw Data'!D2:D1201,'1. Raw Data'!D1010),0),2),'1. Raw Data'!G1010)</f>
        <v>8457.26</v>
      </c>
      <c r="H1011" s="3" t="str">
        <f aca="false">PROPER('1. Raw Data'!H1010)</f>
        <v>No</v>
      </c>
      <c r="I1011" s="3" t="n">
        <f aca="false">'1. Raw Data'!I1010</f>
        <v>3</v>
      </c>
      <c r="J1011" s="3" t="n">
        <f aca="false">'1. Raw Data'!J1010</f>
        <v>4</v>
      </c>
      <c r="K1011" s="3" t="n">
        <f aca="false">'1. Raw Data'!K1010</f>
        <v>6</v>
      </c>
      <c r="L1011" s="3" t="n">
        <f aca="false">'1. Raw Data'!L1010</f>
        <v>0</v>
      </c>
      <c r="M1011" s="3" t="n">
        <f aca="false">'1. Raw Data'!M1010</f>
        <v>3</v>
      </c>
      <c r="N1011" s="3" t="str">
        <f aca="false">'1. Raw Data'!N1010</f>
        <v>No</v>
      </c>
    </row>
    <row r="1012" customFormat="false" ht="15" hidden="false" customHeight="false" outlineLevel="0" collapsed="false">
      <c r="A1012" s="3" t="str">
        <f aca="false">'1. Raw Data'!A1011</f>
        <v>EMP-1010</v>
      </c>
      <c r="B1012" s="3" t="n">
        <f aca="false">'1. Raw Data'!B1011</f>
        <v>48</v>
      </c>
      <c r="C1012" s="3" t="str">
        <f aca="false">'1. Raw Data'!C1011</f>
        <v>Sales</v>
      </c>
      <c r="D1012" s="3" t="str">
        <f aca="false">'1. Raw Data'!D1011</f>
        <v>Mid</v>
      </c>
      <c r="E1012" s="3" t="str">
        <f aca="false">'1. Raw Data'!E1011</f>
        <v>Marketing</v>
      </c>
      <c r="F1012" s="3" t="n">
        <f aca="false">'1. Raw Data'!F1011</f>
        <v>2.6</v>
      </c>
      <c r="G1012" s="3" t="n">
        <f aca="false">IF('1. Raw Data'!G1011="",ROUND(IFERROR(AVERAGEIFS('1. Raw Data'!G2:G1201,'1. Raw Data'!C2:C1201,'1. Raw Data'!C1011,'1. Raw Data'!D2:D1201,'1. Raw Data'!D1011),0),2),'1. Raw Data'!G1011)</f>
        <v>4525.79</v>
      </c>
      <c r="H1012" s="3" t="str">
        <f aca="false">PROPER('1. Raw Data'!H1011)</f>
        <v>No</v>
      </c>
      <c r="I1012" s="3" t="n">
        <f aca="false">'1. Raw Data'!I1011</f>
        <v>3</v>
      </c>
      <c r="J1012" s="3" t="n">
        <f aca="false">'1. Raw Data'!J1011</f>
        <v>3</v>
      </c>
      <c r="K1012" s="3" t="n">
        <f aca="false">'1. Raw Data'!K1011</f>
        <v>1</v>
      </c>
      <c r="L1012" s="3" t="n">
        <f aca="false">'1. Raw Data'!L1011</f>
        <v>0</v>
      </c>
      <c r="M1012" s="3" t="n">
        <f aca="false">'1. Raw Data'!M1011</f>
        <v>1</v>
      </c>
      <c r="N1012" s="3" t="str">
        <f aca="false">'1. Raw Data'!N1011</f>
        <v>No</v>
      </c>
    </row>
    <row r="1013" customFormat="false" ht="15" hidden="false" customHeight="false" outlineLevel="0" collapsed="false">
      <c r="A1013" s="3" t="str">
        <f aca="false">'1. Raw Data'!A1012</f>
        <v>EMP-1011</v>
      </c>
      <c r="B1013" s="3" t="n">
        <f aca="false">'1. Raw Data'!B1012</f>
        <v>27</v>
      </c>
      <c r="C1013" s="3" t="str">
        <f aca="false">'1. Raw Data'!C1012</f>
        <v>HR</v>
      </c>
      <c r="D1013" s="3" t="str">
        <f aca="false">'1. Raw Data'!D1012</f>
        <v>Senior</v>
      </c>
      <c r="E1013" s="3" t="str">
        <f aca="false">'1. Raw Data'!E1012</f>
        <v>Technical</v>
      </c>
      <c r="F1013" s="3" t="n">
        <f aca="false">'1. Raw Data'!F1012</f>
        <v>5.2</v>
      </c>
      <c r="G1013" s="3" t="n">
        <f aca="false">IF('1. Raw Data'!G1012="",ROUND(IFERROR(AVERAGEIFS('1. Raw Data'!G2:G1201,'1. Raw Data'!C2:C1201,'1. Raw Data'!C1012,'1. Raw Data'!D2:D1201,'1. Raw Data'!D1012),0),2),'1. Raw Data'!G1012)</f>
        <v>8300.47</v>
      </c>
      <c r="H1013" s="3" t="str">
        <f aca="false">PROPER('1. Raw Data'!H1012)</f>
        <v>Yes</v>
      </c>
      <c r="I1013" s="3" t="n">
        <f aca="false">'1. Raw Data'!I1012</f>
        <v>4</v>
      </c>
      <c r="J1013" s="3" t="n">
        <f aca="false">'1. Raw Data'!J1012</f>
        <v>2</v>
      </c>
      <c r="K1013" s="3" t="n">
        <f aca="false">'1. Raw Data'!K1012</f>
        <v>16</v>
      </c>
      <c r="L1013" s="3" t="n">
        <f aca="false">'1. Raw Data'!L1012</f>
        <v>1</v>
      </c>
      <c r="M1013" s="3" t="n">
        <f aca="false">'1. Raw Data'!M1012</f>
        <v>1</v>
      </c>
      <c r="N1013" s="3" t="str">
        <f aca="false">'1. Raw Data'!N1012</f>
        <v>Yes</v>
      </c>
    </row>
    <row r="1014" customFormat="false" ht="15" hidden="false" customHeight="false" outlineLevel="0" collapsed="false">
      <c r="A1014" s="3" t="str">
        <f aca="false">'1. Raw Data'!A1013</f>
        <v>EMP-1012</v>
      </c>
      <c r="B1014" s="3" t="n">
        <f aca="false">'1. Raw Data'!B1013</f>
        <v>25</v>
      </c>
      <c r="C1014" s="3" t="str">
        <f aca="false">'1. Raw Data'!C1013</f>
        <v>Finance</v>
      </c>
      <c r="D1014" s="3" t="str">
        <f aca="false">'1. Raw Data'!D1013</f>
        <v>Mid</v>
      </c>
      <c r="E1014" s="3" t="str">
        <f aca="false">'1. Raw Data'!E1013</f>
        <v>Business</v>
      </c>
      <c r="F1014" s="3" t="n">
        <f aca="false">'1. Raw Data'!F1013</f>
        <v>0.6</v>
      </c>
      <c r="G1014" s="3" t="n">
        <f aca="false">IF('1. Raw Data'!G1013="",ROUND(IFERROR(AVERAGEIFS('1. Raw Data'!G2:G1201,'1. Raw Data'!C2:C1201,'1. Raw Data'!C1013,'1. Raw Data'!D2:D1201,'1. Raw Data'!D1013),0),2),'1. Raw Data'!G1013)</f>
        <v>5281.99</v>
      </c>
      <c r="H1014" s="3" t="str">
        <f aca="false">PROPER('1. Raw Data'!H1013)</f>
        <v>No</v>
      </c>
      <c r="I1014" s="3" t="n">
        <f aca="false">'1. Raw Data'!I1013</f>
        <v>3</v>
      </c>
      <c r="J1014" s="3" t="n">
        <f aca="false">'1. Raw Data'!J1013</f>
        <v>4</v>
      </c>
      <c r="K1014" s="3" t="n">
        <f aca="false">'1. Raw Data'!K1013</f>
        <v>4</v>
      </c>
      <c r="L1014" s="3" t="n">
        <f aca="false">'1. Raw Data'!L1013</f>
        <v>0</v>
      </c>
      <c r="M1014" s="3" t="n">
        <f aca="false">'1. Raw Data'!M1013</f>
        <v>2</v>
      </c>
      <c r="N1014" s="3" t="str">
        <f aca="false">'1. Raw Data'!N1013</f>
        <v>No</v>
      </c>
    </row>
    <row r="1015" customFormat="false" ht="15" hidden="false" customHeight="false" outlineLevel="0" collapsed="false">
      <c r="A1015" s="3" t="str">
        <f aca="false">'1. Raw Data'!A1014</f>
        <v>EMP-1013</v>
      </c>
      <c r="B1015" s="3" t="n">
        <f aca="false">'1. Raw Data'!B1014</f>
        <v>22</v>
      </c>
      <c r="C1015" s="3" t="str">
        <f aca="false">'1. Raw Data'!C1014</f>
        <v>Finance</v>
      </c>
      <c r="D1015" s="3" t="str">
        <f aca="false">'1. Raw Data'!D1014</f>
        <v>Senior</v>
      </c>
      <c r="E1015" s="3" t="str">
        <f aca="false">'1. Raw Data'!E1014</f>
        <v>Business</v>
      </c>
      <c r="F1015" s="3" t="n">
        <f aca="false">'1. Raw Data'!F1014</f>
        <v>0.4</v>
      </c>
      <c r="G1015" s="3" t="n">
        <f aca="false">IF('1. Raw Data'!G1014="",ROUND(IFERROR(AVERAGEIFS('1. Raw Data'!G2:G1201,'1. Raw Data'!C2:C1201,'1. Raw Data'!C1014,'1. Raw Data'!D2:D1201,'1. Raw Data'!D1014),0),2),'1. Raw Data'!G1014)</f>
        <v>8482.17</v>
      </c>
      <c r="H1015" s="3" t="str">
        <f aca="false">PROPER('1. Raw Data'!H1014)</f>
        <v>No</v>
      </c>
      <c r="I1015" s="3" t="n">
        <f aca="false">'1. Raw Data'!I1014</f>
        <v>3</v>
      </c>
      <c r="J1015" s="3" t="n">
        <f aca="false">'1. Raw Data'!J1014</f>
        <v>2</v>
      </c>
      <c r="K1015" s="3" t="n">
        <f aca="false">'1. Raw Data'!K1014</f>
        <v>10</v>
      </c>
      <c r="L1015" s="3" t="n">
        <f aca="false">'1. Raw Data'!L1014</f>
        <v>0</v>
      </c>
      <c r="M1015" s="3" t="n">
        <f aca="false">'1. Raw Data'!M1014</f>
        <v>2</v>
      </c>
      <c r="N1015" s="3" t="str">
        <f aca="false">'1. Raw Data'!N1014</f>
        <v>No</v>
      </c>
    </row>
    <row r="1016" customFormat="false" ht="15" hidden="false" customHeight="false" outlineLevel="0" collapsed="false">
      <c r="A1016" s="3" t="str">
        <f aca="false">'1. Raw Data'!A1015</f>
        <v>EMP-1014</v>
      </c>
      <c r="B1016" s="3" t="n">
        <f aca="false">'1. Raw Data'!B1015</f>
        <v>41</v>
      </c>
      <c r="C1016" s="3" t="str">
        <f aca="false">'1. Raw Data'!C1015</f>
        <v>Engineering</v>
      </c>
      <c r="D1016" s="3" t="str">
        <f aca="false">'1. Raw Data'!D1015</f>
        <v>Mid</v>
      </c>
      <c r="E1016" s="3" t="str">
        <f aca="false">'1. Raw Data'!E1015</f>
        <v>Other</v>
      </c>
      <c r="F1016" s="3" t="n">
        <f aca="false">'1. Raw Data'!F1015</f>
        <v>1.2</v>
      </c>
      <c r="G1016" s="3" t="n">
        <f aca="false">IF('1. Raw Data'!G1015="",ROUND(IFERROR(AVERAGEIFS('1. Raw Data'!G2:G1201,'1. Raw Data'!C2:C1201,'1. Raw Data'!C1015,'1. Raw Data'!D2:D1201,'1. Raw Data'!D1015),0),2),'1. Raw Data'!G1015)</f>
        <v>4186.79</v>
      </c>
      <c r="H1016" s="3" t="str">
        <f aca="false">PROPER('1. Raw Data'!H1015)</f>
        <v>No</v>
      </c>
      <c r="I1016" s="3" t="n">
        <f aca="false">'1. Raw Data'!I1015</f>
        <v>3</v>
      </c>
      <c r="J1016" s="3" t="n">
        <f aca="false">'1. Raw Data'!J1015</f>
        <v>3</v>
      </c>
      <c r="K1016" s="3" t="n">
        <f aca="false">'1. Raw Data'!K1015</f>
        <v>2</v>
      </c>
      <c r="L1016" s="3" t="n">
        <f aca="false">'1. Raw Data'!L1015</f>
        <v>0</v>
      </c>
      <c r="M1016" s="3" t="n">
        <f aca="false">'1. Raw Data'!M1015</f>
        <v>2</v>
      </c>
      <c r="N1016" s="3" t="str">
        <f aca="false">'1. Raw Data'!N1015</f>
        <v>No</v>
      </c>
    </row>
    <row r="1017" customFormat="false" ht="15" hidden="false" customHeight="false" outlineLevel="0" collapsed="false">
      <c r="A1017" s="3" t="str">
        <f aca="false">'1. Raw Data'!A1016</f>
        <v>EMP-1015</v>
      </c>
      <c r="B1017" s="3" t="n">
        <f aca="false">'1. Raw Data'!B1016</f>
        <v>36</v>
      </c>
      <c r="C1017" s="3" t="str">
        <f aca="false">'1. Raw Data'!C1016</f>
        <v>Customer Support</v>
      </c>
      <c r="D1017" s="3" t="str">
        <f aca="false">'1. Raw Data'!D1016</f>
        <v>Junior</v>
      </c>
      <c r="E1017" s="3" t="str">
        <f aca="false">'1. Raw Data'!E1016</f>
        <v>Business</v>
      </c>
      <c r="F1017" s="3" t="n">
        <f aca="false">'1. Raw Data'!F1016</f>
        <v>0.6</v>
      </c>
      <c r="G1017" s="3" t="n">
        <f aca="false">IF('1. Raw Data'!G1016="",ROUND(IFERROR(AVERAGEIFS('1. Raw Data'!G2:G1201,'1. Raw Data'!C2:C1201,'1. Raw Data'!C1016,'1. Raw Data'!D2:D1201,'1. Raw Data'!D1016),0),2),'1. Raw Data'!G1016)</f>
        <v>3695.26</v>
      </c>
      <c r="H1017" s="3" t="str">
        <f aca="false">PROPER('1. Raw Data'!H1016)</f>
        <v>Yes</v>
      </c>
      <c r="I1017" s="3" t="n">
        <f aca="false">'1. Raw Data'!I1016</f>
        <v>3</v>
      </c>
      <c r="J1017" s="3" t="n">
        <f aca="false">'1. Raw Data'!J1016</f>
        <v>3</v>
      </c>
      <c r="K1017" s="3" t="n">
        <f aca="false">'1. Raw Data'!K1016</f>
        <v>3</v>
      </c>
      <c r="L1017" s="3" t="n">
        <f aca="false">'1. Raw Data'!L1016</f>
        <v>0</v>
      </c>
      <c r="M1017" s="3" t="n">
        <f aca="false">'1. Raw Data'!M1016</f>
        <v>1</v>
      </c>
      <c r="N1017" s="3" t="str">
        <f aca="false">'1. Raw Data'!N1016</f>
        <v>Yes</v>
      </c>
    </row>
    <row r="1018" customFormat="false" ht="15" hidden="false" customHeight="false" outlineLevel="0" collapsed="false">
      <c r="A1018" s="3" t="str">
        <f aca="false">'1. Raw Data'!A1017</f>
        <v>EMP-1016</v>
      </c>
      <c r="B1018" s="3" t="n">
        <f aca="false">'1. Raw Data'!B1017</f>
        <v>36</v>
      </c>
      <c r="C1018" s="3" t="str">
        <f aca="false">'1. Raw Data'!C1017</f>
        <v>Customer Support</v>
      </c>
      <c r="D1018" s="3" t="str">
        <f aca="false">'1. Raw Data'!D1017</f>
        <v>Mid</v>
      </c>
      <c r="E1018" s="3" t="str">
        <f aca="false">'1. Raw Data'!E1017</f>
        <v>Other</v>
      </c>
      <c r="F1018" s="3" t="n">
        <f aca="false">'1. Raw Data'!F1017</f>
        <v>4.7</v>
      </c>
      <c r="G1018" s="3" t="n">
        <f aca="false">IF('1. Raw Data'!G1017="",ROUND(IFERROR(AVERAGEIFS('1. Raw Data'!G2:G1201,'1. Raw Data'!C2:C1201,'1. Raw Data'!C1017,'1. Raw Data'!D2:D1201,'1. Raw Data'!D1017),0),2),'1. Raw Data'!G1017)</f>
        <v>4242.8</v>
      </c>
      <c r="H1018" s="3" t="str">
        <f aca="false">PROPER('1. Raw Data'!H1017)</f>
        <v>Yes</v>
      </c>
      <c r="I1018" s="3" t="n">
        <f aca="false">'1. Raw Data'!I1017</f>
        <v>3</v>
      </c>
      <c r="J1018" s="3" t="n">
        <f aca="false">'1. Raw Data'!J1017</f>
        <v>2</v>
      </c>
      <c r="K1018" s="3" t="n">
        <f aca="false">'1. Raw Data'!K1017</f>
        <v>1</v>
      </c>
      <c r="L1018" s="3" t="n">
        <f aca="false">'1. Raw Data'!L1017</f>
        <v>2</v>
      </c>
      <c r="M1018" s="3" t="n">
        <f aca="false">'1. Raw Data'!M1017</f>
        <v>1</v>
      </c>
      <c r="N1018" s="3" t="str">
        <f aca="false">'1. Raw Data'!N1017</f>
        <v>Yes</v>
      </c>
    </row>
    <row r="1019" customFormat="false" ht="15" hidden="false" customHeight="false" outlineLevel="0" collapsed="false">
      <c r="A1019" s="3" t="str">
        <f aca="false">'1. Raw Data'!A1018</f>
        <v>EMP-1017</v>
      </c>
      <c r="B1019" s="3" t="n">
        <f aca="false">'1. Raw Data'!B1018</f>
        <v>24</v>
      </c>
      <c r="C1019" s="3" t="str">
        <f aca="false">'1. Raw Data'!C1018</f>
        <v>Customer Support</v>
      </c>
      <c r="D1019" s="3" t="str">
        <f aca="false">'1. Raw Data'!D1018</f>
        <v>Mid</v>
      </c>
      <c r="E1019" s="3" t="str">
        <f aca="false">'1. Raw Data'!E1018</f>
        <v>Other</v>
      </c>
      <c r="F1019" s="3" t="n">
        <f aca="false">'1. Raw Data'!F1018</f>
        <v>1.1</v>
      </c>
      <c r="G1019" s="3" t="n">
        <f aca="false">IF('1. Raw Data'!G1018="",ROUND(IFERROR(AVERAGEIFS('1. Raw Data'!G2:G1201,'1. Raw Data'!C2:C1201,'1. Raw Data'!C1018,'1. Raw Data'!D2:D1201,'1. Raw Data'!D1018),0),2),'1. Raw Data'!G1018)</f>
        <v>4432.27</v>
      </c>
      <c r="H1019" s="3" t="str">
        <f aca="false">PROPER('1. Raw Data'!H1018)</f>
        <v>Yes</v>
      </c>
      <c r="I1019" s="3" t="n">
        <f aca="false">'1. Raw Data'!I1018</f>
        <v>3</v>
      </c>
      <c r="J1019" s="3" t="n">
        <f aca="false">'1. Raw Data'!J1018</f>
        <v>3</v>
      </c>
      <c r="K1019" s="3" t="n">
        <f aca="false">'1. Raw Data'!K1018</f>
        <v>40</v>
      </c>
      <c r="L1019" s="3" t="n">
        <f aca="false">'1. Raw Data'!L1018</f>
        <v>1</v>
      </c>
      <c r="M1019" s="3" t="n">
        <f aca="false">'1. Raw Data'!M1018</f>
        <v>3</v>
      </c>
      <c r="N1019" s="3" t="str">
        <f aca="false">'1. Raw Data'!N1018</f>
        <v>Yes</v>
      </c>
    </row>
    <row r="1020" customFormat="false" ht="15" hidden="false" customHeight="false" outlineLevel="0" collapsed="false">
      <c r="A1020" s="3" t="str">
        <f aca="false">'1. Raw Data'!A1019</f>
        <v>EMP-1018</v>
      </c>
      <c r="B1020" s="3" t="n">
        <f aca="false">'1. Raw Data'!B1019</f>
        <v>45</v>
      </c>
      <c r="C1020" s="3" t="str">
        <f aca="false">'1. Raw Data'!C1019</f>
        <v>Sales</v>
      </c>
      <c r="D1020" s="3" t="str">
        <f aca="false">'1. Raw Data'!D1019</f>
        <v>Mid</v>
      </c>
      <c r="E1020" s="3" t="str">
        <f aca="false">'1. Raw Data'!E1019</f>
        <v>Other</v>
      </c>
      <c r="F1020" s="3" t="n">
        <f aca="false">'1. Raw Data'!F1019</f>
        <v>4.1</v>
      </c>
      <c r="G1020" s="3" t="n">
        <f aca="false">IF('1. Raw Data'!G1019="",ROUND(IFERROR(AVERAGEIFS('1. Raw Data'!G2:G1201,'1. Raw Data'!C2:C1201,'1. Raw Data'!C1019,'1. Raw Data'!D2:D1201,'1. Raw Data'!D1019),0),2),'1. Raw Data'!G1019)</f>
        <v>4135.54</v>
      </c>
      <c r="H1020" s="3" t="str">
        <f aca="false">PROPER('1. Raw Data'!H1019)</f>
        <v>No</v>
      </c>
      <c r="I1020" s="3" t="n">
        <f aca="false">'1. Raw Data'!I1019</f>
        <v>3</v>
      </c>
      <c r="J1020" s="3" t="n">
        <f aca="false">'1. Raw Data'!J1019</f>
        <v>3</v>
      </c>
      <c r="K1020" s="3" t="n">
        <f aca="false">'1. Raw Data'!K1019</f>
        <v>1</v>
      </c>
      <c r="L1020" s="3" t="n">
        <f aca="false">'1. Raw Data'!L1019</f>
        <v>2</v>
      </c>
      <c r="M1020" s="3" t="n">
        <f aca="false">'1. Raw Data'!M1019</f>
        <v>4</v>
      </c>
      <c r="N1020" s="3" t="str">
        <f aca="false">'1. Raw Data'!N1019</f>
        <v>No</v>
      </c>
    </row>
    <row r="1021" customFormat="false" ht="15" hidden="false" customHeight="false" outlineLevel="0" collapsed="false">
      <c r="A1021" s="3" t="str">
        <f aca="false">'1. Raw Data'!A1020</f>
        <v>EMP-1019</v>
      </c>
      <c r="B1021" s="3" t="n">
        <f aca="false">'1. Raw Data'!B1020</f>
        <v>35</v>
      </c>
      <c r="C1021" s="3" t="str">
        <f aca="false">'1. Raw Data'!C1020</f>
        <v>Engineering</v>
      </c>
      <c r="D1021" s="3" t="str">
        <f aca="false">'1. Raw Data'!D1020</f>
        <v>Junior</v>
      </c>
      <c r="E1021" s="3" t="str">
        <f aca="false">'1. Raw Data'!E1020</f>
        <v>Marketing</v>
      </c>
      <c r="F1021" s="3" t="n">
        <f aca="false">'1. Raw Data'!F1020</f>
        <v>9.8</v>
      </c>
      <c r="G1021" s="3" t="n">
        <f aca="false">IF('1. Raw Data'!G1020="",ROUND(IFERROR(AVERAGEIFS('1. Raw Data'!G2:G1201,'1. Raw Data'!C2:C1201,'1. Raw Data'!C1020,'1. Raw Data'!D2:D1201,'1. Raw Data'!D1020),0),2),'1. Raw Data'!G1020)</f>
        <v>2891.46</v>
      </c>
      <c r="H1021" s="3" t="str">
        <f aca="false">PROPER('1. Raw Data'!H1020)</f>
        <v>No</v>
      </c>
      <c r="I1021" s="3" t="n">
        <f aca="false">'1. Raw Data'!I1020</f>
        <v>4</v>
      </c>
      <c r="J1021" s="3" t="n">
        <f aca="false">'1. Raw Data'!J1020</f>
        <v>4</v>
      </c>
      <c r="K1021" s="3" t="n">
        <f aca="false">'1. Raw Data'!K1020</f>
        <v>1</v>
      </c>
      <c r="L1021" s="3" t="n">
        <f aca="false">'1. Raw Data'!L1020</f>
        <v>3</v>
      </c>
      <c r="M1021" s="3" t="n">
        <f aca="false">'1. Raw Data'!M1020</f>
        <v>2</v>
      </c>
      <c r="N1021" s="3" t="str">
        <f aca="false">'1. Raw Data'!N1020</f>
        <v>No</v>
      </c>
    </row>
    <row r="1022" customFormat="false" ht="15" hidden="false" customHeight="false" outlineLevel="0" collapsed="false">
      <c r="A1022" s="3" t="str">
        <f aca="false">'1. Raw Data'!A1021</f>
        <v>EMP-1020</v>
      </c>
      <c r="B1022" s="3" t="n">
        <f aca="false">'1. Raw Data'!B1021</f>
        <v>30</v>
      </c>
      <c r="C1022" s="3" t="str">
        <f aca="false">'1. Raw Data'!C1021</f>
        <v>Customer Support</v>
      </c>
      <c r="D1022" s="3" t="str">
        <f aca="false">'1. Raw Data'!D1021</f>
        <v>Mid</v>
      </c>
      <c r="E1022" s="3" t="str">
        <f aca="false">'1. Raw Data'!E1021</f>
        <v>Marketing</v>
      </c>
      <c r="F1022" s="3" t="n">
        <f aca="false">'1. Raw Data'!F1021</f>
        <v>1.2</v>
      </c>
      <c r="G1022" s="3" t="n">
        <f aca="false">IF('1. Raw Data'!G1021="",ROUND(IFERROR(AVERAGEIFS('1. Raw Data'!G2:G1201,'1. Raw Data'!C2:C1201,'1. Raw Data'!C1021,'1. Raw Data'!D2:D1201,'1. Raw Data'!D1021),0),2),'1. Raw Data'!G1021)</f>
        <v>4394.39</v>
      </c>
      <c r="H1022" s="3" t="str">
        <f aca="false">PROPER('1. Raw Data'!H1021)</f>
        <v>Yes</v>
      </c>
      <c r="I1022" s="3" t="n">
        <f aca="false">'1. Raw Data'!I1021</f>
        <v>3</v>
      </c>
      <c r="J1022" s="3" t="n">
        <f aca="false">'1. Raw Data'!J1021</f>
        <v>4</v>
      </c>
      <c r="K1022" s="3" t="n">
        <f aca="false">'1. Raw Data'!K1021</f>
        <v>3</v>
      </c>
      <c r="L1022" s="3" t="n">
        <f aca="false">'1. Raw Data'!L1021</f>
        <v>0</v>
      </c>
      <c r="M1022" s="3" t="n">
        <f aca="false">'1. Raw Data'!M1021</f>
        <v>3</v>
      </c>
      <c r="N1022" s="3" t="str">
        <f aca="false">'1. Raw Data'!N1021</f>
        <v>No</v>
      </c>
    </row>
    <row r="1023" customFormat="false" ht="15" hidden="false" customHeight="false" outlineLevel="0" collapsed="false">
      <c r="A1023" s="3" t="str">
        <f aca="false">'1. Raw Data'!A1022</f>
        <v>EMP-1021</v>
      </c>
      <c r="B1023" s="3" t="n">
        <f aca="false">'1. Raw Data'!B1022</f>
        <v>33</v>
      </c>
      <c r="C1023" s="3" t="str">
        <f aca="false">'1. Raw Data'!C1022</f>
        <v>Sales</v>
      </c>
      <c r="D1023" s="3" t="str">
        <f aca="false">'1. Raw Data'!D1022</f>
        <v>Senior</v>
      </c>
      <c r="E1023" s="3" t="str">
        <f aca="false">'1. Raw Data'!E1022</f>
        <v>Technical</v>
      </c>
      <c r="F1023" s="3" t="n">
        <f aca="false">'1. Raw Data'!F1022</f>
        <v>1.7</v>
      </c>
      <c r="G1023" s="3" t="n">
        <f aca="false">IF('1. Raw Data'!G1022="",ROUND(IFERROR(AVERAGEIFS('1. Raw Data'!G2:G1201,'1. Raw Data'!C2:C1201,'1. Raw Data'!C1022,'1. Raw Data'!D2:D1201,'1. Raw Data'!D1022),0),2),'1. Raw Data'!G1022)</f>
        <v>8560.63</v>
      </c>
      <c r="H1023" s="3" t="str">
        <f aca="false">PROPER('1. Raw Data'!H1022)</f>
        <v>No</v>
      </c>
      <c r="I1023" s="3" t="n">
        <f aca="false">'1. Raw Data'!I1022</f>
        <v>2</v>
      </c>
      <c r="J1023" s="3" t="n">
        <f aca="false">'1. Raw Data'!J1022</f>
        <v>3</v>
      </c>
      <c r="K1023" s="3" t="n">
        <f aca="false">'1. Raw Data'!K1022</f>
        <v>1</v>
      </c>
      <c r="L1023" s="3" t="n">
        <f aca="false">'1. Raw Data'!L1022</f>
        <v>1</v>
      </c>
      <c r="M1023" s="3" t="n">
        <f aca="false">'1. Raw Data'!M1022</f>
        <v>0</v>
      </c>
      <c r="N1023" s="3" t="str">
        <f aca="false">'1. Raw Data'!N1022</f>
        <v>No</v>
      </c>
    </row>
    <row r="1024" customFormat="false" ht="15" hidden="false" customHeight="false" outlineLevel="0" collapsed="false">
      <c r="A1024" s="3" t="str">
        <f aca="false">'1. Raw Data'!A1023</f>
        <v>EMP-1022</v>
      </c>
      <c r="B1024" s="3" t="n">
        <f aca="false">'1. Raw Data'!B1023</f>
        <v>48</v>
      </c>
      <c r="C1024" s="3" t="str">
        <f aca="false">'1. Raw Data'!C1023</f>
        <v>Marketing</v>
      </c>
      <c r="D1024" s="3" t="str">
        <f aca="false">'1. Raw Data'!D1023</f>
        <v>Senior</v>
      </c>
      <c r="E1024" s="3" t="str">
        <f aca="false">'1. Raw Data'!E1023</f>
        <v>Marketing</v>
      </c>
      <c r="F1024" s="3" t="n">
        <f aca="false">'1. Raw Data'!F1023</f>
        <v>1.9</v>
      </c>
      <c r="G1024" s="3" t="n">
        <f aca="false">IF('1. Raw Data'!G1023="",ROUND(IFERROR(AVERAGEIFS('1. Raw Data'!G2:G1201,'1. Raw Data'!C2:C1201,'1. Raw Data'!C1023,'1. Raw Data'!D2:D1201,'1. Raw Data'!D1023),0),2),'1. Raw Data'!G1023)</f>
        <v>6621.19</v>
      </c>
      <c r="H1024" s="3" t="str">
        <f aca="false">PROPER('1. Raw Data'!H1023)</f>
        <v>No</v>
      </c>
      <c r="I1024" s="3" t="n">
        <f aca="false">'1. Raw Data'!I1023</f>
        <v>3</v>
      </c>
      <c r="J1024" s="3" t="n">
        <f aca="false">'1. Raw Data'!J1023</f>
        <v>4</v>
      </c>
      <c r="K1024" s="3" t="n">
        <f aca="false">'1. Raw Data'!K1023</f>
        <v>8</v>
      </c>
      <c r="L1024" s="3" t="n">
        <f aca="false">'1. Raw Data'!L1023</f>
        <v>1</v>
      </c>
      <c r="M1024" s="3" t="n">
        <f aca="false">'1. Raw Data'!M1023</f>
        <v>2</v>
      </c>
      <c r="N1024" s="3" t="str">
        <f aca="false">'1. Raw Data'!N1023</f>
        <v>No</v>
      </c>
    </row>
    <row r="1025" customFormat="false" ht="15" hidden="false" customHeight="false" outlineLevel="0" collapsed="false">
      <c r="A1025" s="3" t="str">
        <f aca="false">'1. Raw Data'!A1024</f>
        <v>EMP-1023</v>
      </c>
      <c r="B1025" s="3" t="n">
        <f aca="false">'1. Raw Data'!B1024</f>
        <v>25</v>
      </c>
      <c r="C1025" s="3" t="str">
        <f aca="false">'1. Raw Data'!C1024</f>
        <v>Marketing</v>
      </c>
      <c r="D1025" s="3" t="str">
        <f aca="false">'1. Raw Data'!D1024</f>
        <v>Mid</v>
      </c>
      <c r="E1025" s="3" t="str">
        <f aca="false">'1. Raw Data'!E1024</f>
        <v>Marketing</v>
      </c>
      <c r="F1025" s="3" t="n">
        <f aca="false">'1. Raw Data'!F1024</f>
        <v>4</v>
      </c>
      <c r="G1025" s="3" t="n">
        <f aca="false">IF('1. Raw Data'!G1024="",ROUND(IFERROR(AVERAGEIFS('1. Raw Data'!G2:G1201,'1. Raw Data'!C2:C1201,'1. Raw Data'!C1024,'1. Raw Data'!D2:D1201,'1. Raw Data'!D1024),0),2),'1. Raw Data'!G1024)</f>
        <v>4665.41</v>
      </c>
      <c r="H1025" s="3" t="str">
        <f aca="false">PROPER('1. Raw Data'!H1024)</f>
        <v>No</v>
      </c>
      <c r="I1025" s="3" t="n">
        <f aca="false">'1. Raw Data'!I1024</f>
        <v>2</v>
      </c>
      <c r="J1025" s="3" t="n">
        <f aca="false">'1. Raw Data'!J1024</f>
        <v>3</v>
      </c>
      <c r="K1025" s="3" t="n">
        <f aca="false">'1. Raw Data'!K1024</f>
        <v>1</v>
      </c>
      <c r="L1025" s="3" t="n">
        <f aca="false">'1. Raw Data'!L1024</f>
        <v>0</v>
      </c>
      <c r="M1025" s="3" t="n">
        <f aca="false">'1. Raw Data'!M1024</f>
        <v>1</v>
      </c>
      <c r="N1025" s="3" t="str">
        <f aca="false">'1. Raw Data'!N1024</f>
        <v>No</v>
      </c>
    </row>
    <row r="1026" customFormat="false" ht="15" hidden="false" customHeight="false" outlineLevel="0" collapsed="false">
      <c r="A1026" s="3" t="str">
        <f aca="false">'1. Raw Data'!A1025</f>
        <v>EMP-1024</v>
      </c>
      <c r="B1026" s="3" t="n">
        <f aca="false">'1. Raw Data'!B1025</f>
        <v>37</v>
      </c>
      <c r="C1026" s="3" t="str">
        <f aca="false">'1. Raw Data'!C1025</f>
        <v>Customer Support</v>
      </c>
      <c r="D1026" s="3" t="str">
        <f aca="false">'1. Raw Data'!D1025</f>
        <v>Mid</v>
      </c>
      <c r="E1026" s="3" t="str">
        <f aca="false">'1. Raw Data'!E1025</f>
        <v>Technical</v>
      </c>
      <c r="F1026" s="3" t="n">
        <f aca="false">'1. Raw Data'!F1025</f>
        <v>5.9</v>
      </c>
      <c r="G1026" s="3" t="n">
        <f aca="false">IF('1. Raw Data'!G1025="",ROUND(IFERROR(AVERAGEIFS('1. Raw Data'!G2:G1201,'1. Raw Data'!C2:C1201,'1. Raw Data'!C1025,'1. Raw Data'!D2:D1201,'1. Raw Data'!D1025),0),2),'1. Raw Data'!G1025)</f>
        <v>4585.86</v>
      </c>
      <c r="H1026" s="3" t="str">
        <f aca="false">PROPER('1. Raw Data'!H1025)</f>
        <v>Yes</v>
      </c>
      <c r="I1026" s="3" t="n">
        <f aca="false">'1. Raw Data'!I1025</f>
        <v>4</v>
      </c>
      <c r="J1026" s="3" t="n">
        <f aca="false">'1. Raw Data'!J1025</f>
        <v>3</v>
      </c>
      <c r="K1026" s="3" t="n">
        <f aca="false">'1. Raw Data'!K1025</f>
        <v>2</v>
      </c>
      <c r="L1026" s="3" t="n">
        <f aca="false">'1. Raw Data'!L1025</f>
        <v>1</v>
      </c>
      <c r="M1026" s="3" t="n">
        <f aca="false">'1. Raw Data'!M1025</f>
        <v>3</v>
      </c>
      <c r="N1026" s="3" t="str">
        <f aca="false">'1. Raw Data'!N1025</f>
        <v>No</v>
      </c>
    </row>
    <row r="1027" customFormat="false" ht="15" hidden="false" customHeight="false" outlineLevel="0" collapsed="false">
      <c r="A1027" s="3" t="str">
        <f aca="false">'1. Raw Data'!A1026</f>
        <v>EMP-1025</v>
      </c>
      <c r="B1027" s="3" t="n">
        <f aca="false">'1. Raw Data'!B1026</f>
        <v>21</v>
      </c>
      <c r="C1027" s="3" t="str">
        <f aca="false">'1. Raw Data'!C1026</f>
        <v>Marketing</v>
      </c>
      <c r="D1027" s="3" t="str">
        <f aca="false">'1. Raw Data'!D1026</f>
        <v>Junior</v>
      </c>
      <c r="E1027" s="3" t="str">
        <f aca="false">'1. Raw Data'!E1026</f>
        <v>Marketing</v>
      </c>
      <c r="F1027" s="3" t="n">
        <f aca="false">'1. Raw Data'!F1026</f>
        <v>0</v>
      </c>
      <c r="G1027" s="3" t="n">
        <f aca="false">IF('1. Raw Data'!G1026="",ROUND(IFERROR(AVERAGEIFS('1. Raw Data'!G2:G1201,'1. Raw Data'!C2:C1201,'1. Raw Data'!C1026,'1. Raw Data'!D2:D1201,'1. Raw Data'!D1026),0),2),'1. Raw Data'!G1026)</f>
        <v>3395.35</v>
      </c>
      <c r="H1027" s="3" t="str">
        <f aca="false">PROPER('1. Raw Data'!H1026)</f>
        <v>No</v>
      </c>
      <c r="I1027" s="3" t="n">
        <f aca="false">'1. Raw Data'!I1026</f>
        <v>3</v>
      </c>
      <c r="J1027" s="3" t="n">
        <f aca="false">'1. Raw Data'!J1026</f>
        <v>3</v>
      </c>
      <c r="K1027" s="3" t="n">
        <f aca="false">'1. Raw Data'!K1026</f>
        <v>18</v>
      </c>
      <c r="L1027" s="3" t="n">
        <f aca="false">'1. Raw Data'!L1026</f>
        <v>0</v>
      </c>
      <c r="M1027" s="3" t="n">
        <f aca="false">'1. Raw Data'!M1026</f>
        <v>3</v>
      </c>
      <c r="N1027" s="3" t="str">
        <f aca="false">'1. Raw Data'!N1026</f>
        <v>No</v>
      </c>
    </row>
    <row r="1028" customFormat="false" ht="15" hidden="false" customHeight="false" outlineLevel="0" collapsed="false">
      <c r="A1028" s="3" t="str">
        <f aca="false">'1. Raw Data'!A1027</f>
        <v>EMP-1026</v>
      </c>
      <c r="B1028" s="3" t="n">
        <f aca="false">'1. Raw Data'!B1027</f>
        <v>36</v>
      </c>
      <c r="C1028" s="3" t="str">
        <f aca="false">'1. Raw Data'!C1027</f>
        <v>Customer Support</v>
      </c>
      <c r="D1028" s="3" t="str">
        <f aca="false">'1. Raw Data'!D1027</f>
        <v>Mid</v>
      </c>
      <c r="E1028" s="3" t="str">
        <f aca="false">'1. Raw Data'!E1027</f>
        <v>Marketing</v>
      </c>
      <c r="F1028" s="3" t="n">
        <f aca="false">'1. Raw Data'!F1027</f>
        <v>5.2</v>
      </c>
      <c r="G1028" s="3" t="n">
        <f aca="false">IF('1. Raw Data'!G1027="",ROUND(IFERROR(AVERAGEIFS('1. Raw Data'!G2:G1201,'1. Raw Data'!C2:C1201,'1. Raw Data'!C1027,'1. Raw Data'!D2:D1201,'1. Raw Data'!D1027),0),2),'1. Raw Data'!G1027)</f>
        <v>5179.22</v>
      </c>
      <c r="H1028" s="3" t="str">
        <f aca="false">PROPER('1. Raw Data'!H1027)</f>
        <v>No</v>
      </c>
      <c r="I1028" s="3" t="n">
        <f aca="false">'1. Raw Data'!I1027</f>
        <v>1</v>
      </c>
      <c r="J1028" s="3" t="n">
        <f aca="false">'1. Raw Data'!J1027</f>
        <v>3</v>
      </c>
      <c r="K1028" s="3" t="n">
        <f aca="false">'1. Raw Data'!K1027</f>
        <v>2</v>
      </c>
      <c r="L1028" s="3" t="n">
        <f aca="false">'1. Raw Data'!L1027</f>
        <v>1</v>
      </c>
      <c r="M1028" s="3" t="n">
        <f aca="false">'1. Raw Data'!M1027</f>
        <v>1</v>
      </c>
      <c r="N1028" s="3" t="str">
        <f aca="false">'1. Raw Data'!N1027</f>
        <v>Yes</v>
      </c>
    </row>
    <row r="1029" customFormat="false" ht="15" hidden="false" customHeight="false" outlineLevel="0" collapsed="false">
      <c r="A1029" s="3" t="str">
        <f aca="false">'1. Raw Data'!A1028</f>
        <v>EMP-1027</v>
      </c>
      <c r="B1029" s="3" t="n">
        <f aca="false">'1. Raw Data'!B1028</f>
        <v>29</v>
      </c>
      <c r="C1029" s="3" t="str">
        <f aca="false">'1. Raw Data'!C1028</f>
        <v>Sales</v>
      </c>
      <c r="D1029" s="3" t="str">
        <f aca="false">'1. Raw Data'!D1028</f>
        <v>Junior</v>
      </c>
      <c r="E1029" s="3" t="str">
        <f aca="false">'1. Raw Data'!E1028</f>
        <v>Other</v>
      </c>
      <c r="F1029" s="3" t="n">
        <f aca="false">'1. Raw Data'!F1028</f>
        <v>1.7</v>
      </c>
      <c r="G1029" s="3" t="n">
        <f aca="false">IF('1. Raw Data'!G1028="",ROUND(IFERROR(AVERAGEIFS('1. Raw Data'!G2:G1201,'1. Raw Data'!C2:C1201,'1. Raw Data'!C1028,'1. Raw Data'!D2:D1201,'1. Raw Data'!D1028),0),2),'1. Raw Data'!G1028)</f>
        <v>3425.11</v>
      </c>
      <c r="H1029" s="3" t="str">
        <f aca="false">PROPER('1. Raw Data'!H1028)</f>
        <v>No</v>
      </c>
      <c r="I1029" s="3" t="n">
        <f aca="false">'1. Raw Data'!I1028</f>
        <v>2</v>
      </c>
      <c r="J1029" s="3" t="n">
        <f aca="false">'1. Raw Data'!J1028</f>
        <v>2</v>
      </c>
      <c r="K1029" s="3" t="n">
        <f aca="false">'1. Raw Data'!K1028</f>
        <v>14</v>
      </c>
      <c r="L1029" s="3" t="n">
        <f aca="false">'1. Raw Data'!L1028</f>
        <v>1</v>
      </c>
      <c r="M1029" s="3" t="n">
        <f aca="false">'1. Raw Data'!M1028</f>
        <v>2</v>
      </c>
      <c r="N1029" s="3" t="str">
        <f aca="false">'1. Raw Data'!N1028</f>
        <v>Yes</v>
      </c>
    </row>
    <row r="1030" customFormat="false" ht="15" hidden="false" customHeight="false" outlineLevel="0" collapsed="false">
      <c r="A1030" s="3" t="str">
        <f aca="false">'1. Raw Data'!A1029</f>
        <v>EMP-1028</v>
      </c>
      <c r="B1030" s="3" t="n">
        <f aca="false">'1. Raw Data'!B1029</f>
        <v>54</v>
      </c>
      <c r="C1030" s="3" t="str">
        <f aca="false">'1. Raw Data'!C1029</f>
        <v>Sales</v>
      </c>
      <c r="D1030" s="3" t="str">
        <f aca="false">'1. Raw Data'!D1029</f>
        <v>Lead</v>
      </c>
      <c r="E1030" s="3" t="str">
        <f aca="false">'1. Raw Data'!E1029</f>
        <v>Business</v>
      </c>
      <c r="F1030" s="3" t="n">
        <f aca="false">'1. Raw Data'!F1029</f>
        <v>2.4</v>
      </c>
      <c r="G1030" s="3" t="n">
        <f aca="false">IF('1. Raw Data'!G1029="",ROUND(IFERROR(AVERAGEIFS('1. Raw Data'!G2:G1201,'1. Raw Data'!C2:C1201,'1. Raw Data'!C1029,'1. Raw Data'!D2:D1201,'1. Raw Data'!D1029),0),2),'1. Raw Data'!G1029)</f>
        <v>9756.26</v>
      </c>
      <c r="H1030" s="3" t="str">
        <f aca="false">PROPER('1. Raw Data'!H1029)</f>
        <v>No</v>
      </c>
      <c r="I1030" s="3" t="n">
        <f aca="false">'1. Raw Data'!I1029</f>
        <v>4</v>
      </c>
      <c r="J1030" s="3" t="n">
        <f aca="false">'1. Raw Data'!J1029</f>
        <v>4</v>
      </c>
      <c r="K1030" s="3" t="n">
        <f aca="false">'1. Raw Data'!K1029</f>
        <v>2</v>
      </c>
      <c r="L1030" s="3" t="n">
        <f aca="false">'1. Raw Data'!L1029</f>
        <v>0</v>
      </c>
      <c r="M1030" s="3" t="n">
        <f aca="false">'1. Raw Data'!M1029</f>
        <v>1</v>
      </c>
      <c r="N1030" s="3" t="str">
        <f aca="false">'1. Raw Data'!N1029</f>
        <v>No</v>
      </c>
    </row>
    <row r="1031" customFormat="false" ht="15" hidden="false" customHeight="false" outlineLevel="0" collapsed="false">
      <c r="A1031" s="3" t="str">
        <f aca="false">'1. Raw Data'!A1030</f>
        <v>EMP-1029</v>
      </c>
      <c r="B1031" s="3" t="n">
        <f aca="false">'1. Raw Data'!B1030</f>
        <v>34</v>
      </c>
      <c r="C1031" s="3" t="str">
        <f aca="false">'1. Raw Data'!C1030</f>
        <v>Engineering</v>
      </c>
      <c r="D1031" s="3" t="str">
        <f aca="false">'1. Raw Data'!D1030</f>
        <v>Mid</v>
      </c>
      <c r="E1031" s="3" t="str">
        <f aca="false">'1. Raw Data'!E1030</f>
        <v>Other</v>
      </c>
      <c r="F1031" s="3" t="n">
        <f aca="false">'1. Raw Data'!F1030</f>
        <v>10.4</v>
      </c>
      <c r="G1031" s="3" t="n">
        <f aca="false">IF('1. Raw Data'!G1030="",ROUND(IFERROR(AVERAGEIFS('1. Raw Data'!G2:G1201,'1. Raw Data'!C2:C1201,'1. Raw Data'!C1030,'1. Raw Data'!D2:D1201,'1. Raw Data'!D1030),0),2),'1. Raw Data'!G1030)</f>
        <v>4939.46</v>
      </c>
      <c r="H1031" s="3" t="str">
        <f aca="false">PROPER('1. Raw Data'!H1030)</f>
        <v>No</v>
      </c>
      <c r="I1031" s="3" t="n">
        <f aca="false">'1. Raw Data'!I1030</f>
        <v>4</v>
      </c>
      <c r="J1031" s="3" t="n">
        <f aca="false">'1. Raw Data'!J1030</f>
        <v>2</v>
      </c>
      <c r="K1031" s="3" t="n">
        <f aca="false">'1. Raw Data'!K1030</f>
        <v>4</v>
      </c>
      <c r="L1031" s="3" t="n">
        <f aca="false">'1. Raw Data'!L1030</f>
        <v>9</v>
      </c>
      <c r="M1031" s="3" t="n">
        <f aca="false">'1. Raw Data'!M1030</f>
        <v>1</v>
      </c>
      <c r="N1031" s="3" t="str">
        <f aca="false">'1. Raw Data'!N1030</f>
        <v>Yes</v>
      </c>
    </row>
    <row r="1032" customFormat="false" ht="15" hidden="false" customHeight="false" outlineLevel="0" collapsed="false">
      <c r="A1032" s="3" t="str">
        <f aca="false">'1. Raw Data'!A1031</f>
        <v>EMP-1030</v>
      </c>
      <c r="B1032" s="3" t="n">
        <f aca="false">'1. Raw Data'!B1031</f>
        <v>24</v>
      </c>
      <c r="C1032" s="3" t="str">
        <f aca="false">'1. Raw Data'!C1031</f>
        <v>Sales</v>
      </c>
      <c r="D1032" s="3" t="str">
        <f aca="false">'1. Raw Data'!D1031</f>
        <v>Junior</v>
      </c>
      <c r="E1032" s="3" t="str">
        <f aca="false">'1. Raw Data'!E1031</f>
        <v>Marketing</v>
      </c>
      <c r="F1032" s="3" t="n">
        <f aca="false">'1. Raw Data'!F1031</f>
        <v>3</v>
      </c>
      <c r="G1032" s="3" t="n">
        <f aca="false">IF('1. Raw Data'!G1031="",ROUND(IFERROR(AVERAGEIFS('1. Raw Data'!G2:G1201,'1. Raw Data'!C2:C1201,'1. Raw Data'!C1031,'1. Raw Data'!D2:D1201,'1. Raw Data'!D1031),0),2),'1. Raw Data'!G1031)</f>
        <v>2745.09</v>
      </c>
      <c r="H1032" s="3" t="str">
        <f aca="false">PROPER('1. Raw Data'!H1031)</f>
        <v>No</v>
      </c>
      <c r="I1032" s="3" t="n">
        <f aca="false">'1. Raw Data'!I1031</f>
        <v>1</v>
      </c>
      <c r="J1032" s="3" t="n">
        <f aca="false">'1. Raw Data'!J1031</f>
        <v>3</v>
      </c>
      <c r="K1032" s="3" t="n">
        <f aca="false">'1. Raw Data'!K1031</f>
        <v>25</v>
      </c>
      <c r="L1032" s="3" t="n">
        <f aca="false">'1. Raw Data'!L1031</f>
        <v>3</v>
      </c>
      <c r="M1032" s="3" t="n">
        <f aca="false">'1. Raw Data'!M1031</f>
        <v>3</v>
      </c>
      <c r="N1032" s="3" t="str">
        <f aca="false">'1. Raw Data'!N1031</f>
        <v>No</v>
      </c>
    </row>
    <row r="1033" customFormat="false" ht="15" hidden="false" customHeight="false" outlineLevel="0" collapsed="false">
      <c r="A1033" s="3" t="str">
        <f aca="false">'1. Raw Data'!A1032</f>
        <v>EMP-1031</v>
      </c>
      <c r="B1033" s="3" t="n">
        <f aca="false">'1. Raw Data'!B1032</f>
        <v>24</v>
      </c>
      <c r="C1033" s="3" t="str">
        <f aca="false">'1. Raw Data'!C1032</f>
        <v>Engineering</v>
      </c>
      <c r="D1033" s="3" t="str">
        <f aca="false">'1. Raw Data'!D1032</f>
        <v>Mid</v>
      </c>
      <c r="E1033" s="3" t="str">
        <f aca="false">'1. Raw Data'!E1032</f>
        <v>Marketing</v>
      </c>
      <c r="F1033" s="3" t="n">
        <f aca="false">'1. Raw Data'!F1032</f>
        <v>0.2</v>
      </c>
      <c r="G1033" s="3" t="n">
        <f aca="false">IF('1. Raw Data'!G1032="",ROUND(IFERROR(AVERAGEIFS('1. Raw Data'!G2:G1201,'1. Raw Data'!C2:C1201,'1. Raw Data'!C1032,'1. Raw Data'!D2:D1201,'1. Raw Data'!D1032),0),2),'1. Raw Data'!G1032)</f>
        <v>4274.08</v>
      </c>
      <c r="H1033" s="3" t="str">
        <f aca="false">PROPER('1. Raw Data'!H1032)</f>
        <v>No</v>
      </c>
      <c r="I1033" s="3" t="n">
        <f aca="false">'1. Raw Data'!I1032</f>
        <v>2</v>
      </c>
      <c r="J1033" s="3" t="n">
        <f aca="false">'1. Raw Data'!J1032</f>
        <v>4</v>
      </c>
      <c r="K1033" s="3" t="n">
        <f aca="false">'1. Raw Data'!K1032</f>
        <v>2</v>
      </c>
      <c r="L1033" s="3" t="n">
        <f aca="false">'1. Raw Data'!L1032</f>
        <v>0</v>
      </c>
      <c r="M1033" s="3" t="n">
        <f aca="false">'1. Raw Data'!M1032</f>
        <v>4</v>
      </c>
      <c r="N1033" s="3" t="str">
        <f aca="false">'1. Raw Data'!N1032</f>
        <v>No</v>
      </c>
    </row>
    <row r="1034" customFormat="false" ht="15" hidden="false" customHeight="false" outlineLevel="0" collapsed="false">
      <c r="A1034" s="3" t="str">
        <f aca="false">'1. Raw Data'!A1033</f>
        <v>EMP-1032</v>
      </c>
      <c r="B1034" s="3" t="n">
        <f aca="false">'1. Raw Data'!B1033</f>
        <v>21</v>
      </c>
      <c r="C1034" s="3" t="str">
        <f aca="false">'1. Raw Data'!C1033</f>
        <v>Engineering</v>
      </c>
      <c r="D1034" s="3" t="str">
        <f aca="false">'1. Raw Data'!D1033</f>
        <v>Junior</v>
      </c>
      <c r="E1034" s="3" t="str">
        <f aca="false">'1. Raw Data'!E1033</f>
        <v>Other</v>
      </c>
      <c r="F1034" s="3" t="n">
        <f aca="false">'1. Raw Data'!F1033</f>
        <v>0</v>
      </c>
      <c r="G1034" s="3" t="n">
        <f aca="false">IF('1. Raw Data'!G1033="",ROUND(IFERROR(AVERAGEIFS('1. Raw Data'!G2:G1201,'1. Raw Data'!C2:C1201,'1. Raw Data'!C1033,'1. Raw Data'!D2:D1201,'1. Raw Data'!D1033),0),2),'1. Raw Data'!G1033)</f>
        <v>3678.65</v>
      </c>
      <c r="H1034" s="3" t="str">
        <f aca="false">PROPER('1. Raw Data'!H1033)</f>
        <v>No</v>
      </c>
      <c r="I1034" s="3" t="n">
        <f aca="false">'1. Raw Data'!I1033</f>
        <v>3</v>
      </c>
      <c r="J1034" s="3" t="n">
        <f aca="false">'1. Raw Data'!J1033</f>
        <v>4</v>
      </c>
      <c r="K1034" s="3" t="n">
        <f aca="false">'1. Raw Data'!K1033</f>
        <v>12</v>
      </c>
      <c r="L1034" s="3" t="n">
        <f aca="false">'1. Raw Data'!L1033</f>
        <v>0</v>
      </c>
      <c r="M1034" s="3" t="n">
        <f aca="false">'1. Raw Data'!M1033</f>
        <v>2</v>
      </c>
      <c r="N1034" s="3" t="str">
        <f aca="false">'1. Raw Data'!N1033</f>
        <v>Yes</v>
      </c>
    </row>
    <row r="1035" customFormat="false" ht="15" hidden="false" customHeight="false" outlineLevel="0" collapsed="false">
      <c r="A1035" s="3" t="str">
        <f aca="false">'1. Raw Data'!A1034</f>
        <v>EMP-1033</v>
      </c>
      <c r="B1035" s="3" t="n">
        <f aca="false">'1. Raw Data'!B1034</f>
        <v>37</v>
      </c>
      <c r="C1035" s="3" t="str">
        <f aca="false">'1. Raw Data'!C1034</f>
        <v>Engineering</v>
      </c>
      <c r="D1035" s="3" t="str">
        <f aca="false">'1. Raw Data'!D1034</f>
        <v>Mid</v>
      </c>
      <c r="E1035" s="3" t="str">
        <f aca="false">'1. Raw Data'!E1034</f>
        <v>Business</v>
      </c>
      <c r="F1035" s="3" t="n">
        <f aca="false">'1. Raw Data'!F1034</f>
        <v>0.4</v>
      </c>
      <c r="G1035" s="3" t="n">
        <f aca="false">IF('1. Raw Data'!G1034="",ROUND(IFERROR(AVERAGEIFS('1. Raw Data'!G2:G1201,'1. Raw Data'!C2:C1201,'1. Raw Data'!C1034,'1. Raw Data'!D2:D1201,'1. Raw Data'!D1034),0),2),'1. Raw Data'!G1034)</f>
        <v>4592.46</v>
      </c>
      <c r="H1035" s="3" t="str">
        <f aca="false">PROPER('1. Raw Data'!H1034)</f>
        <v>No</v>
      </c>
      <c r="I1035" s="3" t="n">
        <f aca="false">'1. Raw Data'!I1034</f>
        <v>1</v>
      </c>
      <c r="J1035" s="3" t="n">
        <f aca="false">'1. Raw Data'!J1034</f>
        <v>3</v>
      </c>
      <c r="K1035" s="3" t="n">
        <f aca="false">'1. Raw Data'!K1034</f>
        <v>3</v>
      </c>
      <c r="L1035" s="3" t="n">
        <f aca="false">'1. Raw Data'!L1034</f>
        <v>0</v>
      </c>
      <c r="M1035" s="3" t="n">
        <f aca="false">'1. Raw Data'!M1034</f>
        <v>3</v>
      </c>
      <c r="N1035" s="3" t="str">
        <f aca="false">'1. Raw Data'!N1034</f>
        <v>No</v>
      </c>
    </row>
    <row r="1036" customFormat="false" ht="15" hidden="false" customHeight="false" outlineLevel="0" collapsed="false">
      <c r="A1036" s="3" t="str">
        <f aca="false">'1. Raw Data'!A1035</f>
        <v>EMP-1034</v>
      </c>
      <c r="B1036" s="3" t="n">
        <f aca="false">'1. Raw Data'!B1035</f>
        <v>36</v>
      </c>
      <c r="C1036" s="3" t="str">
        <f aca="false">'1. Raw Data'!C1035</f>
        <v>Engineering</v>
      </c>
      <c r="D1036" s="3" t="str">
        <f aca="false">'1. Raw Data'!D1035</f>
        <v>Mid</v>
      </c>
      <c r="E1036" s="3" t="str">
        <f aca="false">'1. Raw Data'!E1035</f>
        <v>Technical</v>
      </c>
      <c r="F1036" s="3" t="n">
        <f aca="false">'1. Raw Data'!F1035</f>
        <v>3.3</v>
      </c>
      <c r="G1036" s="3" t="n">
        <f aca="false">IF('1. Raw Data'!G1035="",ROUND(IFERROR(AVERAGEIFS('1. Raw Data'!G2:G1201,'1. Raw Data'!C2:C1201,'1. Raw Data'!C1035,'1. Raw Data'!D2:D1201,'1. Raw Data'!D1035),0),2),'1. Raw Data'!G1035)</f>
        <v>4849.22</v>
      </c>
      <c r="H1036" s="3" t="str">
        <f aca="false">PROPER('1. Raw Data'!H1035)</f>
        <v>No</v>
      </c>
      <c r="I1036" s="3" t="n">
        <f aca="false">'1. Raw Data'!I1035</f>
        <v>2</v>
      </c>
      <c r="J1036" s="3" t="n">
        <f aca="false">'1. Raw Data'!J1035</f>
        <v>2</v>
      </c>
      <c r="K1036" s="3" t="n">
        <f aca="false">'1. Raw Data'!K1035</f>
        <v>12</v>
      </c>
      <c r="L1036" s="3" t="n">
        <f aca="false">'1. Raw Data'!L1035</f>
        <v>0</v>
      </c>
      <c r="M1036" s="3" t="n">
        <f aca="false">'1. Raw Data'!M1035</f>
        <v>2</v>
      </c>
      <c r="N1036" s="3" t="str">
        <f aca="false">'1. Raw Data'!N1035</f>
        <v>Yes</v>
      </c>
    </row>
    <row r="1037" customFormat="false" ht="15" hidden="false" customHeight="false" outlineLevel="0" collapsed="false">
      <c r="A1037" s="3" t="str">
        <f aca="false">'1. Raw Data'!A1036</f>
        <v>EMP-1035</v>
      </c>
      <c r="B1037" s="3" t="n">
        <f aca="false">'1. Raw Data'!B1036</f>
        <v>38</v>
      </c>
      <c r="C1037" s="3" t="str">
        <f aca="false">'1. Raw Data'!C1036</f>
        <v>Finance</v>
      </c>
      <c r="D1037" s="3" t="str">
        <f aca="false">'1. Raw Data'!D1036</f>
        <v>Junior</v>
      </c>
      <c r="E1037" s="3" t="str">
        <f aca="false">'1. Raw Data'!E1036</f>
        <v>Technical</v>
      </c>
      <c r="F1037" s="3" t="n">
        <f aca="false">'1. Raw Data'!F1036</f>
        <v>1</v>
      </c>
      <c r="G1037" s="3" t="n">
        <f aca="false">IF('1. Raw Data'!G1036="",ROUND(IFERROR(AVERAGEIFS('1. Raw Data'!G2:G1201,'1. Raw Data'!C2:C1201,'1. Raw Data'!C1036,'1. Raw Data'!D2:D1201,'1. Raw Data'!D1036),0),2),'1. Raw Data'!G1036)</f>
        <v>3326.44</v>
      </c>
      <c r="H1037" s="3" t="str">
        <f aca="false">PROPER('1. Raw Data'!H1036)</f>
        <v>Yes</v>
      </c>
      <c r="I1037" s="3" t="n">
        <f aca="false">'1. Raw Data'!I1036</f>
        <v>4</v>
      </c>
      <c r="J1037" s="3" t="n">
        <f aca="false">'1. Raw Data'!J1036</f>
        <v>3</v>
      </c>
      <c r="K1037" s="3" t="n">
        <f aca="false">'1. Raw Data'!K1036</f>
        <v>3</v>
      </c>
      <c r="L1037" s="3" t="n">
        <f aca="false">'1. Raw Data'!L1036</f>
        <v>1</v>
      </c>
      <c r="M1037" s="3" t="n">
        <f aca="false">'1. Raw Data'!M1036</f>
        <v>1</v>
      </c>
      <c r="N1037" s="3" t="str">
        <f aca="false">'1. Raw Data'!N1036</f>
        <v>No</v>
      </c>
    </row>
    <row r="1038" customFormat="false" ht="15" hidden="false" customHeight="false" outlineLevel="0" collapsed="false">
      <c r="A1038" s="3" t="str">
        <f aca="false">'1. Raw Data'!A1037</f>
        <v>EMP-1036</v>
      </c>
      <c r="B1038" s="3" t="n">
        <f aca="false">'1. Raw Data'!B1037</f>
        <v>33</v>
      </c>
      <c r="C1038" s="3" t="str">
        <f aca="false">'1. Raw Data'!C1037</f>
        <v>Engineering</v>
      </c>
      <c r="D1038" s="3" t="str">
        <f aca="false">'1. Raw Data'!D1037</f>
        <v>Mid</v>
      </c>
      <c r="E1038" s="3" t="str">
        <f aca="false">'1. Raw Data'!E1037</f>
        <v>Technical</v>
      </c>
      <c r="F1038" s="3" t="n">
        <f aca="false">'1. Raw Data'!F1037</f>
        <v>5.1</v>
      </c>
      <c r="G1038" s="3" t="n">
        <f aca="false">IF('1. Raw Data'!G1037="",ROUND(IFERROR(AVERAGEIFS('1. Raw Data'!G2:G1201,'1. Raw Data'!C2:C1201,'1. Raw Data'!C1037,'1. Raw Data'!D2:D1201,'1. Raw Data'!D1037),0),2),'1. Raw Data'!G1037)</f>
        <v>4160.98</v>
      </c>
      <c r="H1038" s="3" t="str">
        <f aca="false">PROPER('1. Raw Data'!H1037)</f>
        <v>No</v>
      </c>
      <c r="I1038" s="3" t="n">
        <f aca="false">'1. Raw Data'!I1037</f>
        <v>1</v>
      </c>
      <c r="J1038" s="3" t="n">
        <f aca="false">'1. Raw Data'!J1037</f>
        <v>2</v>
      </c>
      <c r="K1038" s="3" t="n">
        <f aca="false">'1. Raw Data'!K1037</f>
        <v>2</v>
      </c>
      <c r="L1038" s="3" t="n">
        <f aca="false">'1. Raw Data'!L1037</f>
        <v>3</v>
      </c>
      <c r="M1038" s="3" t="n">
        <f aca="false">'1. Raw Data'!M1037</f>
        <v>6</v>
      </c>
      <c r="N1038" s="3" t="str">
        <f aca="false">'1. Raw Data'!N1037</f>
        <v>No</v>
      </c>
    </row>
    <row r="1039" customFormat="false" ht="15" hidden="false" customHeight="false" outlineLevel="0" collapsed="false">
      <c r="A1039" s="3" t="str">
        <f aca="false">'1. Raw Data'!A1038</f>
        <v>EMP-1037</v>
      </c>
      <c r="B1039" s="3" t="n">
        <f aca="false">'1. Raw Data'!B1038</f>
        <v>27</v>
      </c>
      <c r="C1039" s="3" t="str">
        <f aca="false">'1. Raw Data'!C1038</f>
        <v>Customer Support</v>
      </c>
      <c r="D1039" s="3" t="str">
        <f aca="false">'1. Raw Data'!D1038</f>
        <v>Mid</v>
      </c>
      <c r="E1039" s="3" t="str">
        <f aca="false">'1. Raw Data'!E1038</f>
        <v>Other</v>
      </c>
      <c r="F1039" s="3" t="n">
        <f aca="false">'1. Raw Data'!F1038</f>
        <v>4.1</v>
      </c>
      <c r="G1039" s="3" t="n">
        <f aca="false">IF('1. Raw Data'!G1038="",ROUND(IFERROR(AVERAGEIFS('1. Raw Data'!G2:G1201,'1. Raw Data'!C2:C1201,'1. Raw Data'!C1038,'1. Raw Data'!D2:D1201,'1. Raw Data'!D1038),0),2),'1. Raw Data'!G1038)</f>
        <v>5497.13</v>
      </c>
      <c r="H1039" s="3" t="str">
        <f aca="false">PROPER('1. Raw Data'!H1038)</f>
        <v>Yes</v>
      </c>
      <c r="I1039" s="3" t="n">
        <f aca="false">'1. Raw Data'!I1038</f>
        <v>2</v>
      </c>
      <c r="J1039" s="3" t="n">
        <f aca="false">'1. Raw Data'!J1038</f>
        <v>4</v>
      </c>
      <c r="K1039" s="3" t="n">
        <f aca="false">'1. Raw Data'!K1038</f>
        <v>15</v>
      </c>
      <c r="L1039" s="3" t="n">
        <f aca="false">'1. Raw Data'!L1038</f>
        <v>0</v>
      </c>
      <c r="M1039" s="3" t="n">
        <f aca="false">'1. Raw Data'!M1038</f>
        <v>3</v>
      </c>
      <c r="N1039" s="3" t="str">
        <f aca="false">'1. Raw Data'!N1038</f>
        <v>No</v>
      </c>
    </row>
    <row r="1040" customFormat="false" ht="15" hidden="false" customHeight="false" outlineLevel="0" collapsed="false">
      <c r="A1040" s="3" t="str">
        <f aca="false">'1. Raw Data'!A1039</f>
        <v>EMP-1038</v>
      </c>
      <c r="B1040" s="3" t="n">
        <f aca="false">'1. Raw Data'!B1039</f>
        <v>33</v>
      </c>
      <c r="C1040" s="3" t="str">
        <f aca="false">'1. Raw Data'!C1039</f>
        <v>Engineering</v>
      </c>
      <c r="D1040" s="3" t="str">
        <f aca="false">'1. Raw Data'!D1039</f>
        <v>Mid</v>
      </c>
      <c r="E1040" s="3" t="str">
        <f aca="false">'1. Raw Data'!E1039</f>
        <v>Business</v>
      </c>
      <c r="F1040" s="3" t="n">
        <f aca="false">'1. Raw Data'!F1039</f>
        <v>0.4</v>
      </c>
      <c r="G1040" s="3" t="n">
        <f aca="false">IF('1. Raw Data'!G1039="",ROUND(IFERROR(AVERAGEIFS('1. Raw Data'!G2:G1201,'1. Raw Data'!C2:C1201,'1. Raw Data'!C1039,'1. Raw Data'!D2:D1201,'1. Raw Data'!D1039),0),2),'1. Raw Data'!G1039)</f>
        <v>4525.32</v>
      </c>
      <c r="H1040" s="3" t="str">
        <f aca="false">PROPER('1. Raw Data'!H1039)</f>
        <v>No</v>
      </c>
      <c r="I1040" s="3" t="n">
        <f aca="false">'1. Raw Data'!I1039</f>
        <v>3</v>
      </c>
      <c r="J1040" s="3" t="n">
        <f aca="false">'1. Raw Data'!J1039</f>
        <v>4</v>
      </c>
      <c r="K1040" s="3" t="n">
        <f aca="false">'1. Raw Data'!K1039</f>
        <v>13</v>
      </c>
      <c r="L1040" s="3" t="n">
        <f aca="false">'1. Raw Data'!L1039</f>
        <v>0</v>
      </c>
      <c r="M1040" s="3" t="n">
        <f aca="false">'1. Raw Data'!M1039</f>
        <v>1</v>
      </c>
      <c r="N1040" s="3" t="str">
        <f aca="false">'1. Raw Data'!N1039</f>
        <v>No</v>
      </c>
    </row>
    <row r="1041" customFormat="false" ht="15" hidden="false" customHeight="false" outlineLevel="0" collapsed="false">
      <c r="A1041" s="3" t="str">
        <f aca="false">'1. Raw Data'!A1040</f>
        <v>EMP-1039</v>
      </c>
      <c r="B1041" s="3" t="n">
        <f aca="false">'1. Raw Data'!B1040</f>
        <v>24</v>
      </c>
      <c r="C1041" s="3" t="str">
        <f aca="false">'1. Raw Data'!C1040</f>
        <v>Customer Support</v>
      </c>
      <c r="D1041" s="3" t="str">
        <f aca="false">'1. Raw Data'!D1040</f>
        <v>Junior</v>
      </c>
      <c r="E1041" s="3" t="str">
        <f aca="false">'1. Raw Data'!E1040</f>
        <v>Technical</v>
      </c>
      <c r="F1041" s="3" t="n">
        <f aca="false">'1. Raw Data'!F1040</f>
        <v>0.4</v>
      </c>
      <c r="G1041" s="3" t="n">
        <f aca="false">IF('1. Raw Data'!G1040="",ROUND(IFERROR(AVERAGEIFS('1. Raw Data'!G2:G1201,'1. Raw Data'!C2:C1201,'1. Raw Data'!C1040,'1. Raw Data'!D2:D1201,'1. Raw Data'!D1040),0),2),'1. Raw Data'!G1040)</f>
        <v>2871.85</v>
      </c>
      <c r="H1041" s="3" t="str">
        <f aca="false">PROPER('1. Raw Data'!H1040)</f>
        <v>Yes</v>
      </c>
      <c r="I1041" s="3" t="n">
        <f aca="false">'1. Raw Data'!I1040</f>
        <v>2</v>
      </c>
      <c r="J1041" s="3" t="n">
        <f aca="false">'1. Raw Data'!J1040</f>
        <v>4</v>
      </c>
      <c r="K1041" s="3" t="n">
        <f aca="false">'1. Raw Data'!K1040</f>
        <v>1</v>
      </c>
      <c r="L1041" s="3" t="n">
        <f aca="false">'1. Raw Data'!L1040</f>
        <v>0</v>
      </c>
      <c r="M1041" s="3" t="n">
        <f aca="false">'1. Raw Data'!M1040</f>
        <v>2</v>
      </c>
      <c r="N1041" s="3" t="str">
        <f aca="false">'1. Raw Data'!N1040</f>
        <v>No</v>
      </c>
    </row>
    <row r="1042" customFormat="false" ht="15" hidden="false" customHeight="false" outlineLevel="0" collapsed="false">
      <c r="A1042" s="3" t="str">
        <f aca="false">'1. Raw Data'!A1041</f>
        <v>EMP-1040</v>
      </c>
      <c r="B1042" s="3" t="n">
        <f aca="false">'1. Raw Data'!B1041</f>
        <v>39</v>
      </c>
      <c r="C1042" s="3" t="str">
        <f aca="false">'1. Raw Data'!C1041</f>
        <v>Engineering</v>
      </c>
      <c r="D1042" s="3" t="str">
        <f aca="false">'1. Raw Data'!D1041</f>
        <v>Mid</v>
      </c>
      <c r="E1042" s="3" t="str">
        <f aca="false">'1. Raw Data'!E1041</f>
        <v>Marketing</v>
      </c>
      <c r="F1042" s="3" t="n">
        <f aca="false">'1. Raw Data'!F1041</f>
        <v>0.2</v>
      </c>
      <c r="G1042" s="3" t="n">
        <f aca="false">IF('1. Raw Data'!G1041="",ROUND(IFERROR(AVERAGEIFS('1. Raw Data'!G2:G1201,'1. Raw Data'!C2:C1201,'1. Raw Data'!C1041,'1. Raw Data'!D2:D1201,'1. Raw Data'!D1041),0),2),'1. Raw Data'!G1041)</f>
        <v>4577.31</v>
      </c>
      <c r="H1042" s="3" t="str">
        <f aca="false">PROPER('1. Raw Data'!H1041)</f>
        <v>No</v>
      </c>
      <c r="I1042" s="3" t="n">
        <f aca="false">'1. Raw Data'!I1041</f>
        <v>3</v>
      </c>
      <c r="J1042" s="3" t="n">
        <f aca="false">'1. Raw Data'!J1041</f>
        <v>4</v>
      </c>
      <c r="K1042" s="3" t="n">
        <f aca="false">'1. Raw Data'!K1041</f>
        <v>7</v>
      </c>
      <c r="L1042" s="3" t="n">
        <f aca="false">'1. Raw Data'!L1041</f>
        <v>0</v>
      </c>
      <c r="M1042" s="3" t="n">
        <f aca="false">'1. Raw Data'!M1041</f>
        <v>2</v>
      </c>
      <c r="N1042" s="3" t="str">
        <f aca="false">'1. Raw Data'!N1041</f>
        <v>No</v>
      </c>
    </row>
    <row r="1043" customFormat="false" ht="15" hidden="false" customHeight="false" outlineLevel="0" collapsed="false">
      <c r="A1043" s="3" t="str">
        <f aca="false">'1. Raw Data'!A1042</f>
        <v>EMP-1041</v>
      </c>
      <c r="B1043" s="3" t="n">
        <f aca="false">'1. Raw Data'!B1042</f>
        <v>25</v>
      </c>
      <c r="C1043" s="3" t="str">
        <f aca="false">'1. Raw Data'!C1042</f>
        <v>Engineering</v>
      </c>
      <c r="D1043" s="3" t="str">
        <f aca="false">'1. Raw Data'!D1042</f>
        <v>Junior</v>
      </c>
      <c r="E1043" s="3" t="str">
        <f aca="false">'1. Raw Data'!E1042</f>
        <v>Other</v>
      </c>
      <c r="F1043" s="3" t="n">
        <f aca="false">'1. Raw Data'!F1042</f>
        <v>1.3</v>
      </c>
      <c r="G1043" s="3" t="n">
        <f aca="false">IF('1. Raw Data'!G1042="",ROUND(IFERROR(AVERAGEIFS('1. Raw Data'!G2:G1201,'1. Raw Data'!C2:C1201,'1. Raw Data'!C1042,'1. Raw Data'!D2:D1201,'1. Raw Data'!D1042),0),2),'1. Raw Data'!G1042)</f>
        <v>3550.37</v>
      </c>
      <c r="H1043" s="3" t="str">
        <f aca="false">PROPER('1. Raw Data'!H1042)</f>
        <v>No</v>
      </c>
      <c r="I1043" s="3" t="n">
        <f aca="false">'1. Raw Data'!I1042</f>
        <v>3</v>
      </c>
      <c r="J1043" s="3" t="n">
        <f aca="false">'1. Raw Data'!J1042</f>
        <v>4</v>
      </c>
      <c r="K1043" s="3" t="n">
        <f aca="false">'1. Raw Data'!K1042</f>
        <v>13</v>
      </c>
      <c r="L1043" s="3" t="n">
        <f aca="false">'1. Raw Data'!L1042</f>
        <v>0</v>
      </c>
      <c r="M1043" s="3" t="n">
        <f aca="false">'1. Raw Data'!M1042</f>
        <v>1</v>
      </c>
      <c r="N1043" s="3" t="str">
        <f aca="false">'1. Raw Data'!N1042</f>
        <v>No</v>
      </c>
    </row>
    <row r="1044" customFormat="false" ht="15" hidden="false" customHeight="false" outlineLevel="0" collapsed="false">
      <c r="A1044" s="3" t="str">
        <f aca="false">'1. Raw Data'!A1043</f>
        <v>EMP-1042</v>
      </c>
      <c r="B1044" s="3" t="n">
        <f aca="false">'1. Raw Data'!B1043</f>
        <v>38</v>
      </c>
      <c r="C1044" s="3" t="str">
        <f aca="false">'1. Raw Data'!C1043</f>
        <v>Sales</v>
      </c>
      <c r="D1044" s="3" t="str">
        <f aca="false">'1. Raw Data'!D1043</f>
        <v>Mid</v>
      </c>
      <c r="E1044" s="3" t="str">
        <f aca="false">'1. Raw Data'!E1043</f>
        <v>Business</v>
      </c>
      <c r="F1044" s="3" t="n">
        <f aca="false">'1. Raw Data'!F1043</f>
        <v>4.2</v>
      </c>
      <c r="G1044" s="3" t="n">
        <f aca="false">IF('1. Raw Data'!G1043="",ROUND(IFERROR(AVERAGEIFS('1. Raw Data'!G2:G1201,'1. Raw Data'!C2:C1201,'1. Raw Data'!C1043,'1. Raw Data'!D2:D1201,'1. Raw Data'!D1043),0),2),'1. Raw Data'!G1043)</f>
        <v>5674.39</v>
      </c>
      <c r="H1044" s="3" t="str">
        <f aca="false">PROPER('1. Raw Data'!H1043)</f>
        <v>No</v>
      </c>
      <c r="I1044" s="3" t="n">
        <f aca="false">'1. Raw Data'!I1043</f>
        <v>1</v>
      </c>
      <c r="J1044" s="3" t="n">
        <f aca="false">'1. Raw Data'!J1043</f>
        <v>3</v>
      </c>
      <c r="K1044" s="3" t="n">
        <f aca="false">'1. Raw Data'!K1043</f>
        <v>7</v>
      </c>
      <c r="L1044" s="3" t="n">
        <f aca="false">'1. Raw Data'!L1043</f>
        <v>0</v>
      </c>
      <c r="M1044" s="3" t="n">
        <f aca="false">'1. Raw Data'!M1043</f>
        <v>2</v>
      </c>
      <c r="N1044" s="3" t="str">
        <f aca="false">'1. Raw Data'!N1043</f>
        <v>No</v>
      </c>
    </row>
    <row r="1045" customFormat="false" ht="15" hidden="false" customHeight="false" outlineLevel="0" collapsed="false">
      <c r="A1045" s="3" t="str">
        <f aca="false">'1. Raw Data'!A1044</f>
        <v>EMP-1043</v>
      </c>
      <c r="B1045" s="3" t="n">
        <f aca="false">'1. Raw Data'!B1044</f>
        <v>26</v>
      </c>
      <c r="C1045" s="3" t="str">
        <f aca="false">'1. Raw Data'!C1044</f>
        <v>Sales</v>
      </c>
      <c r="D1045" s="3" t="str">
        <f aca="false">'1. Raw Data'!D1044</f>
        <v>Mid</v>
      </c>
      <c r="E1045" s="3" t="str">
        <f aca="false">'1. Raw Data'!E1044</f>
        <v>Marketing</v>
      </c>
      <c r="F1045" s="3" t="n">
        <f aca="false">'1. Raw Data'!F1044</f>
        <v>1.4</v>
      </c>
      <c r="G1045" s="3" t="n">
        <f aca="false">IF('1. Raw Data'!G1044="",ROUND(IFERROR(AVERAGEIFS('1. Raw Data'!G2:G1201,'1. Raw Data'!C2:C1201,'1. Raw Data'!C1044,'1. Raw Data'!D2:D1201,'1. Raw Data'!D1044),0),2),'1. Raw Data'!G1044)</f>
        <v>4218.98</v>
      </c>
      <c r="H1045" s="3" t="str">
        <f aca="false">PROPER('1. Raw Data'!H1044)</f>
        <v>No</v>
      </c>
      <c r="I1045" s="3" t="n">
        <f aca="false">'1. Raw Data'!I1044</f>
        <v>3</v>
      </c>
      <c r="J1045" s="3" t="n">
        <f aca="false">'1. Raw Data'!J1044</f>
        <v>3</v>
      </c>
      <c r="K1045" s="3" t="n">
        <f aca="false">'1. Raw Data'!K1044</f>
        <v>4</v>
      </c>
      <c r="L1045" s="3" t="n">
        <f aca="false">'1. Raw Data'!L1044</f>
        <v>1</v>
      </c>
      <c r="M1045" s="3" t="n">
        <f aca="false">'1. Raw Data'!M1044</f>
        <v>1</v>
      </c>
      <c r="N1045" s="3" t="str">
        <f aca="false">'1. Raw Data'!N1044</f>
        <v>No</v>
      </c>
    </row>
    <row r="1046" customFormat="false" ht="15" hidden="false" customHeight="false" outlineLevel="0" collapsed="false">
      <c r="A1046" s="3" t="str">
        <f aca="false">'1. Raw Data'!A1045</f>
        <v>EMP-1044</v>
      </c>
      <c r="B1046" s="3" t="n">
        <f aca="false">'1. Raw Data'!B1045</f>
        <v>26</v>
      </c>
      <c r="C1046" s="3" t="str">
        <f aca="false">'1. Raw Data'!C1045</f>
        <v>Customer Support</v>
      </c>
      <c r="D1046" s="3" t="str">
        <f aca="false">'1. Raw Data'!D1045</f>
        <v>Mid</v>
      </c>
      <c r="E1046" s="3" t="str">
        <f aca="false">'1. Raw Data'!E1045</f>
        <v>Business</v>
      </c>
      <c r="F1046" s="3" t="n">
        <f aca="false">'1. Raw Data'!F1045</f>
        <v>5</v>
      </c>
      <c r="G1046" s="3" t="n">
        <f aca="false">IF('1. Raw Data'!G1045="",ROUND(IFERROR(AVERAGEIFS('1. Raw Data'!G2:G1201,'1. Raw Data'!C2:C1201,'1. Raw Data'!C1045,'1. Raw Data'!D2:D1201,'1. Raw Data'!D1045),0),2),'1. Raw Data'!G1045)</f>
        <v>5024.69</v>
      </c>
      <c r="H1046" s="3" t="str">
        <f aca="false">PROPER('1. Raw Data'!H1045)</f>
        <v>Yes</v>
      </c>
      <c r="I1046" s="3" t="n">
        <f aca="false">'1. Raw Data'!I1045</f>
        <v>4</v>
      </c>
      <c r="J1046" s="3" t="n">
        <f aca="false">'1. Raw Data'!J1045</f>
        <v>2</v>
      </c>
      <c r="K1046" s="3" t="n">
        <f aca="false">'1. Raw Data'!K1045</f>
        <v>21</v>
      </c>
      <c r="L1046" s="3" t="n">
        <f aca="false">'1. Raw Data'!L1045</f>
        <v>4</v>
      </c>
      <c r="M1046" s="3" t="n">
        <f aca="false">'1. Raw Data'!M1045</f>
        <v>1</v>
      </c>
      <c r="N1046" s="3" t="str">
        <f aca="false">'1. Raw Data'!N1045</f>
        <v>Yes</v>
      </c>
    </row>
    <row r="1047" customFormat="false" ht="15" hidden="false" customHeight="false" outlineLevel="0" collapsed="false">
      <c r="A1047" s="3" t="str">
        <f aca="false">'1. Raw Data'!A1046</f>
        <v>EMP-1045</v>
      </c>
      <c r="B1047" s="3" t="n">
        <f aca="false">'1. Raw Data'!B1046</f>
        <v>27</v>
      </c>
      <c r="C1047" s="3" t="str">
        <f aca="false">'1. Raw Data'!C1046</f>
        <v>HR</v>
      </c>
      <c r="D1047" s="3" t="str">
        <f aca="false">'1. Raw Data'!D1046</f>
        <v>Mid</v>
      </c>
      <c r="E1047" s="3" t="str">
        <f aca="false">'1. Raw Data'!E1046</f>
        <v>Business</v>
      </c>
      <c r="F1047" s="3" t="n">
        <f aca="false">'1. Raw Data'!F1046</f>
        <v>5.4</v>
      </c>
      <c r="G1047" s="3" t="n">
        <f aca="false">IF('1. Raw Data'!G1046="",ROUND(IFERROR(AVERAGEIFS('1. Raw Data'!G2:G1201,'1. Raw Data'!C2:C1201,'1. Raw Data'!C1046,'1. Raw Data'!D2:D1201,'1. Raw Data'!D1046),0),2),'1. Raw Data'!G1046)</f>
        <v>4828.19</v>
      </c>
      <c r="H1047" s="3" t="str">
        <f aca="false">PROPER('1. Raw Data'!H1046)</f>
        <v>Yes</v>
      </c>
      <c r="I1047" s="3" t="n">
        <f aca="false">'1. Raw Data'!I1046</f>
        <v>1</v>
      </c>
      <c r="J1047" s="3" t="n">
        <f aca="false">'1. Raw Data'!J1046</f>
        <v>1</v>
      </c>
      <c r="K1047" s="3" t="n">
        <f aca="false">'1. Raw Data'!K1046</f>
        <v>1</v>
      </c>
      <c r="L1047" s="3" t="n">
        <f aca="false">'1. Raw Data'!L1046</f>
        <v>4</v>
      </c>
      <c r="M1047" s="3" t="n">
        <f aca="false">'1. Raw Data'!M1046</f>
        <v>0</v>
      </c>
      <c r="N1047" s="3" t="str">
        <f aca="false">'1. Raw Data'!N1046</f>
        <v>No</v>
      </c>
    </row>
    <row r="1048" customFormat="false" ht="15" hidden="false" customHeight="false" outlineLevel="0" collapsed="false">
      <c r="A1048" s="3" t="str">
        <f aca="false">'1. Raw Data'!A1047</f>
        <v>EMP-1046</v>
      </c>
      <c r="B1048" s="3" t="n">
        <f aca="false">'1. Raw Data'!B1047</f>
        <v>36</v>
      </c>
      <c r="C1048" s="3" t="str">
        <f aca="false">'1. Raw Data'!C1047</f>
        <v>HR</v>
      </c>
      <c r="D1048" s="3" t="str">
        <f aca="false">'1. Raw Data'!D1047</f>
        <v>Junior</v>
      </c>
      <c r="E1048" s="3" t="str">
        <f aca="false">'1. Raw Data'!E1047</f>
        <v>Other</v>
      </c>
      <c r="F1048" s="3" t="n">
        <f aca="false">'1. Raw Data'!F1047</f>
        <v>6.9</v>
      </c>
      <c r="G1048" s="3" t="n">
        <f aca="false">IF('1. Raw Data'!G1047="",ROUND(IFERROR(AVERAGEIFS('1. Raw Data'!G2:G1201,'1. Raw Data'!C2:C1201,'1. Raw Data'!C1047,'1. Raw Data'!D2:D1201,'1. Raw Data'!D1047),0),2),'1. Raw Data'!G1047)</f>
        <v>3531.38</v>
      </c>
      <c r="H1048" s="3" t="str">
        <f aca="false">PROPER('1. Raw Data'!H1047)</f>
        <v>Yes</v>
      </c>
      <c r="I1048" s="3" t="n">
        <f aca="false">'1. Raw Data'!I1047</f>
        <v>3</v>
      </c>
      <c r="J1048" s="3" t="n">
        <f aca="false">'1. Raw Data'!J1047</f>
        <v>3</v>
      </c>
      <c r="K1048" s="3" t="n">
        <f aca="false">'1. Raw Data'!K1047</f>
        <v>7</v>
      </c>
      <c r="L1048" s="3" t="n">
        <f aca="false">'1. Raw Data'!L1047</f>
        <v>4</v>
      </c>
      <c r="M1048" s="3" t="n">
        <f aca="false">'1. Raw Data'!M1047</f>
        <v>2</v>
      </c>
      <c r="N1048" s="3" t="str">
        <f aca="false">'1. Raw Data'!N1047</f>
        <v>No</v>
      </c>
    </row>
    <row r="1049" customFormat="false" ht="15" hidden="false" customHeight="false" outlineLevel="0" collapsed="false">
      <c r="A1049" s="3" t="str">
        <f aca="false">'1. Raw Data'!A1048</f>
        <v>EMP-1047</v>
      </c>
      <c r="B1049" s="3" t="n">
        <f aca="false">'1. Raw Data'!B1048</f>
        <v>30</v>
      </c>
      <c r="C1049" s="3" t="str">
        <f aca="false">'1. Raw Data'!C1048</f>
        <v>Engineering</v>
      </c>
      <c r="D1049" s="3" t="str">
        <f aca="false">'1. Raw Data'!D1048</f>
        <v>Mid</v>
      </c>
      <c r="E1049" s="3" t="str">
        <f aca="false">'1. Raw Data'!E1048</f>
        <v>Marketing</v>
      </c>
      <c r="F1049" s="3" t="n">
        <f aca="false">'1. Raw Data'!F1048</f>
        <v>4.8</v>
      </c>
      <c r="G1049" s="3" t="n">
        <f aca="false">IF('1. Raw Data'!G1048="",ROUND(IFERROR(AVERAGEIFS('1. Raw Data'!G2:G1201,'1. Raw Data'!C2:C1201,'1. Raw Data'!C1048,'1. Raw Data'!D2:D1201,'1. Raw Data'!D1048),0),2),'1. Raw Data'!G1048)</f>
        <v>5425.2</v>
      </c>
      <c r="H1049" s="3" t="str">
        <f aca="false">PROPER('1. Raw Data'!H1048)</f>
        <v>No</v>
      </c>
      <c r="I1049" s="3" t="n">
        <f aca="false">'1. Raw Data'!I1048</f>
        <v>3</v>
      </c>
      <c r="J1049" s="3" t="n">
        <f aca="false">'1. Raw Data'!J1048</f>
        <v>3</v>
      </c>
      <c r="K1049" s="3" t="n">
        <f aca="false">'1. Raw Data'!K1048</f>
        <v>1</v>
      </c>
      <c r="L1049" s="3" t="n">
        <f aca="false">'1. Raw Data'!L1048</f>
        <v>0</v>
      </c>
      <c r="M1049" s="3" t="n">
        <f aca="false">'1. Raw Data'!M1048</f>
        <v>1</v>
      </c>
      <c r="N1049" s="3" t="str">
        <f aca="false">'1. Raw Data'!N1048</f>
        <v>No</v>
      </c>
    </row>
    <row r="1050" customFormat="false" ht="15" hidden="false" customHeight="false" outlineLevel="0" collapsed="false">
      <c r="A1050" s="3" t="str">
        <f aca="false">'1. Raw Data'!A1049</f>
        <v>EMP-1048</v>
      </c>
      <c r="B1050" s="3" t="n">
        <f aca="false">'1. Raw Data'!B1049</f>
        <v>26</v>
      </c>
      <c r="C1050" s="3" t="str">
        <f aca="false">'1. Raw Data'!C1049</f>
        <v>Engineering</v>
      </c>
      <c r="D1050" s="3" t="str">
        <f aca="false">'1. Raw Data'!D1049</f>
        <v>Mid</v>
      </c>
      <c r="E1050" s="3" t="str">
        <f aca="false">'1. Raw Data'!E1049</f>
        <v>Technical</v>
      </c>
      <c r="F1050" s="3" t="n">
        <f aca="false">'1. Raw Data'!F1049</f>
        <v>4.9</v>
      </c>
      <c r="G1050" s="3" t="n">
        <f aca="false">IF('1. Raw Data'!G1049="",ROUND(IFERROR(AVERAGEIFS('1. Raw Data'!G2:G1201,'1. Raw Data'!C2:C1201,'1. Raw Data'!C1049,'1. Raw Data'!D2:D1201,'1. Raw Data'!D1049),0),2),'1. Raw Data'!G1049)</f>
        <v>4650.53</v>
      </c>
      <c r="H1050" s="3" t="str">
        <f aca="false">PROPER('1. Raw Data'!H1049)</f>
        <v>Yes</v>
      </c>
      <c r="I1050" s="3" t="n">
        <f aca="false">'1. Raw Data'!I1049</f>
        <v>3</v>
      </c>
      <c r="J1050" s="3" t="n">
        <f aca="false">'1. Raw Data'!J1049</f>
        <v>3</v>
      </c>
      <c r="K1050" s="3" t="n">
        <f aca="false">'1. Raw Data'!K1049</f>
        <v>1</v>
      </c>
      <c r="L1050" s="3" t="n">
        <f aca="false">'1. Raw Data'!L1049</f>
        <v>3</v>
      </c>
      <c r="M1050" s="3" t="n">
        <f aca="false">'1. Raw Data'!M1049</f>
        <v>3</v>
      </c>
      <c r="N1050" s="3" t="str">
        <f aca="false">'1. Raw Data'!N1049</f>
        <v>No</v>
      </c>
    </row>
    <row r="1051" customFormat="false" ht="15" hidden="false" customHeight="false" outlineLevel="0" collapsed="false">
      <c r="A1051" s="3" t="str">
        <f aca="false">'1. Raw Data'!A1050</f>
        <v>EMP-1049</v>
      </c>
      <c r="B1051" s="3" t="n">
        <f aca="false">'1. Raw Data'!B1050</f>
        <v>32</v>
      </c>
      <c r="C1051" s="3" t="str">
        <f aca="false">'1. Raw Data'!C1050</f>
        <v>Marketing</v>
      </c>
      <c r="D1051" s="3" t="str">
        <f aca="false">'1. Raw Data'!D1050</f>
        <v>Junior</v>
      </c>
      <c r="E1051" s="3" t="str">
        <f aca="false">'1. Raw Data'!E1050</f>
        <v>Marketing</v>
      </c>
      <c r="F1051" s="3" t="n">
        <f aca="false">'1. Raw Data'!F1050</f>
        <v>4.5</v>
      </c>
      <c r="G1051" s="3" t="n">
        <f aca="false">IF('1. Raw Data'!G1050="",ROUND(IFERROR(AVERAGEIFS('1. Raw Data'!G2:G1201,'1. Raw Data'!C2:C1201,'1. Raw Data'!C1050,'1. Raw Data'!D2:D1201,'1. Raw Data'!D1050),0),2),'1. Raw Data'!G1050)</f>
        <v>3204.31</v>
      </c>
      <c r="H1051" s="3" t="str">
        <f aca="false">PROPER('1. Raw Data'!H1050)</f>
        <v>No</v>
      </c>
      <c r="I1051" s="3" t="n">
        <f aca="false">'1. Raw Data'!I1050</f>
        <v>3</v>
      </c>
      <c r="J1051" s="3" t="n">
        <f aca="false">'1. Raw Data'!J1050</f>
        <v>4</v>
      </c>
      <c r="K1051" s="3" t="n">
        <f aca="false">'1. Raw Data'!K1050</f>
        <v>1</v>
      </c>
      <c r="L1051" s="3" t="n">
        <f aca="false">'1. Raw Data'!L1050</f>
        <v>0</v>
      </c>
      <c r="M1051" s="3" t="n">
        <f aca="false">'1. Raw Data'!M1050</f>
        <v>4</v>
      </c>
      <c r="N1051" s="3" t="str">
        <f aca="false">'1. Raw Data'!N1050</f>
        <v>No</v>
      </c>
    </row>
    <row r="1052" customFormat="false" ht="15" hidden="false" customHeight="false" outlineLevel="0" collapsed="false">
      <c r="A1052" s="3" t="str">
        <f aca="false">'1. Raw Data'!A1051</f>
        <v>EMP-1050</v>
      </c>
      <c r="B1052" s="3" t="n">
        <f aca="false">'1. Raw Data'!B1051</f>
        <v>34</v>
      </c>
      <c r="C1052" s="3" t="str">
        <f aca="false">'1. Raw Data'!C1051</f>
        <v>Sales</v>
      </c>
      <c r="D1052" s="3" t="str">
        <f aca="false">'1. Raw Data'!D1051</f>
        <v>Junior</v>
      </c>
      <c r="E1052" s="3" t="str">
        <f aca="false">'1. Raw Data'!E1051</f>
        <v>Business</v>
      </c>
      <c r="F1052" s="3" t="n">
        <f aca="false">'1. Raw Data'!F1051</f>
        <v>0.9</v>
      </c>
      <c r="G1052" s="3" t="n">
        <f aca="false">IF('1. Raw Data'!G1051="",ROUND(IFERROR(AVERAGEIFS('1. Raw Data'!G2:G1201,'1. Raw Data'!C2:C1201,'1. Raw Data'!C1051,'1. Raw Data'!D2:D1201,'1. Raw Data'!D1051),0),2),'1. Raw Data'!G1051)</f>
        <v>2994.18</v>
      </c>
      <c r="H1052" s="3" t="str">
        <f aca="false">PROPER('1. Raw Data'!H1051)</f>
        <v>No</v>
      </c>
      <c r="I1052" s="3" t="n">
        <f aca="false">'1. Raw Data'!I1051</f>
        <v>3</v>
      </c>
      <c r="J1052" s="3" t="n">
        <f aca="false">'1. Raw Data'!J1051</f>
        <v>2</v>
      </c>
      <c r="K1052" s="3" t="n">
        <f aca="false">'1. Raw Data'!K1051</f>
        <v>11</v>
      </c>
      <c r="L1052" s="3" t="n">
        <f aca="false">'1. Raw Data'!L1051</f>
        <v>0</v>
      </c>
      <c r="M1052" s="3" t="n">
        <f aca="false">'1. Raw Data'!M1051</f>
        <v>4</v>
      </c>
      <c r="N1052" s="3" t="str">
        <f aca="false">'1. Raw Data'!N1051</f>
        <v>No</v>
      </c>
    </row>
    <row r="1053" customFormat="false" ht="15" hidden="false" customHeight="false" outlineLevel="0" collapsed="false">
      <c r="A1053" s="3" t="str">
        <f aca="false">'1. Raw Data'!A1052</f>
        <v>EMP-1051</v>
      </c>
      <c r="B1053" s="3" t="n">
        <f aca="false">'1. Raw Data'!B1052</f>
        <v>38</v>
      </c>
      <c r="C1053" s="3" t="str">
        <f aca="false">'1. Raw Data'!C1052</f>
        <v>Sales</v>
      </c>
      <c r="D1053" s="3" t="str">
        <f aca="false">'1. Raw Data'!D1052</f>
        <v>Mid</v>
      </c>
      <c r="E1053" s="3" t="str">
        <f aca="false">'1. Raw Data'!E1052</f>
        <v>Other</v>
      </c>
      <c r="F1053" s="3" t="n">
        <f aca="false">'1. Raw Data'!F1052</f>
        <v>5.3</v>
      </c>
      <c r="G1053" s="3" t="n">
        <f aca="false">IF('1. Raw Data'!G1052="",ROUND(IFERROR(AVERAGEIFS('1. Raw Data'!G2:G1201,'1. Raw Data'!C2:C1201,'1. Raw Data'!C1052,'1. Raw Data'!D2:D1201,'1. Raw Data'!D1052),0),2),'1. Raw Data'!G1052)</f>
        <v>5159.56</v>
      </c>
      <c r="H1053" s="3" t="str">
        <f aca="false">PROPER('1. Raw Data'!H1052)</f>
        <v>No</v>
      </c>
      <c r="I1053" s="3" t="n">
        <f aca="false">'1. Raw Data'!I1052</f>
        <v>3</v>
      </c>
      <c r="J1053" s="3" t="n">
        <f aca="false">'1. Raw Data'!J1052</f>
        <v>3</v>
      </c>
      <c r="K1053" s="3" t="n">
        <f aca="false">'1. Raw Data'!K1052</f>
        <v>1</v>
      </c>
      <c r="L1053" s="3" t="n">
        <f aca="false">'1. Raw Data'!L1052</f>
        <v>2</v>
      </c>
      <c r="M1053" s="3" t="n">
        <f aca="false">'1. Raw Data'!M1052</f>
        <v>1</v>
      </c>
      <c r="N1053" s="3" t="str">
        <f aca="false">'1. Raw Data'!N1052</f>
        <v>No</v>
      </c>
    </row>
    <row r="1054" customFormat="false" ht="15" hidden="false" customHeight="false" outlineLevel="0" collapsed="false">
      <c r="A1054" s="3" t="str">
        <f aca="false">'1. Raw Data'!A1053</f>
        <v>EMP-1052</v>
      </c>
      <c r="B1054" s="3" t="n">
        <f aca="false">'1. Raw Data'!B1053</f>
        <v>34</v>
      </c>
      <c r="C1054" s="3" t="str">
        <f aca="false">'1. Raw Data'!C1053</f>
        <v>Customer Support</v>
      </c>
      <c r="D1054" s="3" t="str">
        <f aca="false">'1. Raw Data'!D1053</f>
        <v>Mid</v>
      </c>
      <c r="E1054" s="3" t="str">
        <f aca="false">'1. Raw Data'!E1053</f>
        <v>Business</v>
      </c>
      <c r="F1054" s="3" t="n">
        <f aca="false">'1. Raw Data'!F1053</f>
        <v>0.6</v>
      </c>
      <c r="G1054" s="3" t="n">
        <f aca="false">IF('1. Raw Data'!G1053="",ROUND(IFERROR(AVERAGEIFS('1. Raw Data'!G2:G1201,'1. Raw Data'!C2:C1201,'1. Raw Data'!C1053,'1. Raw Data'!D2:D1201,'1. Raw Data'!D1053),0),2),'1. Raw Data'!G1053)</f>
        <v>5356.39</v>
      </c>
      <c r="H1054" s="3" t="str">
        <f aca="false">PROPER('1. Raw Data'!H1053)</f>
        <v>No</v>
      </c>
      <c r="I1054" s="3" t="n">
        <f aca="false">'1. Raw Data'!I1053</f>
        <v>3</v>
      </c>
      <c r="J1054" s="3" t="n">
        <f aca="false">'1. Raw Data'!J1053</f>
        <v>1</v>
      </c>
      <c r="K1054" s="3" t="n">
        <f aca="false">'1. Raw Data'!K1053</f>
        <v>8</v>
      </c>
      <c r="L1054" s="3" t="n">
        <f aca="false">'1. Raw Data'!L1053</f>
        <v>0</v>
      </c>
      <c r="M1054" s="3" t="n">
        <f aca="false">'1. Raw Data'!M1053</f>
        <v>1</v>
      </c>
      <c r="N1054" s="3" t="str">
        <f aca="false">'1. Raw Data'!N1053</f>
        <v>Yes</v>
      </c>
    </row>
    <row r="1055" customFormat="false" ht="15" hidden="false" customHeight="false" outlineLevel="0" collapsed="false">
      <c r="A1055" s="3" t="str">
        <f aca="false">'1. Raw Data'!A1054</f>
        <v>EMP-1053</v>
      </c>
      <c r="B1055" s="3" t="n">
        <f aca="false">'1. Raw Data'!B1054</f>
        <v>31</v>
      </c>
      <c r="C1055" s="3" t="str">
        <f aca="false">'1. Raw Data'!C1054</f>
        <v>Sales</v>
      </c>
      <c r="D1055" s="3" t="str">
        <f aca="false">'1. Raw Data'!D1054</f>
        <v>Mid</v>
      </c>
      <c r="E1055" s="3" t="str">
        <f aca="false">'1. Raw Data'!E1054</f>
        <v>Other</v>
      </c>
      <c r="F1055" s="3" t="n">
        <f aca="false">'1. Raw Data'!F1054</f>
        <v>2.6</v>
      </c>
      <c r="G1055" s="3" t="n">
        <f aca="false">IF('1. Raw Data'!G1054="",ROUND(IFERROR(AVERAGEIFS('1. Raw Data'!G2:G1201,'1. Raw Data'!C2:C1201,'1. Raw Data'!C1054,'1. Raw Data'!D2:D1201,'1. Raw Data'!D1054),0),2),'1. Raw Data'!G1054)</f>
        <v>4741.67</v>
      </c>
      <c r="H1055" s="3" t="str">
        <f aca="false">PROPER('1. Raw Data'!H1054)</f>
        <v>No</v>
      </c>
      <c r="I1055" s="3" t="n">
        <f aca="false">'1. Raw Data'!I1054</f>
        <v>1</v>
      </c>
      <c r="J1055" s="3" t="n">
        <f aca="false">'1. Raw Data'!J1054</f>
        <v>3</v>
      </c>
      <c r="K1055" s="3" t="n">
        <f aca="false">'1. Raw Data'!K1054</f>
        <v>9</v>
      </c>
      <c r="L1055" s="3" t="n">
        <f aca="false">'1. Raw Data'!L1054</f>
        <v>1</v>
      </c>
      <c r="M1055" s="3" t="n">
        <f aca="false">'1. Raw Data'!M1054</f>
        <v>1</v>
      </c>
      <c r="N1055" s="3" t="str">
        <f aca="false">'1. Raw Data'!N1054</f>
        <v>No</v>
      </c>
    </row>
    <row r="1056" customFormat="false" ht="15" hidden="false" customHeight="false" outlineLevel="0" collapsed="false">
      <c r="A1056" s="3" t="str">
        <f aca="false">'1. Raw Data'!A1055</f>
        <v>EMP-1054</v>
      </c>
      <c r="B1056" s="3" t="n">
        <f aca="false">'1. Raw Data'!B1055</f>
        <v>39</v>
      </c>
      <c r="C1056" s="3" t="str">
        <f aca="false">'1. Raw Data'!C1055</f>
        <v>HR</v>
      </c>
      <c r="D1056" s="3" t="str">
        <f aca="false">'1. Raw Data'!D1055</f>
        <v>Mid</v>
      </c>
      <c r="E1056" s="3" t="str">
        <f aca="false">'1. Raw Data'!E1055</f>
        <v>Other</v>
      </c>
      <c r="F1056" s="3" t="n">
        <f aca="false">'1. Raw Data'!F1055</f>
        <v>4.1</v>
      </c>
      <c r="G1056" s="3" t="n">
        <f aca="false">IF('1. Raw Data'!G1055="",ROUND(IFERROR(AVERAGEIFS('1. Raw Data'!G2:G1201,'1. Raw Data'!C2:C1201,'1. Raw Data'!C1055,'1. Raw Data'!D2:D1201,'1. Raw Data'!D1055),0),2),'1. Raw Data'!G1055)</f>
        <v>4488.34</v>
      </c>
      <c r="H1056" s="3" t="str">
        <f aca="false">PROPER('1. Raw Data'!H1055)</f>
        <v>No</v>
      </c>
      <c r="I1056" s="3" t="n">
        <f aca="false">'1. Raw Data'!I1055</f>
        <v>3</v>
      </c>
      <c r="J1056" s="3" t="n">
        <f aca="false">'1. Raw Data'!J1055</f>
        <v>2</v>
      </c>
      <c r="K1056" s="3" t="n">
        <f aca="false">'1. Raw Data'!K1055</f>
        <v>1</v>
      </c>
      <c r="L1056" s="3" t="n">
        <f aca="false">'1. Raw Data'!L1055</f>
        <v>0</v>
      </c>
      <c r="M1056" s="3" t="n">
        <f aca="false">'1. Raw Data'!M1055</f>
        <v>1</v>
      </c>
      <c r="N1056" s="3" t="str">
        <f aca="false">'1. Raw Data'!N1055</f>
        <v>No</v>
      </c>
    </row>
    <row r="1057" customFormat="false" ht="15" hidden="false" customHeight="false" outlineLevel="0" collapsed="false">
      <c r="A1057" s="3" t="str">
        <f aca="false">'1. Raw Data'!A1056</f>
        <v>EMP-1055</v>
      </c>
      <c r="B1057" s="3" t="n">
        <f aca="false">'1. Raw Data'!B1056</f>
        <v>42</v>
      </c>
      <c r="C1057" s="3" t="str">
        <f aca="false">'1. Raw Data'!C1056</f>
        <v>Sales</v>
      </c>
      <c r="D1057" s="3" t="str">
        <f aca="false">'1. Raw Data'!D1056</f>
        <v>Junior</v>
      </c>
      <c r="E1057" s="3" t="str">
        <f aca="false">'1. Raw Data'!E1056</f>
        <v>Other</v>
      </c>
      <c r="F1057" s="3" t="n">
        <f aca="false">'1. Raw Data'!F1056</f>
        <v>0.8</v>
      </c>
      <c r="G1057" s="3" t="n">
        <f aca="false">IF('1. Raw Data'!G1056="",ROUND(IFERROR(AVERAGEIFS('1. Raw Data'!G2:G1201,'1. Raw Data'!C2:C1201,'1. Raw Data'!C1056,'1. Raw Data'!D2:D1201,'1. Raw Data'!D1056),0),2),'1. Raw Data'!G1056)</f>
        <v>2972.96</v>
      </c>
      <c r="H1057" s="3" t="str">
        <f aca="false">PROPER('1. Raw Data'!H1056)</f>
        <v>Yes</v>
      </c>
      <c r="I1057" s="3" t="n">
        <f aca="false">'1. Raw Data'!I1056</f>
        <v>3</v>
      </c>
      <c r="J1057" s="3" t="n">
        <f aca="false">'1. Raw Data'!J1056</f>
        <v>2</v>
      </c>
      <c r="K1057" s="3" t="n">
        <f aca="false">'1. Raw Data'!K1056</f>
        <v>40</v>
      </c>
      <c r="L1057" s="3" t="n">
        <f aca="false">'1. Raw Data'!L1056</f>
        <v>0</v>
      </c>
      <c r="M1057" s="3" t="n">
        <f aca="false">'1. Raw Data'!M1056</f>
        <v>3</v>
      </c>
      <c r="N1057" s="3" t="str">
        <f aca="false">'1. Raw Data'!N1056</f>
        <v>No</v>
      </c>
    </row>
    <row r="1058" customFormat="false" ht="15" hidden="false" customHeight="false" outlineLevel="0" collapsed="false">
      <c r="A1058" s="3" t="str">
        <f aca="false">'1. Raw Data'!A1057</f>
        <v>EMP-1056</v>
      </c>
      <c r="B1058" s="3" t="n">
        <f aca="false">'1. Raw Data'!B1057</f>
        <v>21</v>
      </c>
      <c r="C1058" s="3" t="str">
        <f aca="false">'1. Raw Data'!C1057</f>
        <v>Customer Support</v>
      </c>
      <c r="D1058" s="3" t="str">
        <f aca="false">'1. Raw Data'!D1057</f>
        <v>Mid</v>
      </c>
      <c r="E1058" s="3" t="str">
        <f aca="false">'1. Raw Data'!E1057</f>
        <v>Business</v>
      </c>
      <c r="F1058" s="3" t="n">
        <f aca="false">'1. Raw Data'!F1057</f>
        <v>0</v>
      </c>
      <c r="G1058" s="3" t="n">
        <f aca="false">IF('1. Raw Data'!G1057="",ROUND(IFERROR(AVERAGEIFS('1. Raw Data'!G2:G1201,'1. Raw Data'!C2:C1201,'1. Raw Data'!C1057,'1. Raw Data'!D2:D1201,'1. Raw Data'!D1057),0),2),'1. Raw Data'!G1057)</f>
        <v>4794.94</v>
      </c>
      <c r="H1058" s="3" t="str">
        <f aca="false">PROPER('1. Raw Data'!H1057)</f>
        <v>Yes</v>
      </c>
      <c r="I1058" s="3" t="n">
        <f aca="false">'1. Raw Data'!I1057</f>
        <v>1</v>
      </c>
      <c r="J1058" s="3" t="n">
        <f aca="false">'1. Raw Data'!J1057</f>
        <v>3</v>
      </c>
      <c r="K1058" s="3" t="n">
        <f aca="false">'1. Raw Data'!K1057</f>
        <v>29</v>
      </c>
      <c r="L1058" s="3" t="n">
        <f aca="false">'1. Raw Data'!L1057</f>
        <v>0</v>
      </c>
      <c r="M1058" s="3" t="n">
        <f aca="false">'1. Raw Data'!M1057</f>
        <v>2</v>
      </c>
      <c r="N1058" s="3" t="str">
        <f aca="false">'1. Raw Data'!N1057</f>
        <v>No</v>
      </c>
    </row>
    <row r="1059" customFormat="false" ht="15" hidden="false" customHeight="false" outlineLevel="0" collapsed="false">
      <c r="A1059" s="3" t="str">
        <f aca="false">'1. Raw Data'!A1058</f>
        <v>EMP-1057</v>
      </c>
      <c r="B1059" s="3" t="n">
        <f aca="false">'1. Raw Data'!B1058</f>
        <v>28</v>
      </c>
      <c r="C1059" s="3" t="str">
        <f aca="false">'1. Raw Data'!C1058</f>
        <v>HR</v>
      </c>
      <c r="D1059" s="3" t="str">
        <f aca="false">'1. Raw Data'!D1058</f>
        <v>Senior</v>
      </c>
      <c r="E1059" s="3" t="str">
        <f aca="false">'1. Raw Data'!E1058</f>
        <v>Other</v>
      </c>
      <c r="F1059" s="3" t="n">
        <f aca="false">'1. Raw Data'!F1058</f>
        <v>1.2</v>
      </c>
      <c r="G1059" s="3" t="n">
        <f aca="false">IF('1. Raw Data'!G1058="",ROUND(IFERROR(AVERAGEIFS('1. Raw Data'!G2:G1201,'1. Raw Data'!C2:C1201,'1. Raw Data'!C1058,'1. Raw Data'!D2:D1201,'1. Raw Data'!D1058),0),2),'1. Raw Data'!G1058)</f>
        <v>8479.07</v>
      </c>
      <c r="H1059" s="3" t="str">
        <f aca="false">PROPER('1. Raw Data'!H1058)</f>
        <v>No</v>
      </c>
      <c r="I1059" s="3" t="n">
        <f aca="false">'1. Raw Data'!I1058</f>
        <v>4</v>
      </c>
      <c r="J1059" s="3" t="n">
        <f aca="false">'1. Raw Data'!J1058</f>
        <v>4</v>
      </c>
      <c r="K1059" s="3" t="n">
        <f aca="false">'1. Raw Data'!K1058</f>
        <v>14</v>
      </c>
      <c r="L1059" s="3" t="n">
        <f aca="false">'1. Raw Data'!L1058</f>
        <v>0</v>
      </c>
      <c r="M1059" s="3" t="n">
        <f aca="false">'1. Raw Data'!M1058</f>
        <v>1</v>
      </c>
      <c r="N1059" s="3" t="str">
        <f aca="false">'1. Raw Data'!N1058</f>
        <v>No</v>
      </c>
    </row>
    <row r="1060" customFormat="false" ht="15" hidden="false" customHeight="false" outlineLevel="0" collapsed="false">
      <c r="A1060" s="3" t="str">
        <f aca="false">'1. Raw Data'!A1059</f>
        <v>EMP-1058</v>
      </c>
      <c r="B1060" s="3" t="n">
        <f aca="false">'1. Raw Data'!B1059</f>
        <v>42</v>
      </c>
      <c r="C1060" s="3" t="str">
        <f aca="false">'1. Raw Data'!C1059</f>
        <v>Customer Support</v>
      </c>
      <c r="D1060" s="3" t="str">
        <f aca="false">'1. Raw Data'!D1059</f>
        <v>Lead</v>
      </c>
      <c r="E1060" s="3" t="str">
        <f aca="false">'1. Raw Data'!E1059</f>
        <v>Marketing</v>
      </c>
      <c r="F1060" s="3" t="n">
        <f aca="false">'1. Raw Data'!F1059</f>
        <v>0.5</v>
      </c>
      <c r="G1060" s="3" t="n">
        <f aca="false">IF('1. Raw Data'!G1059="",ROUND(IFERROR(AVERAGEIFS('1. Raw Data'!G2:G1201,'1. Raw Data'!C2:C1201,'1. Raw Data'!C1059,'1. Raw Data'!D2:D1201,'1. Raw Data'!D1059),0),2),'1. Raw Data'!G1059)</f>
        <v>11054.04</v>
      </c>
      <c r="H1060" s="3" t="str">
        <f aca="false">PROPER('1. Raw Data'!H1059)</f>
        <v>Yes</v>
      </c>
      <c r="I1060" s="3" t="n">
        <f aca="false">'1. Raw Data'!I1059</f>
        <v>1</v>
      </c>
      <c r="J1060" s="3" t="n">
        <f aca="false">'1. Raw Data'!J1059</f>
        <v>4</v>
      </c>
      <c r="K1060" s="3" t="n">
        <f aca="false">'1. Raw Data'!K1059</f>
        <v>7</v>
      </c>
      <c r="L1060" s="3" t="n">
        <f aca="false">'1. Raw Data'!L1059</f>
        <v>0</v>
      </c>
      <c r="M1060" s="3" t="n">
        <f aca="false">'1. Raw Data'!M1059</f>
        <v>1</v>
      </c>
      <c r="N1060" s="3" t="str">
        <f aca="false">'1. Raw Data'!N1059</f>
        <v>No</v>
      </c>
    </row>
    <row r="1061" customFormat="false" ht="15" hidden="false" customHeight="false" outlineLevel="0" collapsed="false">
      <c r="A1061" s="3" t="str">
        <f aca="false">'1. Raw Data'!A1060</f>
        <v>EMP-1059</v>
      </c>
      <c r="B1061" s="3" t="n">
        <f aca="false">'1. Raw Data'!B1060</f>
        <v>21</v>
      </c>
      <c r="C1061" s="3" t="str">
        <f aca="false">'1. Raw Data'!C1060</f>
        <v>Customer Support</v>
      </c>
      <c r="D1061" s="3" t="str">
        <f aca="false">'1. Raw Data'!D1060</f>
        <v>Senior</v>
      </c>
      <c r="E1061" s="3" t="str">
        <f aca="false">'1. Raw Data'!E1060</f>
        <v>Other</v>
      </c>
      <c r="F1061" s="3" t="n">
        <f aca="false">'1. Raw Data'!F1060</f>
        <v>0</v>
      </c>
      <c r="G1061" s="3" t="n">
        <f aca="false">IF('1. Raw Data'!G1060="",ROUND(IFERROR(AVERAGEIFS('1. Raw Data'!G2:G1201,'1. Raw Data'!C2:C1201,'1. Raw Data'!C1060,'1. Raw Data'!D2:D1201,'1. Raw Data'!D1060),0),2),'1. Raw Data'!G1060)</f>
        <v>8634.27</v>
      </c>
      <c r="H1061" s="3" t="str">
        <f aca="false">PROPER('1. Raw Data'!H1060)</f>
        <v>No</v>
      </c>
      <c r="I1061" s="3" t="n">
        <f aca="false">'1. Raw Data'!I1060</f>
        <v>3</v>
      </c>
      <c r="J1061" s="3" t="n">
        <f aca="false">'1. Raw Data'!J1060</f>
        <v>4</v>
      </c>
      <c r="K1061" s="3" t="n">
        <f aca="false">'1. Raw Data'!K1060</f>
        <v>38</v>
      </c>
      <c r="L1061" s="3" t="n">
        <f aca="false">'1. Raw Data'!L1060</f>
        <v>0</v>
      </c>
      <c r="M1061" s="3" t="n">
        <f aca="false">'1. Raw Data'!M1060</f>
        <v>3</v>
      </c>
      <c r="N1061" s="3" t="str">
        <f aca="false">'1. Raw Data'!N1060</f>
        <v>Yes</v>
      </c>
    </row>
    <row r="1062" customFormat="false" ht="15" hidden="false" customHeight="false" outlineLevel="0" collapsed="false">
      <c r="A1062" s="3" t="str">
        <f aca="false">'1. Raw Data'!A1061</f>
        <v>EMP-1060</v>
      </c>
      <c r="B1062" s="3" t="n">
        <f aca="false">'1. Raw Data'!B1061</f>
        <v>30</v>
      </c>
      <c r="C1062" s="3" t="str">
        <f aca="false">'1. Raw Data'!C1061</f>
        <v>Sales</v>
      </c>
      <c r="D1062" s="3" t="str">
        <f aca="false">'1. Raw Data'!D1061</f>
        <v>Junior</v>
      </c>
      <c r="E1062" s="3" t="str">
        <f aca="false">'1. Raw Data'!E1061</f>
        <v>Business</v>
      </c>
      <c r="F1062" s="3" t="n">
        <f aca="false">'1. Raw Data'!F1061</f>
        <v>3.2</v>
      </c>
      <c r="G1062" s="3" t="n">
        <f aca="false">IF('1. Raw Data'!G1061="",ROUND(IFERROR(AVERAGEIFS('1. Raw Data'!G2:G1201,'1. Raw Data'!C2:C1201,'1. Raw Data'!C1061,'1. Raw Data'!D2:D1201,'1. Raw Data'!D1061),0),2),'1. Raw Data'!G1061)</f>
        <v>3505.63</v>
      </c>
      <c r="H1062" s="3" t="str">
        <f aca="false">PROPER('1. Raw Data'!H1061)</f>
        <v>No</v>
      </c>
      <c r="I1062" s="3" t="n">
        <f aca="false">'1. Raw Data'!I1061</f>
        <v>4</v>
      </c>
      <c r="J1062" s="3" t="n">
        <f aca="false">'1. Raw Data'!J1061</f>
        <v>3</v>
      </c>
      <c r="K1062" s="3" t="n">
        <f aca="false">'1. Raw Data'!K1061</f>
        <v>10</v>
      </c>
      <c r="L1062" s="3" t="n">
        <f aca="false">'1. Raw Data'!L1061</f>
        <v>2</v>
      </c>
      <c r="M1062" s="3" t="n">
        <f aca="false">'1. Raw Data'!M1061</f>
        <v>3</v>
      </c>
      <c r="N1062" s="3" t="str">
        <f aca="false">'1. Raw Data'!N1061</f>
        <v>No</v>
      </c>
    </row>
    <row r="1063" customFormat="false" ht="15" hidden="false" customHeight="false" outlineLevel="0" collapsed="false">
      <c r="A1063" s="3" t="str">
        <f aca="false">'1. Raw Data'!A1062</f>
        <v>EMP-1061</v>
      </c>
      <c r="B1063" s="3" t="n">
        <f aca="false">'1. Raw Data'!B1062</f>
        <v>44</v>
      </c>
      <c r="C1063" s="3" t="str">
        <f aca="false">'1. Raw Data'!C1062</f>
        <v>Customer Support</v>
      </c>
      <c r="D1063" s="3" t="str">
        <f aca="false">'1. Raw Data'!D1062</f>
        <v>Junior</v>
      </c>
      <c r="E1063" s="3" t="str">
        <f aca="false">'1. Raw Data'!E1062</f>
        <v>Other</v>
      </c>
      <c r="F1063" s="3" t="n">
        <f aca="false">'1. Raw Data'!F1062</f>
        <v>6.1</v>
      </c>
      <c r="G1063" s="3" t="n">
        <f aca="false">IF('1. Raw Data'!G1062="",ROUND(IFERROR(AVERAGEIFS('1. Raw Data'!G2:G1201,'1. Raw Data'!C2:C1201,'1. Raw Data'!C1062,'1. Raw Data'!D2:D1201,'1. Raw Data'!D1062),0),2),'1. Raw Data'!G1062)</f>
        <v>3731.02</v>
      </c>
      <c r="H1063" s="3" t="str">
        <f aca="false">PROPER('1. Raw Data'!H1062)</f>
        <v>Yes</v>
      </c>
      <c r="I1063" s="3" t="n">
        <f aca="false">'1. Raw Data'!I1062</f>
        <v>4</v>
      </c>
      <c r="J1063" s="3" t="n">
        <f aca="false">'1. Raw Data'!J1062</f>
        <v>3</v>
      </c>
      <c r="K1063" s="3" t="n">
        <f aca="false">'1. Raw Data'!K1062</f>
        <v>2</v>
      </c>
      <c r="L1063" s="3" t="n">
        <f aca="false">'1. Raw Data'!L1062</f>
        <v>2</v>
      </c>
      <c r="M1063" s="3" t="n">
        <f aca="false">'1. Raw Data'!M1062</f>
        <v>0</v>
      </c>
      <c r="N1063" s="3" t="str">
        <f aca="false">'1. Raw Data'!N1062</f>
        <v>No</v>
      </c>
    </row>
    <row r="1064" customFormat="false" ht="15" hidden="false" customHeight="false" outlineLevel="0" collapsed="false">
      <c r="A1064" s="3" t="str">
        <f aca="false">'1. Raw Data'!A1063</f>
        <v>EMP-1062</v>
      </c>
      <c r="B1064" s="3" t="n">
        <f aca="false">'1. Raw Data'!B1063</f>
        <v>30</v>
      </c>
      <c r="C1064" s="3" t="str">
        <f aca="false">'1. Raw Data'!C1063</f>
        <v>Sales</v>
      </c>
      <c r="D1064" s="3" t="str">
        <f aca="false">'1. Raw Data'!D1063</f>
        <v>Senior</v>
      </c>
      <c r="E1064" s="3" t="str">
        <f aca="false">'1. Raw Data'!E1063</f>
        <v>Other</v>
      </c>
      <c r="F1064" s="3" t="n">
        <f aca="false">'1. Raw Data'!F1063</f>
        <v>1.4</v>
      </c>
      <c r="G1064" s="3" t="n">
        <f aca="false">IF('1. Raw Data'!G1063="",ROUND(IFERROR(AVERAGEIFS('1. Raw Data'!G2:G1201,'1. Raw Data'!C2:C1201,'1. Raw Data'!C1063,'1. Raw Data'!D2:D1201,'1. Raw Data'!D1063),0),2),'1. Raw Data'!G1063)</f>
        <v>8370.89</v>
      </c>
      <c r="H1064" s="3" t="str">
        <f aca="false">PROPER('1. Raw Data'!H1063)</f>
        <v>Yes</v>
      </c>
      <c r="I1064" s="3" t="n">
        <f aca="false">'1. Raw Data'!I1063</f>
        <v>4</v>
      </c>
      <c r="J1064" s="3" t="n">
        <f aca="false">'1. Raw Data'!J1063</f>
        <v>3</v>
      </c>
      <c r="K1064" s="3" t="n">
        <f aca="false">'1. Raw Data'!K1063</f>
        <v>12</v>
      </c>
      <c r="L1064" s="3" t="n">
        <f aca="false">'1. Raw Data'!L1063</f>
        <v>1</v>
      </c>
      <c r="M1064" s="3" t="n">
        <f aca="false">'1. Raw Data'!M1063</f>
        <v>2</v>
      </c>
      <c r="N1064" s="3" t="str">
        <f aca="false">'1. Raw Data'!N1063</f>
        <v>No</v>
      </c>
    </row>
    <row r="1065" customFormat="false" ht="15" hidden="false" customHeight="false" outlineLevel="0" collapsed="false">
      <c r="A1065" s="3" t="str">
        <f aca="false">'1. Raw Data'!A1064</f>
        <v>EMP-1063</v>
      </c>
      <c r="B1065" s="3" t="n">
        <f aca="false">'1. Raw Data'!B1064</f>
        <v>33</v>
      </c>
      <c r="C1065" s="3" t="str">
        <f aca="false">'1. Raw Data'!C1064</f>
        <v>Sales</v>
      </c>
      <c r="D1065" s="3" t="str">
        <f aca="false">'1. Raw Data'!D1064</f>
        <v>Mid</v>
      </c>
      <c r="E1065" s="3" t="str">
        <f aca="false">'1. Raw Data'!E1064</f>
        <v>Marketing</v>
      </c>
      <c r="F1065" s="3" t="n">
        <f aca="false">'1. Raw Data'!F1064</f>
        <v>1.8</v>
      </c>
      <c r="G1065" s="3" t="n">
        <f aca="false">IF('1. Raw Data'!G1064="",ROUND(IFERROR(AVERAGEIFS('1. Raw Data'!G2:G1201,'1. Raw Data'!C2:C1201,'1. Raw Data'!C1064,'1. Raw Data'!D2:D1201,'1. Raw Data'!D1064),0),2),'1. Raw Data'!G1064)</f>
        <v>4114.71</v>
      </c>
      <c r="H1065" s="3" t="str">
        <f aca="false">PROPER('1. Raw Data'!H1064)</f>
        <v>Yes</v>
      </c>
      <c r="I1065" s="3" t="n">
        <f aca="false">'1. Raw Data'!I1064</f>
        <v>1</v>
      </c>
      <c r="J1065" s="3" t="n">
        <f aca="false">'1. Raw Data'!J1064</f>
        <v>3</v>
      </c>
      <c r="K1065" s="3" t="n">
        <f aca="false">'1. Raw Data'!K1064</f>
        <v>10</v>
      </c>
      <c r="L1065" s="3" t="n">
        <f aca="false">'1. Raw Data'!L1064</f>
        <v>1</v>
      </c>
      <c r="M1065" s="3" t="n">
        <f aca="false">'1. Raw Data'!M1064</f>
        <v>5</v>
      </c>
      <c r="N1065" s="3" t="str">
        <f aca="false">'1. Raw Data'!N1064</f>
        <v>No</v>
      </c>
    </row>
    <row r="1066" customFormat="false" ht="15" hidden="false" customHeight="false" outlineLevel="0" collapsed="false">
      <c r="A1066" s="3" t="str">
        <f aca="false">'1. Raw Data'!A1065</f>
        <v>EMP-1064</v>
      </c>
      <c r="B1066" s="3" t="n">
        <f aca="false">'1. Raw Data'!B1065</f>
        <v>39</v>
      </c>
      <c r="C1066" s="3" t="str">
        <f aca="false">'1. Raw Data'!C1065</f>
        <v>Customer Support</v>
      </c>
      <c r="D1066" s="3" t="str">
        <f aca="false">'1. Raw Data'!D1065</f>
        <v>Junior</v>
      </c>
      <c r="E1066" s="3" t="str">
        <f aca="false">'1. Raw Data'!E1065</f>
        <v>Other</v>
      </c>
      <c r="F1066" s="3" t="n">
        <f aca="false">'1. Raw Data'!F1065</f>
        <v>3.2</v>
      </c>
      <c r="G1066" s="3" t="n">
        <f aca="false">IF('1. Raw Data'!G1065="",ROUND(IFERROR(AVERAGEIFS('1. Raw Data'!G2:G1201,'1. Raw Data'!C2:C1201,'1. Raw Data'!C1065,'1. Raw Data'!D2:D1201,'1. Raw Data'!D1065),0),2),'1. Raw Data'!G1065)</f>
        <v>3153.58</v>
      </c>
      <c r="H1066" s="3" t="str">
        <f aca="false">PROPER('1. Raw Data'!H1065)</f>
        <v>Yes</v>
      </c>
      <c r="I1066" s="3" t="n">
        <f aca="false">'1. Raw Data'!I1065</f>
        <v>3</v>
      </c>
      <c r="J1066" s="3" t="n">
        <f aca="false">'1. Raw Data'!J1065</f>
        <v>4</v>
      </c>
      <c r="K1066" s="3" t="n">
        <f aca="false">'1. Raw Data'!K1065</f>
        <v>11</v>
      </c>
      <c r="L1066" s="3" t="n">
        <f aca="false">'1. Raw Data'!L1065</f>
        <v>0</v>
      </c>
      <c r="M1066" s="3" t="n">
        <f aca="false">'1. Raw Data'!M1065</f>
        <v>1</v>
      </c>
      <c r="N1066" s="3" t="str">
        <f aca="false">'1. Raw Data'!N1065</f>
        <v>No</v>
      </c>
    </row>
    <row r="1067" customFormat="false" ht="15" hidden="false" customHeight="false" outlineLevel="0" collapsed="false">
      <c r="A1067" s="3" t="str">
        <f aca="false">'1. Raw Data'!A1066</f>
        <v>EMP-1065</v>
      </c>
      <c r="B1067" s="3" t="n">
        <f aca="false">'1. Raw Data'!B1066</f>
        <v>24</v>
      </c>
      <c r="C1067" s="3" t="str">
        <f aca="false">'1. Raw Data'!C1066</f>
        <v>Finance</v>
      </c>
      <c r="D1067" s="3" t="str">
        <f aca="false">'1. Raw Data'!D1066</f>
        <v>Junior</v>
      </c>
      <c r="E1067" s="3" t="str">
        <f aca="false">'1. Raw Data'!E1066</f>
        <v>Other</v>
      </c>
      <c r="F1067" s="3" t="n">
        <f aca="false">'1. Raw Data'!F1066</f>
        <v>3</v>
      </c>
      <c r="G1067" s="3" t="n">
        <f aca="false">IF('1. Raw Data'!G1066="",ROUND(IFERROR(AVERAGEIFS('1. Raw Data'!G2:G1201,'1. Raw Data'!C2:C1201,'1. Raw Data'!C1066,'1. Raw Data'!D2:D1201,'1. Raw Data'!D1066),0),2),'1. Raw Data'!G1066)</f>
        <v>2767.08</v>
      </c>
      <c r="H1067" s="3" t="str">
        <f aca="false">PROPER('1. Raw Data'!H1066)</f>
        <v>Yes</v>
      </c>
      <c r="I1067" s="3" t="n">
        <f aca="false">'1. Raw Data'!I1066</f>
        <v>3</v>
      </c>
      <c r="J1067" s="3" t="n">
        <f aca="false">'1. Raw Data'!J1066</f>
        <v>3</v>
      </c>
      <c r="K1067" s="3" t="n">
        <f aca="false">'1. Raw Data'!K1066</f>
        <v>2</v>
      </c>
      <c r="L1067" s="3" t="n">
        <f aca="false">'1. Raw Data'!L1066</f>
        <v>2</v>
      </c>
      <c r="M1067" s="3" t="n">
        <f aca="false">'1. Raw Data'!M1066</f>
        <v>0</v>
      </c>
      <c r="N1067" s="3" t="str">
        <f aca="false">'1. Raw Data'!N1066</f>
        <v>No</v>
      </c>
    </row>
    <row r="1068" customFormat="false" ht="15" hidden="false" customHeight="false" outlineLevel="0" collapsed="false">
      <c r="A1068" s="3" t="str">
        <f aca="false">'1. Raw Data'!A1067</f>
        <v>EMP-1066</v>
      </c>
      <c r="B1068" s="3" t="n">
        <f aca="false">'1. Raw Data'!B1067</f>
        <v>31</v>
      </c>
      <c r="C1068" s="3" t="str">
        <f aca="false">'1. Raw Data'!C1067</f>
        <v>Finance</v>
      </c>
      <c r="D1068" s="3" t="str">
        <f aca="false">'1. Raw Data'!D1067</f>
        <v>Senior</v>
      </c>
      <c r="E1068" s="3" t="str">
        <f aca="false">'1. Raw Data'!E1067</f>
        <v>Technical</v>
      </c>
      <c r="F1068" s="3" t="n">
        <f aca="false">'1. Raw Data'!F1067</f>
        <v>7.4</v>
      </c>
      <c r="G1068" s="3" t="n">
        <f aca="false">IF('1. Raw Data'!G1067="",ROUND(IFERROR(AVERAGEIFS('1. Raw Data'!G2:G1201,'1. Raw Data'!C2:C1201,'1. Raw Data'!C1067,'1. Raw Data'!D2:D1201,'1. Raw Data'!D1067),0),2),'1. Raw Data'!G1067)</f>
        <v>8565.26</v>
      </c>
      <c r="H1068" s="3" t="str">
        <f aca="false">PROPER('1. Raw Data'!H1067)</f>
        <v>No</v>
      </c>
      <c r="I1068" s="3" t="n">
        <f aca="false">'1. Raw Data'!I1067</f>
        <v>3</v>
      </c>
      <c r="J1068" s="3" t="n">
        <f aca="false">'1. Raw Data'!J1067</f>
        <v>4</v>
      </c>
      <c r="K1068" s="3" t="n">
        <f aca="false">'1. Raw Data'!K1067</f>
        <v>2</v>
      </c>
      <c r="L1068" s="3" t="n">
        <f aca="false">'1. Raw Data'!L1067</f>
        <v>5</v>
      </c>
      <c r="M1068" s="3" t="n">
        <f aca="false">'1. Raw Data'!M1067</f>
        <v>4</v>
      </c>
      <c r="N1068" s="3" t="str">
        <f aca="false">'1. Raw Data'!N1067</f>
        <v>No</v>
      </c>
    </row>
    <row r="1069" customFormat="false" ht="15" hidden="false" customHeight="false" outlineLevel="0" collapsed="false">
      <c r="A1069" s="3" t="str">
        <f aca="false">'1. Raw Data'!A1068</f>
        <v>EMP-1067</v>
      </c>
      <c r="B1069" s="3" t="n">
        <f aca="false">'1. Raw Data'!B1068</f>
        <v>31</v>
      </c>
      <c r="C1069" s="3" t="str">
        <f aca="false">'1. Raw Data'!C1068</f>
        <v>Engineering</v>
      </c>
      <c r="D1069" s="3" t="str">
        <f aca="false">'1. Raw Data'!D1068</f>
        <v>Junior</v>
      </c>
      <c r="E1069" s="3" t="str">
        <f aca="false">'1. Raw Data'!E1068</f>
        <v>Business</v>
      </c>
      <c r="F1069" s="3" t="n">
        <f aca="false">'1. Raw Data'!F1068</f>
        <v>2.1</v>
      </c>
      <c r="G1069" s="3" t="n">
        <f aca="false">IF('1. Raw Data'!G1068="",ROUND(IFERROR(AVERAGEIFS('1. Raw Data'!G2:G1201,'1. Raw Data'!C2:C1201,'1. Raw Data'!C1068,'1. Raw Data'!D2:D1201,'1. Raw Data'!D1068),0),2),'1. Raw Data'!G1068)</f>
        <v>2825.12</v>
      </c>
      <c r="H1069" s="3" t="str">
        <f aca="false">PROPER('1. Raw Data'!H1068)</f>
        <v>Yes</v>
      </c>
      <c r="I1069" s="3" t="n">
        <f aca="false">'1. Raw Data'!I1068</f>
        <v>4</v>
      </c>
      <c r="J1069" s="3" t="n">
        <f aca="false">'1. Raw Data'!J1068</f>
        <v>2</v>
      </c>
      <c r="K1069" s="3" t="n">
        <f aca="false">'1. Raw Data'!K1068</f>
        <v>6</v>
      </c>
      <c r="L1069" s="3" t="n">
        <f aca="false">'1. Raw Data'!L1068</f>
        <v>2</v>
      </c>
      <c r="M1069" s="3" t="n">
        <f aca="false">'1. Raw Data'!M1068</f>
        <v>3</v>
      </c>
      <c r="N1069" s="3" t="str">
        <f aca="false">'1. Raw Data'!N1068</f>
        <v>Yes</v>
      </c>
    </row>
    <row r="1070" customFormat="false" ht="15" hidden="false" customHeight="false" outlineLevel="0" collapsed="false">
      <c r="A1070" s="3" t="str">
        <f aca="false">'1. Raw Data'!A1069</f>
        <v>EMP-1068</v>
      </c>
      <c r="B1070" s="3" t="n">
        <f aca="false">'1. Raw Data'!B1069</f>
        <v>29</v>
      </c>
      <c r="C1070" s="3" t="str">
        <f aca="false">'1. Raw Data'!C1069</f>
        <v>Sales</v>
      </c>
      <c r="D1070" s="3" t="str">
        <f aca="false">'1. Raw Data'!D1069</f>
        <v>Mid</v>
      </c>
      <c r="E1070" s="3" t="str">
        <f aca="false">'1. Raw Data'!E1069</f>
        <v>Marketing</v>
      </c>
      <c r="F1070" s="3" t="n">
        <f aca="false">'1. Raw Data'!F1069</f>
        <v>0.4</v>
      </c>
      <c r="G1070" s="3" t="n">
        <f aca="false">IF('1. Raw Data'!G1069="",ROUND(IFERROR(AVERAGEIFS('1. Raw Data'!G2:G1201,'1. Raw Data'!C2:C1201,'1. Raw Data'!C1069,'1. Raw Data'!D2:D1201,'1. Raw Data'!D1069),0),2),'1. Raw Data'!G1069)</f>
        <v>5109.04</v>
      </c>
      <c r="H1070" s="3" t="str">
        <f aca="false">PROPER('1. Raw Data'!H1069)</f>
        <v>Yes</v>
      </c>
      <c r="I1070" s="3" t="n">
        <f aca="false">'1. Raw Data'!I1069</f>
        <v>3</v>
      </c>
      <c r="J1070" s="3" t="n">
        <f aca="false">'1. Raw Data'!J1069</f>
        <v>1</v>
      </c>
      <c r="K1070" s="3" t="n">
        <f aca="false">'1. Raw Data'!K1069</f>
        <v>10</v>
      </c>
      <c r="L1070" s="3" t="n">
        <f aca="false">'1. Raw Data'!L1069</f>
        <v>0</v>
      </c>
      <c r="M1070" s="3" t="n">
        <f aca="false">'1. Raw Data'!M1069</f>
        <v>2</v>
      </c>
      <c r="N1070" s="3" t="str">
        <f aca="false">'1. Raw Data'!N1069</f>
        <v>Yes</v>
      </c>
    </row>
    <row r="1071" customFormat="false" ht="15" hidden="false" customHeight="false" outlineLevel="0" collapsed="false">
      <c r="A1071" s="3" t="str">
        <f aca="false">'1. Raw Data'!A1070</f>
        <v>EMP-1069</v>
      </c>
      <c r="B1071" s="3" t="n">
        <f aca="false">'1. Raw Data'!B1070</f>
        <v>23</v>
      </c>
      <c r="C1071" s="3" t="str">
        <f aca="false">'1. Raw Data'!C1070</f>
        <v>Sales</v>
      </c>
      <c r="D1071" s="3" t="str">
        <f aca="false">'1. Raw Data'!D1070</f>
        <v>Mid</v>
      </c>
      <c r="E1071" s="3" t="str">
        <f aca="false">'1. Raw Data'!E1070</f>
        <v>Marketing</v>
      </c>
      <c r="F1071" s="3" t="n">
        <f aca="false">'1. Raw Data'!F1070</f>
        <v>2</v>
      </c>
      <c r="G1071" s="3" t="n">
        <f aca="false">IF('1. Raw Data'!G1070="",ROUND(IFERROR(AVERAGEIFS('1. Raw Data'!G2:G1201,'1. Raw Data'!C2:C1201,'1. Raw Data'!C1070,'1. Raw Data'!D2:D1201,'1. Raw Data'!D1070),0),2),'1. Raw Data'!G1070)</f>
        <v>4407.65</v>
      </c>
      <c r="H1071" s="3" t="str">
        <f aca="false">PROPER('1. Raw Data'!H1070)</f>
        <v>Yes</v>
      </c>
      <c r="I1071" s="3" t="n">
        <f aca="false">'1. Raw Data'!I1070</f>
        <v>3</v>
      </c>
      <c r="J1071" s="3" t="n">
        <f aca="false">'1. Raw Data'!J1070</f>
        <v>3</v>
      </c>
      <c r="K1071" s="3" t="n">
        <f aca="false">'1. Raw Data'!K1070</f>
        <v>1</v>
      </c>
      <c r="L1071" s="3" t="n">
        <f aca="false">'1. Raw Data'!L1070</f>
        <v>1</v>
      </c>
      <c r="M1071" s="3" t="n">
        <f aca="false">'1. Raw Data'!M1070</f>
        <v>3</v>
      </c>
      <c r="N1071" s="3" t="str">
        <f aca="false">'1. Raw Data'!N1070</f>
        <v>No</v>
      </c>
    </row>
    <row r="1072" customFormat="false" ht="15" hidden="false" customHeight="false" outlineLevel="0" collapsed="false">
      <c r="A1072" s="3" t="str">
        <f aca="false">'1. Raw Data'!A1071</f>
        <v>EMP-1070</v>
      </c>
      <c r="B1072" s="3" t="n">
        <f aca="false">'1. Raw Data'!B1071</f>
        <v>23</v>
      </c>
      <c r="C1072" s="3" t="str">
        <f aca="false">'1. Raw Data'!C1071</f>
        <v>Customer Support</v>
      </c>
      <c r="D1072" s="3" t="str">
        <f aca="false">'1. Raw Data'!D1071</f>
        <v>Mid</v>
      </c>
      <c r="E1072" s="3" t="str">
        <f aca="false">'1. Raw Data'!E1071</f>
        <v>Other</v>
      </c>
      <c r="F1072" s="3" t="n">
        <f aca="false">'1. Raw Data'!F1071</f>
        <v>2</v>
      </c>
      <c r="G1072" s="3" t="n">
        <f aca="false">IF('1. Raw Data'!G1071="",ROUND(IFERROR(AVERAGEIFS('1. Raw Data'!G2:G1201,'1. Raw Data'!C2:C1201,'1. Raw Data'!C1071,'1. Raw Data'!D2:D1201,'1. Raw Data'!D1071),0),2),'1. Raw Data'!G1071)</f>
        <v>5252.1</v>
      </c>
      <c r="H1072" s="3" t="str">
        <f aca="false">PROPER('1. Raw Data'!H1071)</f>
        <v>No</v>
      </c>
      <c r="I1072" s="3" t="n">
        <f aca="false">'1. Raw Data'!I1071</f>
        <v>4</v>
      </c>
      <c r="J1072" s="3" t="n">
        <f aca="false">'1. Raw Data'!J1071</f>
        <v>4</v>
      </c>
      <c r="K1072" s="3" t="n">
        <f aca="false">'1. Raw Data'!K1071</f>
        <v>13</v>
      </c>
      <c r="L1072" s="3" t="n">
        <f aca="false">'1. Raw Data'!L1071</f>
        <v>0</v>
      </c>
      <c r="M1072" s="3" t="n">
        <f aca="false">'1. Raw Data'!M1071</f>
        <v>0</v>
      </c>
      <c r="N1072" s="3" t="str">
        <f aca="false">'1. Raw Data'!N1071</f>
        <v>Yes</v>
      </c>
    </row>
    <row r="1073" customFormat="false" ht="15" hidden="false" customHeight="false" outlineLevel="0" collapsed="false">
      <c r="A1073" s="3" t="str">
        <f aca="false">'1. Raw Data'!A1072</f>
        <v>EMP-1071</v>
      </c>
      <c r="B1073" s="3" t="n">
        <f aca="false">'1. Raw Data'!B1072</f>
        <v>29</v>
      </c>
      <c r="C1073" s="3" t="str">
        <f aca="false">'1. Raw Data'!C1072</f>
        <v>HR</v>
      </c>
      <c r="D1073" s="3" t="str">
        <f aca="false">'1. Raw Data'!D1072</f>
        <v>Junior</v>
      </c>
      <c r="E1073" s="3" t="str">
        <f aca="false">'1. Raw Data'!E1072</f>
        <v>Technical</v>
      </c>
      <c r="F1073" s="3" t="n">
        <f aca="false">'1. Raw Data'!F1072</f>
        <v>6.5</v>
      </c>
      <c r="G1073" s="3" t="n">
        <f aca="false">IF('1. Raw Data'!G1072="",ROUND(IFERROR(AVERAGEIFS('1. Raw Data'!G2:G1201,'1. Raw Data'!C2:C1201,'1. Raw Data'!C1072,'1. Raw Data'!D2:D1201,'1. Raw Data'!D1072),0),2),'1. Raw Data'!G1072)</f>
        <v>3178.32</v>
      </c>
      <c r="H1073" s="3" t="str">
        <f aca="false">PROPER('1. Raw Data'!H1072)</f>
        <v>No</v>
      </c>
      <c r="I1073" s="3" t="n">
        <f aca="false">'1. Raw Data'!I1072</f>
        <v>3</v>
      </c>
      <c r="J1073" s="3" t="n">
        <f aca="false">'1. Raw Data'!J1072</f>
        <v>4</v>
      </c>
      <c r="K1073" s="3" t="n">
        <f aca="false">'1. Raw Data'!K1072</f>
        <v>7</v>
      </c>
      <c r="L1073" s="3" t="n">
        <f aca="false">'1. Raw Data'!L1072</f>
        <v>0</v>
      </c>
      <c r="M1073" s="3" t="n">
        <f aca="false">'1. Raw Data'!M1072</f>
        <v>1</v>
      </c>
      <c r="N1073" s="3" t="str">
        <f aca="false">'1. Raw Data'!N1072</f>
        <v>No</v>
      </c>
    </row>
    <row r="1074" customFormat="false" ht="15" hidden="false" customHeight="false" outlineLevel="0" collapsed="false">
      <c r="A1074" s="3" t="str">
        <f aca="false">'1. Raw Data'!A1073</f>
        <v>EMP-1072</v>
      </c>
      <c r="B1074" s="3" t="n">
        <f aca="false">'1. Raw Data'!B1073</f>
        <v>37</v>
      </c>
      <c r="C1074" s="3" t="str">
        <f aca="false">'1. Raw Data'!C1073</f>
        <v>Finance</v>
      </c>
      <c r="D1074" s="3" t="str">
        <f aca="false">'1. Raw Data'!D1073</f>
        <v>Senior</v>
      </c>
      <c r="E1074" s="3" t="str">
        <f aca="false">'1. Raw Data'!E1073</f>
        <v>Marketing</v>
      </c>
      <c r="F1074" s="3" t="n">
        <f aca="false">'1. Raw Data'!F1073</f>
        <v>2.2</v>
      </c>
      <c r="G1074" s="3" t="n">
        <f aca="false">IF('1. Raw Data'!G1073="",ROUND(IFERROR(AVERAGEIFS('1. Raw Data'!G2:G1201,'1. Raw Data'!C2:C1201,'1. Raw Data'!C1073,'1. Raw Data'!D2:D1201,'1. Raw Data'!D1073),0),2),'1. Raw Data'!G1073)</f>
        <v>6957.62</v>
      </c>
      <c r="H1074" s="3" t="str">
        <f aca="false">PROPER('1. Raw Data'!H1073)</f>
        <v>No</v>
      </c>
      <c r="I1074" s="3" t="n">
        <f aca="false">'1. Raw Data'!I1073</f>
        <v>4</v>
      </c>
      <c r="J1074" s="3" t="n">
        <f aca="false">'1. Raw Data'!J1073</f>
        <v>3</v>
      </c>
      <c r="K1074" s="3" t="n">
        <f aca="false">'1. Raw Data'!K1073</f>
        <v>1</v>
      </c>
      <c r="L1074" s="3" t="n">
        <f aca="false">'1. Raw Data'!L1073</f>
        <v>0</v>
      </c>
      <c r="M1074" s="3" t="n">
        <f aca="false">'1. Raw Data'!M1073</f>
        <v>6</v>
      </c>
      <c r="N1074" s="3" t="str">
        <f aca="false">'1. Raw Data'!N1073</f>
        <v>No</v>
      </c>
    </row>
    <row r="1075" customFormat="false" ht="15" hidden="false" customHeight="false" outlineLevel="0" collapsed="false">
      <c r="A1075" s="3" t="str">
        <f aca="false">'1. Raw Data'!A1074</f>
        <v>EMP-1073</v>
      </c>
      <c r="B1075" s="3" t="n">
        <f aca="false">'1. Raw Data'!B1074</f>
        <v>24</v>
      </c>
      <c r="C1075" s="3" t="str">
        <f aca="false">'1. Raw Data'!C1074</f>
        <v>Engineering</v>
      </c>
      <c r="D1075" s="3" t="str">
        <f aca="false">'1. Raw Data'!D1074</f>
        <v>Junior</v>
      </c>
      <c r="E1075" s="3" t="str">
        <f aca="false">'1. Raw Data'!E1074</f>
        <v>Technical</v>
      </c>
      <c r="F1075" s="3" t="n">
        <f aca="false">'1. Raw Data'!F1074</f>
        <v>3</v>
      </c>
      <c r="G1075" s="3" t="n">
        <f aca="false">IF('1. Raw Data'!G1074="",ROUND(IFERROR(AVERAGEIFS('1. Raw Data'!G2:G1201,'1. Raw Data'!C2:C1201,'1. Raw Data'!C1074,'1. Raw Data'!D2:D1201,'1. Raw Data'!D1074),0),2),'1. Raw Data'!G1074)</f>
        <v>3440.01</v>
      </c>
      <c r="H1075" s="3" t="str">
        <f aca="false">PROPER('1. Raw Data'!H1074)</f>
        <v>No</v>
      </c>
      <c r="I1075" s="3" t="n">
        <f aca="false">'1. Raw Data'!I1074</f>
        <v>4</v>
      </c>
      <c r="J1075" s="3" t="n">
        <f aca="false">'1. Raw Data'!J1074</f>
        <v>4</v>
      </c>
      <c r="K1075" s="3" t="n">
        <f aca="false">'1. Raw Data'!K1074</f>
        <v>14</v>
      </c>
      <c r="L1075" s="3" t="n">
        <f aca="false">'1. Raw Data'!L1074</f>
        <v>3</v>
      </c>
      <c r="M1075" s="3" t="n">
        <f aca="false">'1. Raw Data'!M1074</f>
        <v>0</v>
      </c>
      <c r="N1075" s="3" t="str">
        <f aca="false">'1. Raw Data'!N1074</f>
        <v>Yes</v>
      </c>
    </row>
    <row r="1076" customFormat="false" ht="15" hidden="false" customHeight="false" outlineLevel="0" collapsed="false">
      <c r="A1076" s="3" t="str">
        <f aca="false">'1. Raw Data'!A1075</f>
        <v>EMP-1074</v>
      </c>
      <c r="B1076" s="3" t="n">
        <f aca="false">'1. Raw Data'!B1075</f>
        <v>28</v>
      </c>
      <c r="C1076" s="3" t="str">
        <f aca="false">'1. Raw Data'!C1075</f>
        <v>Customer Support</v>
      </c>
      <c r="D1076" s="3" t="str">
        <f aca="false">'1. Raw Data'!D1075</f>
        <v>Mid</v>
      </c>
      <c r="E1076" s="3" t="str">
        <f aca="false">'1. Raw Data'!E1075</f>
        <v>Other</v>
      </c>
      <c r="F1076" s="3" t="n">
        <f aca="false">'1. Raw Data'!F1075</f>
        <v>1.7</v>
      </c>
      <c r="G1076" s="3" t="n">
        <f aca="false">IF('1. Raw Data'!G1075="",ROUND(IFERROR(AVERAGEIFS('1. Raw Data'!G2:G1201,'1. Raw Data'!C2:C1201,'1. Raw Data'!C1075,'1. Raw Data'!D2:D1201,'1. Raw Data'!D1075),0),2),'1. Raw Data'!G1075)</f>
        <v>4630.17</v>
      </c>
      <c r="H1076" s="3" t="str">
        <f aca="false">PROPER('1. Raw Data'!H1075)</f>
        <v>Yes</v>
      </c>
      <c r="I1076" s="3" t="n">
        <f aca="false">'1. Raw Data'!I1075</f>
        <v>4</v>
      </c>
      <c r="J1076" s="3" t="n">
        <f aca="false">'1. Raw Data'!J1075</f>
        <v>3</v>
      </c>
      <c r="K1076" s="3" t="n">
        <f aca="false">'1. Raw Data'!K1075</f>
        <v>21</v>
      </c>
      <c r="L1076" s="3" t="n">
        <f aca="false">'1. Raw Data'!L1075</f>
        <v>1</v>
      </c>
      <c r="M1076" s="3" t="n">
        <f aca="false">'1. Raw Data'!M1075</f>
        <v>3</v>
      </c>
      <c r="N1076" s="3" t="str">
        <f aca="false">'1. Raw Data'!N1075</f>
        <v>No</v>
      </c>
    </row>
    <row r="1077" customFormat="false" ht="15" hidden="false" customHeight="false" outlineLevel="0" collapsed="false">
      <c r="A1077" s="3" t="str">
        <f aca="false">'1. Raw Data'!A1076</f>
        <v>EMP-1075</v>
      </c>
      <c r="B1077" s="3" t="n">
        <f aca="false">'1. Raw Data'!B1076</f>
        <v>26</v>
      </c>
      <c r="C1077" s="3" t="str">
        <f aca="false">'1. Raw Data'!C1076</f>
        <v>Customer Support</v>
      </c>
      <c r="D1077" s="3" t="str">
        <f aca="false">'1. Raw Data'!D1076</f>
        <v>Senior</v>
      </c>
      <c r="E1077" s="3" t="str">
        <f aca="false">'1. Raw Data'!E1076</f>
        <v>Technical</v>
      </c>
      <c r="F1077" s="3" t="n">
        <f aca="false">'1. Raw Data'!F1076</f>
        <v>4.4</v>
      </c>
      <c r="G1077" s="3" t="n">
        <f aca="false">IF('1. Raw Data'!G1076="",ROUND(IFERROR(AVERAGEIFS('1. Raw Data'!G2:G1201,'1. Raw Data'!C2:C1201,'1. Raw Data'!C1076,'1. Raw Data'!D2:D1201,'1. Raw Data'!D1076),0),2),'1. Raw Data'!G1076)</f>
        <v>7568.1</v>
      </c>
      <c r="H1077" s="3" t="str">
        <f aca="false">PROPER('1. Raw Data'!H1076)</f>
        <v>Yes</v>
      </c>
      <c r="I1077" s="3" t="n">
        <f aca="false">'1. Raw Data'!I1076</f>
        <v>3</v>
      </c>
      <c r="J1077" s="3" t="n">
        <f aca="false">'1. Raw Data'!J1076</f>
        <v>3</v>
      </c>
      <c r="K1077" s="3" t="n">
        <f aca="false">'1. Raw Data'!K1076</f>
        <v>4</v>
      </c>
      <c r="L1077" s="3" t="n">
        <f aca="false">'1. Raw Data'!L1076</f>
        <v>2</v>
      </c>
      <c r="M1077" s="3" t="n">
        <f aca="false">'1. Raw Data'!M1076</f>
        <v>2</v>
      </c>
      <c r="N1077" s="3" t="str">
        <f aca="false">'1. Raw Data'!N1076</f>
        <v>No</v>
      </c>
    </row>
    <row r="1078" customFormat="false" ht="15" hidden="false" customHeight="false" outlineLevel="0" collapsed="false">
      <c r="A1078" s="3" t="str">
        <f aca="false">'1. Raw Data'!A1077</f>
        <v>EMP-1076</v>
      </c>
      <c r="B1078" s="3" t="n">
        <f aca="false">'1. Raw Data'!B1077</f>
        <v>50</v>
      </c>
      <c r="C1078" s="3" t="str">
        <f aca="false">'1. Raw Data'!C1077</f>
        <v>Engineering</v>
      </c>
      <c r="D1078" s="3" t="str">
        <f aca="false">'1. Raw Data'!D1077</f>
        <v>Senior</v>
      </c>
      <c r="E1078" s="3" t="str">
        <f aca="false">'1. Raw Data'!E1077</f>
        <v>Technical</v>
      </c>
      <c r="F1078" s="3" t="n">
        <f aca="false">'1. Raw Data'!F1077</f>
        <v>1.5</v>
      </c>
      <c r="G1078" s="3" t="n">
        <f aca="false">IF('1. Raw Data'!G1077="",ROUND(IFERROR(AVERAGEIFS('1. Raw Data'!G2:G1201,'1. Raw Data'!C2:C1201,'1. Raw Data'!C1077,'1. Raw Data'!D2:D1201,'1. Raw Data'!D1077),0),2),'1. Raw Data'!G1077)</f>
        <v>7571.54</v>
      </c>
      <c r="H1078" s="3" t="str">
        <f aca="false">PROPER('1. Raw Data'!H1077)</f>
        <v>Yes</v>
      </c>
      <c r="I1078" s="3" t="n">
        <f aca="false">'1. Raw Data'!I1077</f>
        <v>3</v>
      </c>
      <c r="J1078" s="3" t="n">
        <f aca="false">'1. Raw Data'!J1077</f>
        <v>2</v>
      </c>
      <c r="K1078" s="3" t="n">
        <f aca="false">'1. Raw Data'!K1077</f>
        <v>8</v>
      </c>
      <c r="L1078" s="3" t="n">
        <f aca="false">'1. Raw Data'!L1077</f>
        <v>1</v>
      </c>
      <c r="M1078" s="3" t="n">
        <f aca="false">'1. Raw Data'!M1077</f>
        <v>0</v>
      </c>
      <c r="N1078" s="3" t="str">
        <f aca="false">'1. Raw Data'!N1077</f>
        <v>No</v>
      </c>
    </row>
    <row r="1079" customFormat="false" ht="15" hidden="false" customHeight="false" outlineLevel="0" collapsed="false">
      <c r="A1079" s="3" t="str">
        <f aca="false">'1. Raw Data'!A1078</f>
        <v>EMP-1077</v>
      </c>
      <c r="B1079" s="3" t="n">
        <f aca="false">'1. Raw Data'!B1078</f>
        <v>32</v>
      </c>
      <c r="C1079" s="3" t="str">
        <f aca="false">'1. Raw Data'!C1078</f>
        <v>Engineering</v>
      </c>
      <c r="D1079" s="3" t="str">
        <f aca="false">'1. Raw Data'!D1078</f>
        <v>Senior</v>
      </c>
      <c r="E1079" s="3" t="str">
        <f aca="false">'1. Raw Data'!E1078</f>
        <v>Business</v>
      </c>
      <c r="F1079" s="3" t="n">
        <f aca="false">'1. Raw Data'!F1078</f>
        <v>1.8</v>
      </c>
      <c r="G1079" s="3" t="n">
        <f aca="false">IF('1. Raw Data'!G1078="",ROUND(IFERROR(AVERAGEIFS('1. Raw Data'!G2:G1201,'1. Raw Data'!C2:C1201,'1. Raw Data'!C1078,'1. Raw Data'!D2:D1201,'1. Raw Data'!D1078),0),2),'1. Raw Data'!G1078)</f>
        <v>6248.26</v>
      </c>
      <c r="H1079" s="3" t="str">
        <f aca="false">PROPER('1. Raw Data'!H1078)</f>
        <v>No</v>
      </c>
      <c r="I1079" s="3" t="n">
        <f aca="false">'1. Raw Data'!I1078</f>
        <v>1</v>
      </c>
      <c r="J1079" s="3" t="n">
        <f aca="false">'1. Raw Data'!J1078</f>
        <v>2</v>
      </c>
      <c r="K1079" s="3" t="n">
        <f aca="false">'1. Raw Data'!K1078</f>
        <v>5</v>
      </c>
      <c r="L1079" s="3" t="n">
        <f aca="false">'1. Raw Data'!L1078</f>
        <v>1</v>
      </c>
      <c r="M1079" s="3" t="n">
        <f aca="false">'1. Raw Data'!M1078</f>
        <v>4</v>
      </c>
      <c r="N1079" s="3" t="str">
        <f aca="false">'1. Raw Data'!N1078</f>
        <v>No</v>
      </c>
    </row>
    <row r="1080" customFormat="false" ht="15" hidden="false" customHeight="false" outlineLevel="0" collapsed="false">
      <c r="A1080" s="3" t="str">
        <f aca="false">'1. Raw Data'!A1079</f>
        <v>EMP-1078</v>
      </c>
      <c r="B1080" s="3" t="n">
        <f aca="false">'1. Raw Data'!B1079</f>
        <v>26</v>
      </c>
      <c r="C1080" s="3" t="str">
        <f aca="false">'1. Raw Data'!C1079</f>
        <v>HR</v>
      </c>
      <c r="D1080" s="3" t="str">
        <f aca="false">'1. Raw Data'!D1079</f>
        <v>Junior</v>
      </c>
      <c r="E1080" s="3" t="str">
        <f aca="false">'1. Raw Data'!E1079</f>
        <v>Business</v>
      </c>
      <c r="F1080" s="3" t="n">
        <f aca="false">'1. Raw Data'!F1079</f>
        <v>2</v>
      </c>
      <c r="G1080" s="3" t="n">
        <f aca="false">IF('1. Raw Data'!G1079="",ROUND(IFERROR(AVERAGEIFS('1. Raw Data'!G2:G1201,'1. Raw Data'!C2:C1201,'1. Raw Data'!C1079,'1. Raw Data'!D2:D1201,'1. Raw Data'!D1079),0),2),'1. Raw Data'!G1079)</f>
        <v>3189.74</v>
      </c>
      <c r="H1080" s="3" t="str">
        <f aca="false">PROPER('1. Raw Data'!H1079)</f>
        <v>No</v>
      </c>
      <c r="I1080" s="3" t="n">
        <f aca="false">'1. Raw Data'!I1079</f>
        <v>4</v>
      </c>
      <c r="J1080" s="3" t="n">
        <f aca="false">'1. Raw Data'!J1079</f>
        <v>1</v>
      </c>
      <c r="K1080" s="3" t="n">
        <f aca="false">'1. Raw Data'!K1079</f>
        <v>2</v>
      </c>
      <c r="L1080" s="3" t="n">
        <f aca="false">'1. Raw Data'!L1079</f>
        <v>1</v>
      </c>
      <c r="M1080" s="3" t="n">
        <f aca="false">'1. Raw Data'!M1079</f>
        <v>1</v>
      </c>
      <c r="N1080" s="3" t="str">
        <f aca="false">'1. Raw Data'!N1079</f>
        <v>No</v>
      </c>
    </row>
    <row r="1081" customFormat="false" ht="15" hidden="false" customHeight="false" outlineLevel="0" collapsed="false">
      <c r="A1081" s="3" t="str">
        <f aca="false">'1. Raw Data'!A1080</f>
        <v>EMP-1079</v>
      </c>
      <c r="B1081" s="3" t="n">
        <f aca="false">'1. Raw Data'!B1080</f>
        <v>40</v>
      </c>
      <c r="C1081" s="3" t="str">
        <f aca="false">'1. Raw Data'!C1080</f>
        <v>Engineering</v>
      </c>
      <c r="D1081" s="3" t="str">
        <f aca="false">'1. Raw Data'!D1080</f>
        <v>Mid</v>
      </c>
      <c r="E1081" s="3" t="str">
        <f aca="false">'1. Raw Data'!E1080</f>
        <v>Marketing</v>
      </c>
      <c r="F1081" s="3" t="n">
        <f aca="false">'1. Raw Data'!F1080</f>
        <v>3.3</v>
      </c>
      <c r="G1081" s="3" t="n">
        <f aca="false">IF('1. Raw Data'!G1080="",ROUND(IFERROR(AVERAGEIFS('1. Raw Data'!G2:G1201,'1. Raw Data'!C2:C1201,'1. Raw Data'!C1080,'1. Raw Data'!D2:D1201,'1. Raw Data'!D1080),0),2),'1. Raw Data'!G1080)</f>
        <v>4638.08</v>
      </c>
      <c r="H1081" s="3" t="str">
        <f aca="false">PROPER('1. Raw Data'!H1080)</f>
        <v>No</v>
      </c>
      <c r="I1081" s="3" t="n">
        <f aca="false">'1. Raw Data'!I1080</f>
        <v>4</v>
      </c>
      <c r="J1081" s="3" t="n">
        <f aca="false">'1. Raw Data'!J1080</f>
        <v>3</v>
      </c>
      <c r="K1081" s="3" t="n">
        <f aca="false">'1. Raw Data'!K1080</f>
        <v>6</v>
      </c>
      <c r="L1081" s="3" t="n">
        <f aca="false">'1. Raw Data'!L1080</f>
        <v>2</v>
      </c>
      <c r="M1081" s="3" t="n">
        <f aca="false">'1. Raw Data'!M1080</f>
        <v>2</v>
      </c>
      <c r="N1081" s="3" t="str">
        <f aca="false">'1. Raw Data'!N1080</f>
        <v>No</v>
      </c>
    </row>
    <row r="1082" customFormat="false" ht="15" hidden="false" customHeight="false" outlineLevel="0" collapsed="false">
      <c r="A1082" s="3" t="str">
        <f aca="false">'1. Raw Data'!A1081</f>
        <v>EMP-1080</v>
      </c>
      <c r="B1082" s="3" t="n">
        <f aca="false">'1. Raw Data'!B1081</f>
        <v>38</v>
      </c>
      <c r="C1082" s="3" t="str">
        <f aca="false">'1. Raw Data'!C1081</f>
        <v>Sales</v>
      </c>
      <c r="D1082" s="3" t="str">
        <f aca="false">'1. Raw Data'!D1081</f>
        <v>Junior</v>
      </c>
      <c r="E1082" s="3" t="str">
        <f aca="false">'1. Raw Data'!E1081</f>
        <v>Other</v>
      </c>
      <c r="F1082" s="3" t="n">
        <f aca="false">'1. Raw Data'!F1081</f>
        <v>4.3</v>
      </c>
      <c r="G1082" s="3" t="n">
        <f aca="false">IF('1. Raw Data'!G1081="",ROUND(IFERROR(AVERAGEIFS('1. Raw Data'!G2:G1201,'1. Raw Data'!C2:C1201,'1. Raw Data'!C1081,'1. Raw Data'!D2:D1201,'1. Raw Data'!D1081),0),2),'1. Raw Data'!G1081)</f>
        <v>2962.39</v>
      </c>
      <c r="H1082" s="3" t="str">
        <f aca="false">PROPER('1. Raw Data'!H1081)</f>
        <v>No</v>
      </c>
      <c r="I1082" s="3" t="n">
        <f aca="false">'1. Raw Data'!I1081</f>
        <v>2</v>
      </c>
      <c r="J1082" s="3" t="n">
        <f aca="false">'1. Raw Data'!J1081</f>
        <v>3</v>
      </c>
      <c r="K1082" s="3" t="n">
        <f aca="false">'1. Raw Data'!K1081</f>
        <v>7</v>
      </c>
      <c r="L1082" s="3" t="n">
        <f aca="false">'1. Raw Data'!L1081</f>
        <v>1</v>
      </c>
      <c r="M1082" s="3" t="n">
        <f aca="false">'1. Raw Data'!M1081</f>
        <v>3</v>
      </c>
      <c r="N1082" s="3" t="str">
        <f aca="false">'1. Raw Data'!N1081</f>
        <v>Yes</v>
      </c>
    </row>
    <row r="1083" customFormat="false" ht="15" hidden="false" customHeight="false" outlineLevel="0" collapsed="false">
      <c r="A1083" s="3" t="str">
        <f aca="false">'1. Raw Data'!A1082</f>
        <v>EMP-1081</v>
      </c>
      <c r="B1083" s="3" t="n">
        <f aca="false">'1. Raw Data'!B1082</f>
        <v>37</v>
      </c>
      <c r="C1083" s="3" t="str">
        <f aca="false">'1. Raw Data'!C1082</f>
        <v>Engineering</v>
      </c>
      <c r="D1083" s="3" t="str">
        <f aca="false">'1. Raw Data'!D1082</f>
        <v>Senior</v>
      </c>
      <c r="E1083" s="3" t="str">
        <f aca="false">'1. Raw Data'!E1082</f>
        <v>Other</v>
      </c>
      <c r="F1083" s="3" t="n">
        <f aca="false">'1. Raw Data'!F1082</f>
        <v>3.5</v>
      </c>
      <c r="G1083" s="3" t="n">
        <f aca="false">IF('1. Raw Data'!G1082="",ROUND(IFERROR(AVERAGEIFS('1. Raw Data'!G2:G1201,'1. Raw Data'!C2:C1201,'1. Raw Data'!C1082,'1. Raw Data'!D2:D1201,'1. Raw Data'!D1082),0),2),'1. Raw Data'!G1082)</f>
        <v>6447.91</v>
      </c>
      <c r="H1083" s="3" t="str">
        <f aca="false">PROPER('1. Raw Data'!H1082)</f>
        <v>No</v>
      </c>
      <c r="I1083" s="3" t="n">
        <f aca="false">'1. Raw Data'!I1082</f>
        <v>4</v>
      </c>
      <c r="J1083" s="3" t="n">
        <f aca="false">'1. Raw Data'!J1082</f>
        <v>2</v>
      </c>
      <c r="K1083" s="3" t="n">
        <f aca="false">'1. Raw Data'!K1082</f>
        <v>6</v>
      </c>
      <c r="L1083" s="3" t="n">
        <f aca="false">'1. Raw Data'!L1082</f>
        <v>3</v>
      </c>
      <c r="M1083" s="3" t="n">
        <f aca="false">'1. Raw Data'!M1082</f>
        <v>1</v>
      </c>
      <c r="N1083" s="3" t="str">
        <f aca="false">'1. Raw Data'!N1082</f>
        <v>Yes</v>
      </c>
    </row>
    <row r="1084" customFormat="false" ht="15" hidden="false" customHeight="false" outlineLevel="0" collapsed="false">
      <c r="A1084" s="3" t="str">
        <f aca="false">'1. Raw Data'!A1083</f>
        <v>EMP-1082</v>
      </c>
      <c r="B1084" s="3" t="n">
        <f aca="false">'1. Raw Data'!B1083</f>
        <v>23</v>
      </c>
      <c r="C1084" s="3" t="str">
        <f aca="false">'1. Raw Data'!C1083</f>
        <v>Engineering</v>
      </c>
      <c r="D1084" s="3" t="str">
        <f aca="false">'1. Raw Data'!D1083</f>
        <v>Senior</v>
      </c>
      <c r="E1084" s="3" t="str">
        <f aca="false">'1. Raw Data'!E1083</f>
        <v>Technical</v>
      </c>
      <c r="F1084" s="3" t="n">
        <f aca="false">'1. Raw Data'!F1083</f>
        <v>1</v>
      </c>
      <c r="G1084" s="3" t="n">
        <f aca="false">IF('1. Raw Data'!G1083="",ROUND(IFERROR(AVERAGEIFS('1. Raw Data'!G2:G1201,'1. Raw Data'!C2:C1201,'1. Raw Data'!C1083,'1. Raw Data'!D2:D1201,'1. Raw Data'!D1083),0),2),'1. Raw Data'!G1083)</f>
        <v>6176.98</v>
      </c>
      <c r="H1084" s="3" t="str">
        <f aca="false">PROPER('1. Raw Data'!H1083)</f>
        <v>No</v>
      </c>
      <c r="I1084" s="3" t="n">
        <f aca="false">'1. Raw Data'!I1083</f>
        <v>3</v>
      </c>
      <c r="J1084" s="3" t="n">
        <f aca="false">'1. Raw Data'!J1083</f>
        <v>4</v>
      </c>
      <c r="K1084" s="3" t="n">
        <f aca="false">'1. Raw Data'!K1083</f>
        <v>20</v>
      </c>
      <c r="L1084" s="3" t="n">
        <f aca="false">'1. Raw Data'!L1083</f>
        <v>0</v>
      </c>
      <c r="M1084" s="3" t="n">
        <f aca="false">'1. Raw Data'!M1083</f>
        <v>0</v>
      </c>
      <c r="N1084" s="3" t="str">
        <f aca="false">'1. Raw Data'!N1083</f>
        <v>No</v>
      </c>
    </row>
    <row r="1085" customFormat="false" ht="15" hidden="false" customHeight="false" outlineLevel="0" collapsed="false">
      <c r="A1085" s="3" t="str">
        <f aca="false">'1. Raw Data'!A1084</f>
        <v>EMP-1083</v>
      </c>
      <c r="B1085" s="3" t="n">
        <f aca="false">'1. Raw Data'!B1084</f>
        <v>35</v>
      </c>
      <c r="C1085" s="3" t="str">
        <f aca="false">'1. Raw Data'!C1084</f>
        <v>Marketing</v>
      </c>
      <c r="D1085" s="3" t="str">
        <f aca="false">'1. Raw Data'!D1084</f>
        <v>Junior</v>
      </c>
      <c r="E1085" s="3" t="str">
        <f aca="false">'1. Raw Data'!E1084</f>
        <v>Other</v>
      </c>
      <c r="F1085" s="3" t="n">
        <f aca="false">'1. Raw Data'!F1084</f>
        <v>2.2</v>
      </c>
      <c r="G1085" s="3" t="n">
        <f aca="false">IF('1. Raw Data'!G1084="",ROUND(IFERROR(AVERAGEIFS('1. Raw Data'!G2:G1201,'1. Raw Data'!C2:C1201,'1. Raw Data'!C1084,'1. Raw Data'!D2:D1201,'1. Raw Data'!D1084),0),2),'1. Raw Data'!G1084)</f>
        <v>3521.21</v>
      </c>
      <c r="H1085" s="3" t="str">
        <f aca="false">PROPER('1. Raw Data'!H1084)</f>
        <v>Yes</v>
      </c>
      <c r="I1085" s="3" t="n">
        <f aca="false">'1. Raw Data'!I1084</f>
        <v>1</v>
      </c>
      <c r="J1085" s="3" t="n">
        <f aca="false">'1. Raw Data'!J1084</f>
        <v>4</v>
      </c>
      <c r="K1085" s="3" t="n">
        <f aca="false">'1. Raw Data'!K1084</f>
        <v>13</v>
      </c>
      <c r="L1085" s="3" t="n">
        <f aca="false">'1. Raw Data'!L1084</f>
        <v>2</v>
      </c>
      <c r="M1085" s="3" t="n">
        <f aca="false">'1. Raw Data'!M1084</f>
        <v>3</v>
      </c>
      <c r="N1085" s="3" t="str">
        <f aca="false">'1. Raw Data'!N1084</f>
        <v>No</v>
      </c>
    </row>
    <row r="1086" customFormat="false" ht="15" hidden="false" customHeight="false" outlineLevel="0" collapsed="false">
      <c r="A1086" s="3" t="str">
        <f aca="false">'1. Raw Data'!A1085</f>
        <v>EMP-1084</v>
      </c>
      <c r="B1086" s="3" t="n">
        <f aca="false">'1. Raw Data'!B1085</f>
        <v>21</v>
      </c>
      <c r="C1086" s="3" t="str">
        <f aca="false">'1. Raw Data'!C1085</f>
        <v>Finance</v>
      </c>
      <c r="D1086" s="3" t="str">
        <f aca="false">'1. Raw Data'!D1085</f>
        <v>Junior</v>
      </c>
      <c r="E1086" s="3" t="str">
        <f aca="false">'1. Raw Data'!E1085</f>
        <v>Technical</v>
      </c>
      <c r="F1086" s="3" t="n">
        <f aca="false">'1. Raw Data'!F1085</f>
        <v>0</v>
      </c>
      <c r="G1086" s="3" t="n">
        <f aca="false">IF('1. Raw Data'!G1085="",ROUND(IFERROR(AVERAGEIFS('1. Raw Data'!G2:G1201,'1. Raw Data'!C2:C1201,'1. Raw Data'!C1085,'1. Raw Data'!D2:D1201,'1. Raw Data'!D1085),0),2),'1. Raw Data'!G1085)</f>
        <v>3225.59</v>
      </c>
      <c r="H1086" s="3" t="str">
        <f aca="false">PROPER('1. Raw Data'!H1085)</f>
        <v>No</v>
      </c>
      <c r="I1086" s="3" t="n">
        <f aca="false">'1. Raw Data'!I1085</f>
        <v>4</v>
      </c>
      <c r="J1086" s="3" t="n">
        <f aca="false">'1. Raw Data'!J1085</f>
        <v>3</v>
      </c>
      <c r="K1086" s="3" t="n">
        <f aca="false">'1. Raw Data'!K1085</f>
        <v>6</v>
      </c>
      <c r="L1086" s="3" t="n">
        <f aca="false">'1. Raw Data'!L1085</f>
        <v>0</v>
      </c>
      <c r="M1086" s="3" t="n">
        <f aca="false">'1. Raw Data'!M1085</f>
        <v>2</v>
      </c>
      <c r="N1086" s="3" t="str">
        <f aca="false">'1. Raw Data'!N1085</f>
        <v>No</v>
      </c>
    </row>
    <row r="1087" customFormat="false" ht="15" hidden="false" customHeight="false" outlineLevel="0" collapsed="false">
      <c r="A1087" s="3" t="str">
        <f aca="false">'1. Raw Data'!A1086</f>
        <v>EMP-1085</v>
      </c>
      <c r="B1087" s="3" t="n">
        <f aca="false">'1. Raw Data'!B1086</f>
        <v>27</v>
      </c>
      <c r="C1087" s="3" t="str">
        <f aca="false">'1. Raw Data'!C1086</f>
        <v>Finance</v>
      </c>
      <c r="D1087" s="3" t="str">
        <f aca="false">'1. Raw Data'!D1086</f>
        <v>Junior</v>
      </c>
      <c r="E1087" s="3" t="str">
        <f aca="false">'1. Raw Data'!E1086</f>
        <v>Other</v>
      </c>
      <c r="F1087" s="3" t="n">
        <f aca="false">'1. Raw Data'!F1086</f>
        <v>6</v>
      </c>
      <c r="G1087" s="3" t="n">
        <f aca="false">IF('1. Raw Data'!G1086="",ROUND(IFERROR(AVERAGEIFS('1. Raw Data'!G2:G1201,'1. Raw Data'!C2:C1201,'1. Raw Data'!C1086,'1. Raw Data'!D2:D1201,'1. Raw Data'!D1086),0),2),'1. Raw Data'!G1086)</f>
        <v>2872.48</v>
      </c>
      <c r="H1087" s="3" t="str">
        <f aca="false">PROPER('1. Raw Data'!H1086)</f>
        <v>Yes</v>
      </c>
      <c r="I1087" s="3" t="n">
        <f aca="false">'1. Raw Data'!I1086</f>
        <v>2</v>
      </c>
      <c r="J1087" s="3" t="n">
        <f aca="false">'1. Raw Data'!J1086</f>
        <v>4</v>
      </c>
      <c r="K1087" s="3" t="n">
        <f aca="false">'1. Raw Data'!K1086</f>
        <v>6</v>
      </c>
      <c r="L1087" s="3" t="n">
        <f aca="false">'1. Raw Data'!L1086</f>
        <v>1</v>
      </c>
      <c r="M1087" s="3" t="n">
        <f aca="false">'1. Raw Data'!M1086</f>
        <v>2</v>
      </c>
      <c r="N1087" s="3" t="str">
        <f aca="false">'1. Raw Data'!N1086</f>
        <v>Yes</v>
      </c>
    </row>
    <row r="1088" customFormat="false" ht="15" hidden="false" customHeight="false" outlineLevel="0" collapsed="false">
      <c r="A1088" s="3" t="str">
        <f aca="false">'1. Raw Data'!A1087</f>
        <v>EMP-1086</v>
      </c>
      <c r="B1088" s="3" t="n">
        <f aca="false">'1. Raw Data'!B1087</f>
        <v>35</v>
      </c>
      <c r="C1088" s="3" t="str">
        <f aca="false">'1. Raw Data'!C1087</f>
        <v>Sales</v>
      </c>
      <c r="D1088" s="3" t="str">
        <f aca="false">'1. Raw Data'!D1087</f>
        <v>Lead</v>
      </c>
      <c r="E1088" s="3" t="str">
        <f aca="false">'1. Raw Data'!E1087</f>
        <v>Technical</v>
      </c>
      <c r="F1088" s="3" t="n">
        <f aca="false">'1. Raw Data'!F1087</f>
        <v>3</v>
      </c>
      <c r="G1088" s="3" t="n">
        <f aca="false">IF('1. Raw Data'!G1087="",ROUND(IFERROR(AVERAGEIFS('1. Raw Data'!G2:G1201,'1. Raw Data'!C2:C1201,'1. Raw Data'!C1087,'1. Raw Data'!D2:D1201,'1. Raw Data'!D1087),0),2),'1. Raw Data'!G1087)</f>
        <v>11221.09</v>
      </c>
      <c r="H1088" s="3" t="str">
        <f aca="false">PROPER('1. Raw Data'!H1087)</f>
        <v>No</v>
      </c>
      <c r="I1088" s="3" t="n">
        <f aca="false">'1. Raw Data'!I1087</f>
        <v>3</v>
      </c>
      <c r="J1088" s="3" t="n">
        <f aca="false">'1. Raw Data'!J1087</f>
        <v>4</v>
      </c>
      <c r="K1088" s="3" t="n">
        <f aca="false">'1. Raw Data'!K1087</f>
        <v>1</v>
      </c>
      <c r="L1088" s="3" t="n">
        <f aca="false">'1. Raw Data'!L1087</f>
        <v>0</v>
      </c>
      <c r="M1088" s="3" t="n">
        <f aca="false">'1. Raw Data'!M1087</f>
        <v>2</v>
      </c>
      <c r="N1088" s="3" t="str">
        <f aca="false">'1. Raw Data'!N1087</f>
        <v>No</v>
      </c>
    </row>
    <row r="1089" customFormat="false" ht="15" hidden="false" customHeight="false" outlineLevel="0" collapsed="false">
      <c r="A1089" s="3" t="str">
        <f aca="false">'1. Raw Data'!A1088</f>
        <v>EMP-1087</v>
      </c>
      <c r="B1089" s="3" t="n">
        <f aca="false">'1. Raw Data'!B1088</f>
        <v>42</v>
      </c>
      <c r="C1089" s="3" t="str">
        <f aca="false">'1. Raw Data'!C1088</f>
        <v>Customer Support</v>
      </c>
      <c r="D1089" s="3" t="str">
        <f aca="false">'1. Raw Data'!D1088</f>
        <v>Mid</v>
      </c>
      <c r="E1089" s="3" t="str">
        <f aca="false">'1. Raw Data'!E1088</f>
        <v>Marketing</v>
      </c>
      <c r="F1089" s="3" t="n">
        <f aca="false">'1. Raw Data'!F1088</f>
        <v>1.8</v>
      </c>
      <c r="G1089" s="3" t="n">
        <f aca="false">IF('1. Raw Data'!G1088="",ROUND(IFERROR(AVERAGEIFS('1. Raw Data'!G2:G1201,'1. Raw Data'!C2:C1201,'1. Raw Data'!C1088,'1. Raw Data'!D2:D1201,'1. Raw Data'!D1088),0),2),'1. Raw Data'!G1088)</f>
        <v>4902.86</v>
      </c>
      <c r="H1089" s="3" t="str">
        <f aca="false">PROPER('1. Raw Data'!H1088)</f>
        <v>Yes</v>
      </c>
      <c r="I1089" s="3" t="n">
        <f aca="false">'1. Raw Data'!I1088</f>
        <v>3</v>
      </c>
      <c r="J1089" s="3" t="n">
        <f aca="false">'1. Raw Data'!J1088</f>
        <v>2</v>
      </c>
      <c r="K1089" s="3" t="n">
        <f aca="false">'1. Raw Data'!K1088</f>
        <v>4</v>
      </c>
      <c r="L1089" s="3" t="n">
        <f aca="false">'1. Raw Data'!L1088</f>
        <v>0</v>
      </c>
      <c r="M1089" s="3" t="n">
        <f aca="false">'1. Raw Data'!M1088</f>
        <v>3</v>
      </c>
      <c r="N1089" s="3" t="str">
        <f aca="false">'1. Raw Data'!N1088</f>
        <v>No</v>
      </c>
    </row>
    <row r="1090" customFormat="false" ht="15" hidden="false" customHeight="false" outlineLevel="0" collapsed="false">
      <c r="A1090" s="3" t="str">
        <f aca="false">'1. Raw Data'!A1089</f>
        <v>EMP-1088</v>
      </c>
      <c r="B1090" s="3" t="n">
        <f aca="false">'1. Raw Data'!B1089</f>
        <v>39</v>
      </c>
      <c r="C1090" s="3" t="str">
        <f aca="false">'1. Raw Data'!C1089</f>
        <v>Finance</v>
      </c>
      <c r="D1090" s="3" t="str">
        <f aca="false">'1. Raw Data'!D1089</f>
        <v>Mid</v>
      </c>
      <c r="E1090" s="3" t="str">
        <f aca="false">'1. Raw Data'!E1089</f>
        <v>Technical</v>
      </c>
      <c r="F1090" s="3" t="n">
        <f aca="false">'1. Raw Data'!F1089</f>
        <v>3.9</v>
      </c>
      <c r="G1090" s="3" t="n">
        <f aca="false">IF('1. Raw Data'!G1089="",ROUND(IFERROR(AVERAGEIFS('1. Raw Data'!G2:G1201,'1. Raw Data'!C2:C1201,'1. Raw Data'!C1089,'1. Raw Data'!D2:D1201,'1. Raw Data'!D1089),0),2),'1. Raw Data'!G1089)</f>
        <v>4129.59</v>
      </c>
      <c r="H1090" s="3" t="str">
        <f aca="false">PROPER('1. Raw Data'!H1089)</f>
        <v>No</v>
      </c>
      <c r="I1090" s="3" t="n">
        <f aca="false">'1. Raw Data'!I1089</f>
        <v>2</v>
      </c>
      <c r="J1090" s="3" t="n">
        <f aca="false">'1. Raw Data'!J1089</f>
        <v>2</v>
      </c>
      <c r="K1090" s="3" t="n">
        <f aca="false">'1. Raw Data'!K1089</f>
        <v>4</v>
      </c>
      <c r="L1090" s="3" t="n">
        <f aca="false">'1. Raw Data'!L1089</f>
        <v>1</v>
      </c>
      <c r="M1090" s="3" t="n">
        <f aca="false">'1. Raw Data'!M1089</f>
        <v>1</v>
      </c>
      <c r="N1090" s="3" t="str">
        <f aca="false">'1. Raw Data'!N1089</f>
        <v>No</v>
      </c>
    </row>
    <row r="1091" customFormat="false" ht="15" hidden="false" customHeight="false" outlineLevel="0" collapsed="false">
      <c r="A1091" s="3" t="str">
        <f aca="false">'1. Raw Data'!A1090</f>
        <v>EMP-1089</v>
      </c>
      <c r="B1091" s="3" t="n">
        <f aca="false">'1. Raw Data'!B1090</f>
        <v>38</v>
      </c>
      <c r="C1091" s="3" t="str">
        <f aca="false">'1. Raw Data'!C1090</f>
        <v>Sales</v>
      </c>
      <c r="D1091" s="3" t="str">
        <f aca="false">'1. Raw Data'!D1090</f>
        <v>Senior</v>
      </c>
      <c r="E1091" s="3" t="str">
        <f aca="false">'1. Raw Data'!E1090</f>
        <v>Technical</v>
      </c>
      <c r="F1091" s="3" t="n">
        <f aca="false">'1. Raw Data'!F1090</f>
        <v>5.6</v>
      </c>
      <c r="G1091" s="3" t="n">
        <f aca="false">IF('1. Raw Data'!G1090="",ROUND(IFERROR(AVERAGEIFS('1. Raw Data'!G2:G1201,'1. Raw Data'!C2:C1201,'1. Raw Data'!C1090,'1. Raw Data'!D2:D1201,'1. Raw Data'!D1090),0),2),'1. Raw Data'!G1090)</f>
        <v>8370.83</v>
      </c>
      <c r="H1091" s="3" t="str">
        <f aca="false">PROPER('1. Raw Data'!H1090)</f>
        <v>Yes</v>
      </c>
      <c r="I1091" s="3" t="n">
        <f aca="false">'1. Raw Data'!I1090</f>
        <v>3</v>
      </c>
      <c r="J1091" s="3" t="n">
        <f aca="false">'1. Raw Data'!J1090</f>
        <v>1</v>
      </c>
      <c r="K1091" s="3" t="n">
        <f aca="false">'1. Raw Data'!K1090</f>
        <v>2</v>
      </c>
      <c r="L1091" s="3" t="n">
        <f aca="false">'1. Raw Data'!L1090</f>
        <v>0</v>
      </c>
      <c r="M1091" s="3" t="n">
        <f aca="false">'1. Raw Data'!M1090</f>
        <v>2</v>
      </c>
      <c r="N1091" s="3" t="str">
        <f aca="false">'1. Raw Data'!N1090</f>
        <v>No</v>
      </c>
    </row>
    <row r="1092" customFormat="false" ht="15" hidden="false" customHeight="false" outlineLevel="0" collapsed="false">
      <c r="A1092" s="3" t="str">
        <f aca="false">'1. Raw Data'!A1091</f>
        <v>EMP-1090</v>
      </c>
      <c r="B1092" s="3" t="n">
        <f aca="false">'1. Raw Data'!B1091</f>
        <v>21</v>
      </c>
      <c r="C1092" s="3" t="str">
        <f aca="false">'1. Raw Data'!C1091</f>
        <v>Customer Support</v>
      </c>
      <c r="D1092" s="3" t="str">
        <f aca="false">'1. Raw Data'!D1091</f>
        <v>Mid</v>
      </c>
      <c r="E1092" s="3" t="str">
        <f aca="false">'1. Raw Data'!E1091</f>
        <v>Technical</v>
      </c>
      <c r="F1092" s="3" t="n">
        <f aca="false">'1. Raw Data'!F1091</f>
        <v>0</v>
      </c>
      <c r="G1092" s="3" t="n">
        <f aca="false">IF('1. Raw Data'!G1091="",ROUND(IFERROR(AVERAGEIFS('1. Raw Data'!G2:G1201,'1. Raw Data'!C2:C1201,'1. Raw Data'!C1091,'1. Raw Data'!D2:D1201,'1. Raw Data'!D1091),0),2),'1. Raw Data'!G1091)</f>
        <v>5152.75</v>
      </c>
      <c r="H1092" s="3" t="str">
        <f aca="false">PROPER('1. Raw Data'!H1091)</f>
        <v>Yes</v>
      </c>
      <c r="I1092" s="3" t="n">
        <f aca="false">'1. Raw Data'!I1091</f>
        <v>3</v>
      </c>
      <c r="J1092" s="3" t="n">
        <f aca="false">'1. Raw Data'!J1091</f>
        <v>4</v>
      </c>
      <c r="K1092" s="3" t="n">
        <f aca="false">'1. Raw Data'!K1091</f>
        <v>6</v>
      </c>
      <c r="L1092" s="3" t="n">
        <f aca="false">'1. Raw Data'!L1091</f>
        <v>0</v>
      </c>
      <c r="M1092" s="3" t="n">
        <f aca="false">'1. Raw Data'!M1091</f>
        <v>3</v>
      </c>
      <c r="N1092" s="3" t="str">
        <f aca="false">'1. Raw Data'!N1091</f>
        <v>Yes</v>
      </c>
    </row>
    <row r="1093" customFormat="false" ht="15" hidden="false" customHeight="false" outlineLevel="0" collapsed="false">
      <c r="A1093" s="3" t="str">
        <f aca="false">'1. Raw Data'!A1092</f>
        <v>EMP-1091</v>
      </c>
      <c r="B1093" s="3" t="n">
        <f aca="false">'1. Raw Data'!B1092</f>
        <v>24</v>
      </c>
      <c r="C1093" s="3" t="str">
        <f aca="false">'1. Raw Data'!C1092</f>
        <v>Finance</v>
      </c>
      <c r="D1093" s="3" t="str">
        <f aca="false">'1. Raw Data'!D1092</f>
        <v>Lead</v>
      </c>
      <c r="E1093" s="3" t="str">
        <f aca="false">'1. Raw Data'!E1092</f>
        <v>Other</v>
      </c>
      <c r="F1093" s="3" t="n">
        <f aca="false">'1. Raw Data'!F1092</f>
        <v>3</v>
      </c>
      <c r="G1093" s="3" t="n">
        <f aca="false">IF('1. Raw Data'!G1092="",ROUND(IFERROR(AVERAGEIFS('1. Raw Data'!G2:G1201,'1. Raw Data'!C2:C1201,'1. Raw Data'!C1092,'1. Raw Data'!D2:D1201,'1. Raw Data'!D1092),0),2),'1. Raw Data'!G1092)</f>
        <v>8463.48</v>
      </c>
      <c r="H1093" s="3" t="str">
        <f aca="false">PROPER('1. Raw Data'!H1092)</f>
        <v>Yes</v>
      </c>
      <c r="I1093" s="3" t="n">
        <f aca="false">'1. Raw Data'!I1092</f>
        <v>3</v>
      </c>
      <c r="J1093" s="3" t="n">
        <f aca="false">'1. Raw Data'!J1092</f>
        <v>2</v>
      </c>
      <c r="K1093" s="3" t="n">
        <f aca="false">'1. Raw Data'!K1092</f>
        <v>20</v>
      </c>
      <c r="L1093" s="3" t="n">
        <f aca="false">'1. Raw Data'!L1092</f>
        <v>0</v>
      </c>
      <c r="M1093" s="3" t="n">
        <f aca="false">'1. Raw Data'!M1092</f>
        <v>1</v>
      </c>
      <c r="N1093" s="3" t="str">
        <f aca="false">'1. Raw Data'!N1092</f>
        <v>No</v>
      </c>
    </row>
    <row r="1094" customFormat="false" ht="15" hidden="false" customHeight="false" outlineLevel="0" collapsed="false">
      <c r="A1094" s="3" t="str">
        <f aca="false">'1. Raw Data'!A1093</f>
        <v>EMP-1092</v>
      </c>
      <c r="B1094" s="3" t="n">
        <f aca="false">'1. Raw Data'!B1093</f>
        <v>32</v>
      </c>
      <c r="C1094" s="3" t="str">
        <f aca="false">'1. Raw Data'!C1093</f>
        <v>Sales</v>
      </c>
      <c r="D1094" s="3" t="str">
        <f aca="false">'1. Raw Data'!D1093</f>
        <v>Senior</v>
      </c>
      <c r="E1094" s="3" t="str">
        <f aca="false">'1. Raw Data'!E1093</f>
        <v>Other</v>
      </c>
      <c r="F1094" s="3" t="n">
        <f aca="false">'1. Raw Data'!F1093</f>
        <v>2.1</v>
      </c>
      <c r="G1094" s="3" t="n">
        <f aca="false">IF('1. Raw Data'!G1093="",ROUND(IFERROR(AVERAGEIFS('1. Raw Data'!G2:G1201,'1. Raw Data'!C2:C1201,'1. Raw Data'!C1093,'1. Raw Data'!D2:D1201,'1. Raw Data'!D1093),0),2),'1. Raw Data'!G1093)</f>
        <v>7006.67</v>
      </c>
      <c r="H1094" s="3" t="str">
        <f aca="false">PROPER('1. Raw Data'!H1093)</f>
        <v>Yes</v>
      </c>
      <c r="I1094" s="3" t="n">
        <f aca="false">'1. Raw Data'!I1093</f>
        <v>3</v>
      </c>
      <c r="J1094" s="3" t="n">
        <f aca="false">'1. Raw Data'!J1093</f>
        <v>2</v>
      </c>
      <c r="K1094" s="3" t="n">
        <f aca="false">'1. Raw Data'!K1093</f>
        <v>19</v>
      </c>
      <c r="L1094" s="3" t="n">
        <f aca="false">'1. Raw Data'!L1093</f>
        <v>0</v>
      </c>
      <c r="M1094" s="3" t="n">
        <f aca="false">'1. Raw Data'!M1093</f>
        <v>3</v>
      </c>
      <c r="N1094" s="3" t="str">
        <f aca="false">'1. Raw Data'!N1093</f>
        <v>Yes</v>
      </c>
    </row>
    <row r="1095" customFormat="false" ht="15" hidden="false" customHeight="false" outlineLevel="0" collapsed="false">
      <c r="A1095" s="3" t="str">
        <f aca="false">'1. Raw Data'!A1094</f>
        <v>EMP-1093</v>
      </c>
      <c r="B1095" s="3" t="n">
        <f aca="false">'1. Raw Data'!B1094</f>
        <v>29</v>
      </c>
      <c r="C1095" s="3" t="str">
        <f aca="false">'1. Raw Data'!C1094</f>
        <v>HR</v>
      </c>
      <c r="D1095" s="3" t="str">
        <f aca="false">'1. Raw Data'!D1094</f>
        <v>Junior</v>
      </c>
      <c r="E1095" s="3" t="str">
        <f aca="false">'1. Raw Data'!E1094</f>
        <v>Business</v>
      </c>
      <c r="F1095" s="3" t="n">
        <f aca="false">'1. Raw Data'!F1094</f>
        <v>0.8</v>
      </c>
      <c r="G1095" s="3" t="n">
        <f aca="false">IF('1. Raw Data'!G1094="",ROUND(IFERROR(AVERAGEIFS('1. Raw Data'!G2:G1201,'1. Raw Data'!C2:C1201,'1. Raw Data'!C1094,'1. Raw Data'!D2:D1201,'1. Raw Data'!D1094),0),2),'1. Raw Data'!G1094)</f>
        <v>3597.11</v>
      </c>
      <c r="H1095" s="3" t="str">
        <f aca="false">PROPER('1. Raw Data'!H1094)</f>
        <v>No</v>
      </c>
      <c r="I1095" s="3" t="n">
        <f aca="false">'1. Raw Data'!I1094</f>
        <v>3</v>
      </c>
      <c r="J1095" s="3" t="n">
        <f aca="false">'1. Raw Data'!J1094</f>
        <v>4</v>
      </c>
      <c r="K1095" s="3" t="n">
        <f aca="false">'1. Raw Data'!K1094</f>
        <v>4</v>
      </c>
      <c r="L1095" s="3" t="n">
        <f aca="false">'1. Raw Data'!L1094</f>
        <v>0</v>
      </c>
      <c r="M1095" s="3" t="n">
        <f aca="false">'1. Raw Data'!M1094</f>
        <v>1</v>
      </c>
      <c r="N1095" s="3" t="str">
        <f aca="false">'1. Raw Data'!N1094</f>
        <v>No</v>
      </c>
    </row>
    <row r="1096" customFormat="false" ht="15" hidden="false" customHeight="false" outlineLevel="0" collapsed="false">
      <c r="A1096" s="3" t="str">
        <f aca="false">'1. Raw Data'!A1095</f>
        <v>EMP-1094</v>
      </c>
      <c r="B1096" s="3" t="n">
        <f aca="false">'1. Raw Data'!B1095</f>
        <v>37</v>
      </c>
      <c r="C1096" s="3" t="str">
        <f aca="false">'1. Raw Data'!C1095</f>
        <v>Marketing</v>
      </c>
      <c r="D1096" s="3" t="str">
        <f aca="false">'1. Raw Data'!D1095</f>
        <v>Junior</v>
      </c>
      <c r="E1096" s="3" t="str">
        <f aca="false">'1. Raw Data'!E1095</f>
        <v>Technical</v>
      </c>
      <c r="F1096" s="3" t="n">
        <f aca="false">'1. Raw Data'!F1095</f>
        <v>4.3</v>
      </c>
      <c r="G1096" s="3" t="n">
        <f aca="false">IF('1. Raw Data'!G1095="",ROUND(IFERROR(AVERAGEIFS('1. Raw Data'!G2:G1201,'1. Raw Data'!C2:C1201,'1. Raw Data'!C1095,'1. Raw Data'!D2:D1201,'1. Raw Data'!D1095),0),2),'1. Raw Data'!G1095)</f>
        <v>2830.84</v>
      </c>
      <c r="H1096" s="3" t="str">
        <f aca="false">PROPER('1. Raw Data'!H1095)</f>
        <v>Yes</v>
      </c>
      <c r="I1096" s="3" t="n">
        <f aca="false">'1. Raw Data'!I1095</f>
        <v>3</v>
      </c>
      <c r="J1096" s="3" t="n">
        <f aca="false">'1. Raw Data'!J1095</f>
        <v>3</v>
      </c>
      <c r="K1096" s="3" t="n">
        <f aca="false">'1. Raw Data'!K1095</f>
        <v>8</v>
      </c>
      <c r="L1096" s="3" t="n">
        <f aca="false">'1. Raw Data'!L1095</f>
        <v>0</v>
      </c>
      <c r="M1096" s="3" t="n">
        <f aca="false">'1. Raw Data'!M1095</f>
        <v>2</v>
      </c>
      <c r="N1096" s="3" t="str">
        <f aca="false">'1. Raw Data'!N1095</f>
        <v>Yes</v>
      </c>
    </row>
    <row r="1097" customFormat="false" ht="15" hidden="false" customHeight="false" outlineLevel="0" collapsed="false">
      <c r="A1097" s="3" t="str">
        <f aca="false">'1. Raw Data'!A1096</f>
        <v>EMP-1095</v>
      </c>
      <c r="B1097" s="3" t="n">
        <f aca="false">'1. Raw Data'!B1096</f>
        <v>23</v>
      </c>
      <c r="C1097" s="3" t="str">
        <f aca="false">'1. Raw Data'!C1096</f>
        <v>Finance</v>
      </c>
      <c r="D1097" s="3" t="str">
        <f aca="false">'1. Raw Data'!D1096</f>
        <v>Junior</v>
      </c>
      <c r="E1097" s="3" t="str">
        <f aca="false">'1. Raw Data'!E1096</f>
        <v>Technical</v>
      </c>
      <c r="F1097" s="3" t="n">
        <f aca="false">'1. Raw Data'!F1096</f>
        <v>0.1</v>
      </c>
      <c r="G1097" s="3" t="n">
        <f aca="false">IF('1. Raw Data'!G1096="",ROUND(IFERROR(AVERAGEIFS('1. Raw Data'!G2:G1201,'1. Raw Data'!C2:C1201,'1. Raw Data'!C1096,'1. Raw Data'!D2:D1201,'1. Raw Data'!D1096),0),2),'1. Raw Data'!G1096)</f>
        <v>3562.75</v>
      </c>
      <c r="H1097" s="3" t="str">
        <f aca="false">PROPER('1. Raw Data'!H1096)</f>
        <v>No</v>
      </c>
      <c r="I1097" s="3" t="n">
        <f aca="false">'1. Raw Data'!I1096</f>
        <v>1</v>
      </c>
      <c r="J1097" s="3" t="n">
        <f aca="false">'1. Raw Data'!J1096</f>
        <v>3</v>
      </c>
      <c r="K1097" s="3" t="n">
        <f aca="false">'1. Raw Data'!K1096</f>
        <v>6</v>
      </c>
      <c r="L1097" s="3" t="n">
        <f aca="false">'1. Raw Data'!L1096</f>
        <v>0</v>
      </c>
      <c r="M1097" s="3" t="n">
        <f aca="false">'1. Raw Data'!M1096</f>
        <v>1</v>
      </c>
      <c r="N1097" s="3" t="str">
        <f aca="false">'1. Raw Data'!N1096</f>
        <v>Yes</v>
      </c>
    </row>
    <row r="1098" customFormat="false" ht="15" hidden="false" customHeight="false" outlineLevel="0" collapsed="false">
      <c r="A1098" s="3" t="str">
        <f aca="false">'1. Raw Data'!A1097</f>
        <v>EMP-1096</v>
      </c>
      <c r="B1098" s="3" t="n">
        <f aca="false">'1. Raw Data'!B1097</f>
        <v>35</v>
      </c>
      <c r="C1098" s="3" t="str">
        <f aca="false">'1. Raw Data'!C1097</f>
        <v>Marketing</v>
      </c>
      <c r="D1098" s="3" t="str">
        <f aca="false">'1. Raw Data'!D1097</f>
        <v>Senior</v>
      </c>
      <c r="E1098" s="3" t="str">
        <f aca="false">'1. Raw Data'!E1097</f>
        <v>Technical</v>
      </c>
      <c r="F1098" s="3" t="n">
        <f aca="false">'1. Raw Data'!F1097</f>
        <v>3.3</v>
      </c>
      <c r="G1098" s="3" t="n">
        <f aca="false">IF('1. Raw Data'!G1097="",ROUND(IFERROR(AVERAGEIFS('1. Raw Data'!G2:G1201,'1. Raw Data'!C2:C1201,'1. Raw Data'!C1097,'1. Raw Data'!D2:D1201,'1. Raw Data'!D1097),0),2),'1. Raw Data'!G1097)</f>
        <v>7892.78</v>
      </c>
      <c r="H1098" s="3" t="str">
        <f aca="false">PROPER('1. Raw Data'!H1097)</f>
        <v>No</v>
      </c>
      <c r="I1098" s="3" t="n">
        <f aca="false">'1. Raw Data'!I1097</f>
        <v>4</v>
      </c>
      <c r="J1098" s="3" t="n">
        <f aca="false">'1. Raw Data'!J1097</f>
        <v>2</v>
      </c>
      <c r="K1098" s="3" t="n">
        <f aca="false">'1. Raw Data'!K1097</f>
        <v>6</v>
      </c>
      <c r="L1098" s="3" t="n">
        <f aca="false">'1. Raw Data'!L1097</f>
        <v>1</v>
      </c>
      <c r="M1098" s="3" t="n">
        <f aca="false">'1. Raw Data'!M1097</f>
        <v>0</v>
      </c>
      <c r="N1098" s="3" t="str">
        <f aca="false">'1. Raw Data'!N1097</f>
        <v>No</v>
      </c>
    </row>
    <row r="1099" customFormat="false" ht="15" hidden="false" customHeight="false" outlineLevel="0" collapsed="false">
      <c r="A1099" s="3" t="str">
        <f aca="false">'1. Raw Data'!A1098</f>
        <v>EMP-1097</v>
      </c>
      <c r="B1099" s="3" t="n">
        <f aca="false">'1. Raw Data'!B1098</f>
        <v>37</v>
      </c>
      <c r="C1099" s="3" t="str">
        <f aca="false">'1. Raw Data'!C1098</f>
        <v>Engineering</v>
      </c>
      <c r="D1099" s="3" t="str">
        <f aca="false">'1. Raw Data'!D1098</f>
        <v>Junior</v>
      </c>
      <c r="E1099" s="3" t="str">
        <f aca="false">'1. Raw Data'!E1098</f>
        <v>Technical</v>
      </c>
      <c r="F1099" s="3" t="n">
        <f aca="false">'1. Raw Data'!F1098</f>
        <v>1.1</v>
      </c>
      <c r="G1099" s="3" t="n">
        <f aca="false">IF('1. Raw Data'!G1098="",ROUND(IFERROR(AVERAGEIFS('1. Raw Data'!G2:G1201,'1. Raw Data'!C2:C1201,'1. Raw Data'!C1098,'1. Raw Data'!D2:D1201,'1. Raw Data'!D1098),0),2),'1. Raw Data'!G1098)</f>
        <v>3075.32</v>
      </c>
      <c r="H1099" s="3" t="str">
        <f aca="false">PROPER('1. Raw Data'!H1098)</f>
        <v>No</v>
      </c>
      <c r="I1099" s="3" t="n">
        <f aca="false">'1. Raw Data'!I1098</f>
        <v>1</v>
      </c>
      <c r="J1099" s="3" t="n">
        <f aca="false">'1. Raw Data'!J1098</f>
        <v>4</v>
      </c>
      <c r="K1099" s="3" t="n">
        <f aca="false">'1. Raw Data'!K1098</f>
        <v>1</v>
      </c>
      <c r="L1099" s="3" t="n">
        <f aca="false">'1. Raw Data'!L1098</f>
        <v>1</v>
      </c>
      <c r="M1099" s="3" t="n">
        <f aca="false">'1. Raw Data'!M1098</f>
        <v>6</v>
      </c>
      <c r="N1099" s="3" t="str">
        <f aca="false">'1. Raw Data'!N1098</f>
        <v>No</v>
      </c>
    </row>
    <row r="1100" customFormat="false" ht="15" hidden="false" customHeight="false" outlineLevel="0" collapsed="false">
      <c r="A1100" s="3" t="str">
        <f aca="false">'1. Raw Data'!A1099</f>
        <v>EMP-1098</v>
      </c>
      <c r="B1100" s="3" t="n">
        <f aca="false">'1. Raw Data'!B1099</f>
        <v>36</v>
      </c>
      <c r="C1100" s="3" t="str">
        <f aca="false">'1. Raw Data'!C1099</f>
        <v>Sales</v>
      </c>
      <c r="D1100" s="3" t="str">
        <f aca="false">'1. Raw Data'!D1099</f>
        <v>Senior</v>
      </c>
      <c r="E1100" s="3" t="str">
        <f aca="false">'1. Raw Data'!E1099</f>
        <v>Technical</v>
      </c>
      <c r="F1100" s="3" t="n">
        <f aca="false">'1. Raw Data'!F1099</f>
        <v>1.7</v>
      </c>
      <c r="G1100" s="3" t="n">
        <f aca="false">IF('1. Raw Data'!G1099="",ROUND(IFERROR(AVERAGEIFS('1. Raw Data'!G2:G1201,'1. Raw Data'!C2:C1201,'1. Raw Data'!C1099,'1. Raw Data'!D2:D1201,'1. Raw Data'!D1099),0),2),'1. Raw Data'!G1099)</f>
        <v>6710.15</v>
      </c>
      <c r="H1100" s="3" t="str">
        <f aca="false">PROPER('1. Raw Data'!H1099)</f>
        <v>No</v>
      </c>
      <c r="I1100" s="3" t="n">
        <f aca="false">'1. Raw Data'!I1099</f>
        <v>1</v>
      </c>
      <c r="J1100" s="3" t="n">
        <f aca="false">'1. Raw Data'!J1099</f>
        <v>4</v>
      </c>
      <c r="K1100" s="3" t="n">
        <f aca="false">'1. Raw Data'!K1099</f>
        <v>10</v>
      </c>
      <c r="L1100" s="3" t="n">
        <f aca="false">'1. Raw Data'!L1099</f>
        <v>1</v>
      </c>
      <c r="M1100" s="3" t="n">
        <f aca="false">'1. Raw Data'!M1099</f>
        <v>2</v>
      </c>
      <c r="N1100" s="3" t="str">
        <f aca="false">'1. Raw Data'!N1099</f>
        <v>No</v>
      </c>
    </row>
    <row r="1101" customFormat="false" ht="15" hidden="false" customHeight="false" outlineLevel="0" collapsed="false">
      <c r="A1101" s="3" t="str">
        <f aca="false">'1. Raw Data'!A1100</f>
        <v>EMP-1099</v>
      </c>
      <c r="B1101" s="3" t="n">
        <f aca="false">'1. Raw Data'!B1100</f>
        <v>33</v>
      </c>
      <c r="C1101" s="3" t="str">
        <f aca="false">'1. Raw Data'!C1100</f>
        <v>Engineering</v>
      </c>
      <c r="D1101" s="3" t="str">
        <f aca="false">'1. Raw Data'!D1100</f>
        <v>Junior</v>
      </c>
      <c r="E1101" s="3" t="str">
        <f aca="false">'1. Raw Data'!E1100</f>
        <v>Other</v>
      </c>
      <c r="F1101" s="3" t="n">
        <f aca="false">'1. Raw Data'!F1100</f>
        <v>0.3</v>
      </c>
      <c r="G1101" s="3" t="n">
        <f aca="false">IF('1. Raw Data'!G1100="",ROUND(IFERROR(AVERAGEIFS('1. Raw Data'!G2:G1201,'1. Raw Data'!C2:C1201,'1. Raw Data'!C1100,'1. Raw Data'!D2:D1201,'1. Raw Data'!D1100),0),2),'1. Raw Data'!G1100)</f>
        <v>3498.78</v>
      </c>
      <c r="H1101" s="3" t="str">
        <f aca="false">PROPER('1. Raw Data'!H1100)</f>
        <v>No</v>
      </c>
      <c r="I1101" s="3" t="n">
        <f aca="false">'1. Raw Data'!I1100</f>
        <v>1</v>
      </c>
      <c r="J1101" s="3" t="n">
        <f aca="false">'1. Raw Data'!J1100</f>
        <v>4</v>
      </c>
      <c r="K1101" s="3" t="n">
        <f aca="false">'1. Raw Data'!K1100</f>
        <v>12</v>
      </c>
      <c r="L1101" s="3" t="n">
        <f aca="false">'1. Raw Data'!L1100</f>
        <v>0</v>
      </c>
      <c r="M1101" s="3" t="n">
        <f aca="false">'1. Raw Data'!M1100</f>
        <v>1</v>
      </c>
      <c r="N1101" s="3" t="str">
        <f aca="false">'1. Raw Data'!N1100</f>
        <v>No</v>
      </c>
    </row>
    <row r="1102" customFormat="false" ht="15" hidden="false" customHeight="false" outlineLevel="0" collapsed="false">
      <c r="A1102" s="3" t="str">
        <f aca="false">'1. Raw Data'!A1101</f>
        <v>EMP-1100</v>
      </c>
      <c r="B1102" s="3" t="n">
        <f aca="false">'1. Raw Data'!B1101</f>
        <v>46</v>
      </c>
      <c r="C1102" s="3" t="str">
        <f aca="false">'1. Raw Data'!C1101</f>
        <v>Sales</v>
      </c>
      <c r="D1102" s="3" t="str">
        <f aca="false">'1. Raw Data'!D1101</f>
        <v>Junior</v>
      </c>
      <c r="E1102" s="3" t="str">
        <f aca="false">'1. Raw Data'!E1101</f>
        <v>Business</v>
      </c>
      <c r="F1102" s="3" t="n">
        <f aca="false">'1. Raw Data'!F1101</f>
        <v>2.1</v>
      </c>
      <c r="G1102" s="3" t="n">
        <f aca="false">IF('1. Raw Data'!G1101="",ROUND(IFERROR(AVERAGEIFS('1. Raw Data'!G2:G1201,'1. Raw Data'!C2:C1201,'1. Raw Data'!C1101,'1. Raw Data'!D2:D1201,'1. Raw Data'!D1101),0),2),'1. Raw Data'!G1101)</f>
        <v>2928.3</v>
      </c>
      <c r="H1102" s="3" t="str">
        <f aca="false">PROPER('1. Raw Data'!H1101)</f>
        <v>Yes</v>
      </c>
      <c r="I1102" s="3" t="n">
        <f aca="false">'1. Raw Data'!I1101</f>
        <v>2</v>
      </c>
      <c r="J1102" s="3" t="n">
        <f aca="false">'1. Raw Data'!J1101</f>
        <v>4</v>
      </c>
      <c r="K1102" s="3" t="n">
        <f aca="false">'1. Raw Data'!K1101</f>
        <v>6</v>
      </c>
      <c r="L1102" s="3" t="n">
        <f aca="false">'1. Raw Data'!L1101</f>
        <v>0</v>
      </c>
      <c r="M1102" s="3" t="n">
        <f aca="false">'1. Raw Data'!M1101</f>
        <v>2</v>
      </c>
      <c r="N1102" s="3" t="str">
        <f aca="false">'1. Raw Data'!N1101</f>
        <v>No</v>
      </c>
    </row>
    <row r="1103" customFormat="false" ht="15" hidden="false" customHeight="false" outlineLevel="0" collapsed="false">
      <c r="A1103" s="3" t="str">
        <f aca="false">'1. Raw Data'!A1102</f>
        <v>EMP-1101</v>
      </c>
      <c r="B1103" s="3" t="n">
        <f aca="false">'1. Raw Data'!B1102</f>
        <v>35</v>
      </c>
      <c r="C1103" s="3" t="str">
        <f aca="false">'1. Raw Data'!C1102</f>
        <v>Sales</v>
      </c>
      <c r="D1103" s="3" t="str">
        <f aca="false">'1. Raw Data'!D1102</f>
        <v>Junior</v>
      </c>
      <c r="E1103" s="3" t="str">
        <f aca="false">'1. Raw Data'!E1102</f>
        <v>Technical</v>
      </c>
      <c r="F1103" s="3" t="n">
        <f aca="false">'1. Raw Data'!F1102</f>
        <v>6.6</v>
      </c>
      <c r="G1103" s="3" t="n">
        <f aca="false">IF('1. Raw Data'!G1102="",ROUND(IFERROR(AVERAGEIFS('1. Raw Data'!G2:G1201,'1. Raw Data'!C2:C1201,'1. Raw Data'!C1102,'1. Raw Data'!D2:D1201,'1. Raw Data'!D1102),0),2),'1. Raw Data'!G1102)</f>
        <v>3104.3</v>
      </c>
      <c r="H1103" s="3" t="str">
        <f aca="false">PROPER('1. Raw Data'!H1102)</f>
        <v>No</v>
      </c>
      <c r="I1103" s="3" t="n">
        <f aca="false">'1. Raw Data'!I1102</f>
        <v>4</v>
      </c>
      <c r="J1103" s="3" t="n">
        <f aca="false">'1. Raw Data'!J1102</f>
        <v>3</v>
      </c>
      <c r="K1103" s="3" t="n">
        <f aca="false">'1. Raw Data'!K1102</f>
        <v>1</v>
      </c>
      <c r="L1103" s="3" t="n">
        <f aca="false">'1. Raw Data'!L1102</f>
        <v>0</v>
      </c>
      <c r="M1103" s="3" t="n">
        <f aca="false">'1. Raw Data'!M1102</f>
        <v>1</v>
      </c>
      <c r="N1103" s="3" t="str">
        <f aca="false">'1. Raw Data'!N1102</f>
        <v>No</v>
      </c>
    </row>
    <row r="1104" customFormat="false" ht="15" hidden="false" customHeight="false" outlineLevel="0" collapsed="false">
      <c r="A1104" s="3" t="str">
        <f aca="false">'1. Raw Data'!A1103</f>
        <v>EMP-1102</v>
      </c>
      <c r="B1104" s="3" t="n">
        <f aca="false">'1. Raw Data'!B1103</f>
        <v>28</v>
      </c>
      <c r="C1104" s="3" t="str">
        <f aca="false">'1. Raw Data'!C1103</f>
        <v>Engineering</v>
      </c>
      <c r="D1104" s="3" t="str">
        <f aca="false">'1. Raw Data'!D1103</f>
        <v>Mid</v>
      </c>
      <c r="E1104" s="3" t="str">
        <f aca="false">'1. Raw Data'!E1103</f>
        <v>Business</v>
      </c>
      <c r="F1104" s="3" t="n">
        <f aca="false">'1. Raw Data'!F1103</f>
        <v>7</v>
      </c>
      <c r="G1104" s="3" t="n">
        <f aca="false">IF('1. Raw Data'!G1103="",ROUND(IFERROR(AVERAGEIFS('1. Raw Data'!G2:G1201,'1. Raw Data'!C2:C1201,'1. Raw Data'!C1103,'1. Raw Data'!D2:D1201,'1. Raw Data'!D1103),0),2),'1. Raw Data'!G1103)</f>
        <v>4276.58</v>
      </c>
      <c r="H1104" s="3" t="str">
        <f aca="false">PROPER('1. Raw Data'!H1103)</f>
        <v>No</v>
      </c>
      <c r="I1104" s="3" t="n">
        <f aca="false">'1. Raw Data'!I1103</f>
        <v>4</v>
      </c>
      <c r="J1104" s="3" t="n">
        <f aca="false">'1. Raw Data'!J1103</f>
        <v>1</v>
      </c>
      <c r="K1104" s="3" t="n">
        <f aca="false">'1. Raw Data'!K1103</f>
        <v>7</v>
      </c>
      <c r="L1104" s="3" t="n">
        <f aca="false">'1. Raw Data'!L1103</f>
        <v>2</v>
      </c>
      <c r="M1104" s="3" t="n">
        <f aca="false">'1. Raw Data'!M1103</f>
        <v>2</v>
      </c>
      <c r="N1104" s="3" t="str">
        <f aca="false">'1. Raw Data'!N1103</f>
        <v>No</v>
      </c>
    </row>
    <row r="1105" customFormat="false" ht="15" hidden="false" customHeight="false" outlineLevel="0" collapsed="false">
      <c r="A1105" s="3" t="str">
        <f aca="false">'1. Raw Data'!A1104</f>
        <v>EMP-1103</v>
      </c>
      <c r="B1105" s="3" t="n">
        <f aca="false">'1. Raw Data'!B1104</f>
        <v>37</v>
      </c>
      <c r="C1105" s="3" t="str">
        <f aca="false">'1. Raw Data'!C1104</f>
        <v>Sales</v>
      </c>
      <c r="D1105" s="3" t="str">
        <f aca="false">'1. Raw Data'!D1104</f>
        <v>Mid</v>
      </c>
      <c r="E1105" s="3" t="str">
        <f aca="false">'1. Raw Data'!E1104</f>
        <v>Technical</v>
      </c>
      <c r="F1105" s="3" t="n">
        <f aca="false">'1. Raw Data'!F1104</f>
        <v>7.2</v>
      </c>
      <c r="G1105" s="3" t="n">
        <f aca="false">IF('1. Raw Data'!G1104="",ROUND(IFERROR(AVERAGEIFS('1. Raw Data'!G2:G1201,'1. Raw Data'!C2:C1201,'1. Raw Data'!C1104,'1. Raw Data'!D2:D1201,'1. Raw Data'!D1104),0),2),'1. Raw Data'!G1104)</f>
        <v>4520.2</v>
      </c>
      <c r="H1105" s="3" t="str">
        <f aca="false">PROPER('1. Raw Data'!H1104)</f>
        <v>Yes</v>
      </c>
      <c r="I1105" s="3" t="n">
        <f aca="false">'1. Raw Data'!I1104</f>
        <v>2</v>
      </c>
      <c r="J1105" s="3" t="n">
        <f aca="false">'1. Raw Data'!J1104</f>
        <v>2</v>
      </c>
      <c r="K1105" s="3" t="n">
        <f aca="false">'1. Raw Data'!K1104</f>
        <v>7</v>
      </c>
      <c r="L1105" s="3" t="n">
        <f aca="false">'1. Raw Data'!L1104</f>
        <v>2</v>
      </c>
      <c r="M1105" s="3" t="n">
        <f aca="false">'1. Raw Data'!M1104</f>
        <v>0</v>
      </c>
      <c r="N1105" s="3" t="str">
        <f aca="false">'1. Raw Data'!N1104</f>
        <v>No</v>
      </c>
    </row>
    <row r="1106" customFormat="false" ht="15" hidden="false" customHeight="false" outlineLevel="0" collapsed="false">
      <c r="A1106" s="3" t="str">
        <f aca="false">'1. Raw Data'!A1105</f>
        <v>EMP-1104</v>
      </c>
      <c r="B1106" s="3" t="n">
        <f aca="false">'1. Raw Data'!B1105</f>
        <v>36</v>
      </c>
      <c r="C1106" s="3" t="str">
        <f aca="false">'1. Raw Data'!C1105</f>
        <v>Marketing</v>
      </c>
      <c r="D1106" s="3" t="str">
        <f aca="false">'1. Raw Data'!D1105</f>
        <v>Lead</v>
      </c>
      <c r="E1106" s="3" t="str">
        <f aca="false">'1. Raw Data'!E1105</f>
        <v>Business</v>
      </c>
      <c r="F1106" s="3" t="n">
        <f aca="false">'1. Raw Data'!F1105</f>
        <v>5</v>
      </c>
      <c r="G1106" s="3" t="n">
        <f aca="false">IF('1. Raw Data'!G1105="",ROUND(IFERROR(AVERAGEIFS('1. Raw Data'!G2:G1201,'1. Raw Data'!C2:C1201,'1. Raw Data'!C1105,'1. Raw Data'!D2:D1201,'1. Raw Data'!D1105),0),2),'1. Raw Data'!G1105)</f>
        <v>11244.08</v>
      </c>
      <c r="H1106" s="3" t="str">
        <f aca="false">PROPER('1. Raw Data'!H1105)</f>
        <v>No</v>
      </c>
      <c r="I1106" s="3" t="n">
        <f aca="false">'1. Raw Data'!I1105</f>
        <v>4</v>
      </c>
      <c r="J1106" s="3" t="n">
        <f aca="false">'1. Raw Data'!J1105</f>
        <v>3</v>
      </c>
      <c r="K1106" s="3" t="n">
        <f aca="false">'1. Raw Data'!K1105</f>
        <v>10</v>
      </c>
      <c r="L1106" s="3" t="n">
        <f aca="false">'1. Raw Data'!L1105</f>
        <v>1</v>
      </c>
      <c r="M1106" s="3" t="n">
        <f aca="false">'1. Raw Data'!M1105</f>
        <v>0</v>
      </c>
      <c r="N1106" s="3" t="str">
        <f aca="false">'1. Raw Data'!N1105</f>
        <v>No</v>
      </c>
    </row>
    <row r="1107" customFormat="false" ht="15" hidden="false" customHeight="false" outlineLevel="0" collapsed="false">
      <c r="A1107" s="3" t="str">
        <f aca="false">'1. Raw Data'!A1106</f>
        <v>EMP-1105</v>
      </c>
      <c r="B1107" s="3" t="n">
        <f aca="false">'1. Raw Data'!B1106</f>
        <v>37</v>
      </c>
      <c r="C1107" s="3" t="str">
        <f aca="false">'1. Raw Data'!C1106</f>
        <v>Engineering</v>
      </c>
      <c r="D1107" s="3" t="str">
        <f aca="false">'1. Raw Data'!D1106</f>
        <v>Junior</v>
      </c>
      <c r="E1107" s="3" t="str">
        <f aca="false">'1. Raw Data'!E1106</f>
        <v>Other</v>
      </c>
      <c r="F1107" s="3" t="n">
        <f aca="false">'1. Raw Data'!F1106</f>
        <v>3</v>
      </c>
      <c r="G1107" s="3" t="n">
        <f aca="false">IF('1. Raw Data'!G1106="",ROUND(IFERROR(AVERAGEIFS('1. Raw Data'!G2:G1201,'1. Raw Data'!C2:C1201,'1. Raw Data'!C1106,'1. Raw Data'!D2:D1201,'1. Raw Data'!D1106),0),2),'1. Raw Data'!G1106)</f>
        <v>3654.3</v>
      </c>
      <c r="H1107" s="3" t="str">
        <f aca="false">PROPER('1. Raw Data'!H1106)</f>
        <v>Yes</v>
      </c>
      <c r="I1107" s="3" t="n">
        <f aca="false">'1. Raw Data'!I1106</f>
        <v>4</v>
      </c>
      <c r="J1107" s="3" t="n">
        <f aca="false">'1. Raw Data'!J1106</f>
        <v>1</v>
      </c>
      <c r="K1107" s="3" t="n">
        <f aca="false">'1. Raw Data'!K1106</f>
        <v>32</v>
      </c>
      <c r="L1107" s="3" t="n">
        <f aca="false">'1. Raw Data'!L1106</f>
        <v>1</v>
      </c>
      <c r="M1107" s="3" t="n">
        <f aca="false">'1. Raw Data'!M1106</f>
        <v>1</v>
      </c>
      <c r="N1107" s="3" t="str">
        <f aca="false">'1. Raw Data'!N1106</f>
        <v>Yes</v>
      </c>
    </row>
    <row r="1108" customFormat="false" ht="15" hidden="false" customHeight="false" outlineLevel="0" collapsed="false">
      <c r="A1108" s="3" t="str">
        <f aca="false">'1. Raw Data'!A1107</f>
        <v>EMP-1106</v>
      </c>
      <c r="B1108" s="3" t="n">
        <f aca="false">'1. Raw Data'!B1107</f>
        <v>26</v>
      </c>
      <c r="C1108" s="3" t="str">
        <f aca="false">'1. Raw Data'!C1107</f>
        <v>Marketing</v>
      </c>
      <c r="D1108" s="3" t="str">
        <f aca="false">'1. Raw Data'!D1107</f>
        <v>Senior</v>
      </c>
      <c r="E1108" s="3" t="str">
        <f aca="false">'1. Raw Data'!E1107</f>
        <v>Technical</v>
      </c>
      <c r="F1108" s="3" t="n">
        <f aca="false">'1. Raw Data'!F1107</f>
        <v>5</v>
      </c>
      <c r="G1108" s="3" t="n">
        <f aca="false">IF('1. Raw Data'!G1107="",ROUND(IFERROR(AVERAGEIFS('1. Raw Data'!G2:G1201,'1. Raw Data'!C2:C1201,'1. Raw Data'!C1107,'1. Raw Data'!D2:D1201,'1. Raw Data'!D1107),0),2),'1. Raw Data'!G1107)</f>
        <v>8113.47</v>
      </c>
      <c r="H1108" s="3" t="str">
        <f aca="false">PROPER('1. Raw Data'!H1107)</f>
        <v>Yes</v>
      </c>
      <c r="I1108" s="3" t="n">
        <f aca="false">'1. Raw Data'!I1107</f>
        <v>3</v>
      </c>
      <c r="J1108" s="3" t="n">
        <f aca="false">'1. Raw Data'!J1107</f>
        <v>2</v>
      </c>
      <c r="K1108" s="3" t="n">
        <f aca="false">'1. Raw Data'!K1107</f>
        <v>1</v>
      </c>
      <c r="L1108" s="3" t="n">
        <f aca="false">'1. Raw Data'!L1107</f>
        <v>0</v>
      </c>
      <c r="M1108" s="3" t="n">
        <f aca="false">'1. Raw Data'!M1107</f>
        <v>2</v>
      </c>
      <c r="N1108" s="3" t="str">
        <f aca="false">'1. Raw Data'!N1107</f>
        <v>Yes</v>
      </c>
    </row>
    <row r="1109" customFormat="false" ht="15" hidden="false" customHeight="false" outlineLevel="0" collapsed="false">
      <c r="A1109" s="3" t="str">
        <f aca="false">'1. Raw Data'!A1108</f>
        <v>EMP-1107</v>
      </c>
      <c r="B1109" s="3" t="n">
        <f aca="false">'1. Raw Data'!B1108</f>
        <v>34</v>
      </c>
      <c r="C1109" s="3" t="str">
        <f aca="false">'1. Raw Data'!C1108</f>
        <v>Customer Support</v>
      </c>
      <c r="D1109" s="3" t="str">
        <f aca="false">'1. Raw Data'!D1108</f>
        <v>Senior</v>
      </c>
      <c r="E1109" s="3" t="str">
        <f aca="false">'1. Raw Data'!E1108</f>
        <v>Business</v>
      </c>
      <c r="F1109" s="3" t="n">
        <f aca="false">'1. Raw Data'!F1108</f>
        <v>1.1</v>
      </c>
      <c r="G1109" s="3" t="n">
        <f aca="false">IF('1. Raw Data'!G1108="",ROUND(IFERROR(AVERAGEIFS('1. Raw Data'!G2:G1201,'1. Raw Data'!C2:C1201,'1. Raw Data'!C1108,'1. Raw Data'!D2:D1201,'1. Raw Data'!D1108),0),2),'1. Raw Data'!G1108)</f>
        <v>6251</v>
      </c>
      <c r="H1109" s="3" t="str">
        <f aca="false">PROPER('1. Raw Data'!H1108)</f>
        <v>Yes</v>
      </c>
      <c r="I1109" s="3" t="n">
        <f aca="false">'1. Raw Data'!I1108</f>
        <v>3</v>
      </c>
      <c r="J1109" s="3" t="n">
        <f aca="false">'1. Raw Data'!J1108</f>
        <v>1</v>
      </c>
      <c r="K1109" s="3" t="n">
        <f aca="false">'1. Raw Data'!K1108</f>
        <v>8</v>
      </c>
      <c r="L1109" s="3" t="n">
        <f aca="false">'1. Raw Data'!L1108</f>
        <v>1</v>
      </c>
      <c r="M1109" s="3" t="n">
        <f aca="false">'1. Raw Data'!M1108</f>
        <v>0</v>
      </c>
      <c r="N1109" s="3" t="str">
        <f aca="false">'1. Raw Data'!N1108</f>
        <v>Yes</v>
      </c>
    </row>
    <row r="1110" customFormat="false" ht="15" hidden="false" customHeight="false" outlineLevel="0" collapsed="false">
      <c r="A1110" s="3" t="str">
        <f aca="false">'1. Raw Data'!A1109</f>
        <v>EMP-1108</v>
      </c>
      <c r="B1110" s="3" t="n">
        <f aca="false">'1. Raw Data'!B1109</f>
        <v>25</v>
      </c>
      <c r="C1110" s="3" t="str">
        <f aca="false">'1. Raw Data'!C1109</f>
        <v>Sales</v>
      </c>
      <c r="D1110" s="3" t="str">
        <f aca="false">'1. Raw Data'!D1109</f>
        <v>Mid</v>
      </c>
      <c r="E1110" s="3" t="str">
        <f aca="false">'1. Raw Data'!E1109</f>
        <v>Technical</v>
      </c>
      <c r="F1110" s="3" t="n">
        <f aca="false">'1. Raw Data'!F1109</f>
        <v>0.3</v>
      </c>
      <c r="G1110" s="3" t="n">
        <f aca="false">IF('1. Raw Data'!G1109="",ROUND(IFERROR(AVERAGEIFS('1. Raw Data'!G2:G1201,'1. Raw Data'!C2:C1201,'1. Raw Data'!C1109,'1. Raw Data'!D2:D1201,'1. Raw Data'!D1109),0),2),'1. Raw Data'!G1109)</f>
        <v>4459.06</v>
      </c>
      <c r="H1110" s="3" t="str">
        <f aca="false">PROPER('1. Raw Data'!H1109)</f>
        <v>No</v>
      </c>
      <c r="I1110" s="3" t="n">
        <f aca="false">'1. Raw Data'!I1109</f>
        <v>3</v>
      </c>
      <c r="J1110" s="3" t="n">
        <f aca="false">'1. Raw Data'!J1109</f>
        <v>2</v>
      </c>
      <c r="K1110" s="3" t="n">
        <f aca="false">'1. Raw Data'!K1109</f>
        <v>11</v>
      </c>
      <c r="L1110" s="3" t="n">
        <f aca="false">'1. Raw Data'!L1109</f>
        <v>0</v>
      </c>
      <c r="M1110" s="3" t="n">
        <f aca="false">'1. Raw Data'!M1109</f>
        <v>4</v>
      </c>
      <c r="N1110" s="3" t="str">
        <f aca="false">'1. Raw Data'!N1109</f>
        <v>No</v>
      </c>
    </row>
    <row r="1111" customFormat="false" ht="15" hidden="false" customHeight="false" outlineLevel="0" collapsed="false">
      <c r="A1111" s="3" t="str">
        <f aca="false">'1. Raw Data'!A1110</f>
        <v>EMP-1109</v>
      </c>
      <c r="B1111" s="3" t="n">
        <f aca="false">'1. Raw Data'!B1110</f>
        <v>26</v>
      </c>
      <c r="C1111" s="3" t="str">
        <f aca="false">'1. Raw Data'!C1110</f>
        <v>Customer Support</v>
      </c>
      <c r="D1111" s="3" t="str">
        <f aca="false">'1. Raw Data'!D1110</f>
        <v>Junior</v>
      </c>
      <c r="E1111" s="3" t="str">
        <f aca="false">'1. Raw Data'!E1110</f>
        <v>Business</v>
      </c>
      <c r="F1111" s="3" t="n">
        <f aca="false">'1. Raw Data'!F1110</f>
        <v>5</v>
      </c>
      <c r="G1111" s="3" t="n">
        <f aca="false">IF('1. Raw Data'!G1110="",ROUND(IFERROR(AVERAGEIFS('1. Raw Data'!G2:G1201,'1. Raw Data'!C2:C1201,'1. Raw Data'!C1110,'1. Raw Data'!D2:D1201,'1. Raw Data'!D1110),0),2),'1. Raw Data'!G1110)</f>
        <v>2917.49</v>
      </c>
      <c r="H1111" s="3" t="str">
        <f aca="false">PROPER('1. Raw Data'!H1110)</f>
        <v>Yes</v>
      </c>
      <c r="I1111" s="3" t="n">
        <f aca="false">'1. Raw Data'!I1110</f>
        <v>3</v>
      </c>
      <c r="J1111" s="3" t="n">
        <f aca="false">'1. Raw Data'!J1110</f>
        <v>4</v>
      </c>
      <c r="K1111" s="3" t="n">
        <f aca="false">'1. Raw Data'!K1110</f>
        <v>1</v>
      </c>
      <c r="L1111" s="3" t="n">
        <f aca="false">'1. Raw Data'!L1110</f>
        <v>5</v>
      </c>
      <c r="M1111" s="3" t="n">
        <f aca="false">'1. Raw Data'!M1110</f>
        <v>1</v>
      </c>
      <c r="N1111" s="3" t="str">
        <f aca="false">'1. Raw Data'!N1110</f>
        <v>No</v>
      </c>
    </row>
    <row r="1112" customFormat="false" ht="15" hidden="false" customHeight="false" outlineLevel="0" collapsed="false">
      <c r="A1112" s="3" t="str">
        <f aca="false">'1. Raw Data'!A1111</f>
        <v>EMP-1110</v>
      </c>
      <c r="B1112" s="3" t="n">
        <f aca="false">'1. Raw Data'!B1111</f>
        <v>44</v>
      </c>
      <c r="C1112" s="3" t="str">
        <f aca="false">'1. Raw Data'!C1111</f>
        <v>Marketing</v>
      </c>
      <c r="D1112" s="3" t="str">
        <f aca="false">'1. Raw Data'!D1111</f>
        <v>Junior</v>
      </c>
      <c r="E1112" s="3" t="str">
        <f aca="false">'1. Raw Data'!E1111</f>
        <v>Technical</v>
      </c>
      <c r="F1112" s="3" t="n">
        <f aca="false">'1. Raw Data'!F1111</f>
        <v>7.9</v>
      </c>
      <c r="G1112" s="3" t="n">
        <f aca="false">IF('1. Raw Data'!G1111="",ROUND(IFERROR(AVERAGEIFS('1. Raw Data'!G2:G1201,'1. Raw Data'!C2:C1201,'1. Raw Data'!C1111,'1. Raw Data'!D2:D1201,'1. Raw Data'!D1111),0),2),'1. Raw Data'!G1111)</f>
        <v>2811.51</v>
      </c>
      <c r="H1112" s="3" t="str">
        <f aca="false">PROPER('1. Raw Data'!H1111)</f>
        <v>No</v>
      </c>
      <c r="I1112" s="3" t="n">
        <f aca="false">'1. Raw Data'!I1111</f>
        <v>4</v>
      </c>
      <c r="J1112" s="3" t="n">
        <f aca="false">'1. Raw Data'!J1111</f>
        <v>1</v>
      </c>
      <c r="K1112" s="3" t="n">
        <f aca="false">'1. Raw Data'!K1111</f>
        <v>18</v>
      </c>
      <c r="L1112" s="3" t="n">
        <f aca="false">'1. Raw Data'!L1111</f>
        <v>0</v>
      </c>
      <c r="M1112" s="3" t="n">
        <f aca="false">'1. Raw Data'!M1111</f>
        <v>1</v>
      </c>
      <c r="N1112" s="3" t="str">
        <f aca="false">'1. Raw Data'!N1111</f>
        <v>No</v>
      </c>
    </row>
    <row r="1113" customFormat="false" ht="15" hidden="false" customHeight="false" outlineLevel="0" collapsed="false">
      <c r="A1113" s="3" t="str">
        <f aca="false">'1. Raw Data'!A1112</f>
        <v>EMP-1111</v>
      </c>
      <c r="B1113" s="3" t="n">
        <f aca="false">'1. Raw Data'!B1112</f>
        <v>45</v>
      </c>
      <c r="C1113" s="3" t="str">
        <f aca="false">'1. Raw Data'!C1112</f>
        <v>Customer Support</v>
      </c>
      <c r="D1113" s="3" t="str">
        <f aca="false">'1. Raw Data'!D1112</f>
        <v>Junior</v>
      </c>
      <c r="E1113" s="3" t="str">
        <f aca="false">'1. Raw Data'!E1112</f>
        <v>Marketing</v>
      </c>
      <c r="F1113" s="3" t="n">
        <f aca="false">'1. Raw Data'!F1112</f>
        <v>2.3</v>
      </c>
      <c r="G1113" s="3" t="n">
        <f aca="false">IF('1. Raw Data'!G1112="",ROUND(IFERROR(AVERAGEIFS('1. Raw Data'!G2:G1201,'1. Raw Data'!C2:C1201,'1. Raw Data'!C1112,'1. Raw Data'!D2:D1201,'1. Raw Data'!D1112),0),2),'1. Raw Data'!G1112)</f>
        <v>3621.43</v>
      </c>
      <c r="H1113" s="3" t="str">
        <f aca="false">PROPER('1. Raw Data'!H1112)</f>
        <v>Yes</v>
      </c>
      <c r="I1113" s="3" t="n">
        <f aca="false">'1. Raw Data'!I1112</f>
        <v>1</v>
      </c>
      <c r="J1113" s="3" t="n">
        <f aca="false">'1. Raw Data'!J1112</f>
        <v>2</v>
      </c>
      <c r="K1113" s="3" t="n">
        <f aca="false">'1. Raw Data'!K1112</f>
        <v>6</v>
      </c>
      <c r="L1113" s="3" t="n">
        <f aca="false">'1. Raw Data'!L1112</f>
        <v>0</v>
      </c>
      <c r="M1113" s="3" t="n">
        <f aca="false">'1. Raw Data'!M1112</f>
        <v>2</v>
      </c>
      <c r="N1113" s="3" t="str">
        <f aca="false">'1. Raw Data'!N1112</f>
        <v>Yes</v>
      </c>
    </row>
    <row r="1114" customFormat="false" ht="15" hidden="false" customHeight="false" outlineLevel="0" collapsed="false">
      <c r="A1114" s="3" t="str">
        <f aca="false">'1. Raw Data'!A1113</f>
        <v>EMP-1112</v>
      </c>
      <c r="B1114" s="3" t="n">
        <f aca="false">'1. Raw Data'!B1113</f>
        <v>40</v>
      </c>
      <c r="C1114" s="3" t="str">
        <f aca="false">'1. Raw Data'!C1113</f>
        <v>Engineering</v>
      </c>
      <c r="D1114" s="3" t="str">
        <f aca="false">'1. Raw Data'!D1113</f>
        <v>Mid</v>
      </c>
      <c r="E1114" s="3" t="str">
        <f aca="false">'1. Raw Data'!E1113</f>
        <v>Marketing</v>
      </c>
      <c r="F1114" s="3" t="n">
        <f aca="false">'1. Raw Data'!F1113</f>
        <v>4.9</v>
      </c>
      <c r="G1114" s="3" t="n">
        <f aca="false">IF('1. Raw Data'!G1113="",ROUND(IFERROR(AVERAGEIFS('1. Raw Data'!G2:G1201,'1. Raw Data'!C2:C1201,'1. Raw Data'!C1113,'1. Raw Data'!D2:D1201,'1. Raw Data'!D1113),0),2),'1. Raw Data'!G1113)</f>
        <v>4993.21</v>
      </c>
      <c r="H1114" s="3" t="str">
        <f aca="false">PROPER('1. Raw Data'!H1113)</f>
        <v>No</v>
      </c>
      <c r="I1114" s="3" t="n">
        <f aca="false">'1. Raw Data'!I1113</f>
        <v>3</v>
      </c>
      <c r="J1114" s="3" t="n">
        <f aca="false">'1. Raw Data'!J1113</f>
        <v>3</v>
      </c>
      <c r="K1114" s="3" t="n">
        <f aca="false">'1. Raw Data'!K1113</f>
        <v>17</v>
      </c>
      <c r="L1114" s="3" t="n">
        <f aca="false">'1. Raw Data'!L1113</f>
        <v>2</v>
      </c>
      <c r="M1114" s="3" t="n">
        <f aca="false">'1. Raw Data'!M1113</f>
        <v>2</v>
      </c>
      <c r="N1114" s="3" t="str">
        <f aca="false">'1. Raw Data'!N1113</f>
        <v>No</v>
      </c>
    </row>
    <row r="1115" customFormat="false" ht="15" hidden="false" customHeight="false" outlineLevel="0" collapsed="false">
      <c r="A1115" s="3" t="str">
        <f aca="false">'1. Raw Data'!A1114</f>
        <v>EMP-1113</v>
      </c>
      <c r="B1115" s="3" t="n">
        <f aca="false">'1. Raw Data'!B1114</f>
        <v>30</v>
      </c>
      <c r="C1115" s="3" t="str">
        <f aca="false">'1. Raw Data'!C1114</f>
        <v>HR</v>
      </c>
      <c r="D1115" s="3" t="str">
        <f aca="false">'1. Raw Data'!D1114</f>
        <v>Junior</v>
      </c>
      <c r="E1115" s="3" t="str">
        <f aca="false">'1. Raw Data'!E1114</f>
        <v>Marketing</v>
      </c>
      <c r="F1115" s="3" t="n">
        <f aca="false">'1. Raw Data'!F1114</f>
        <v>2.9</v>
      </c>
      <c r="G1115" s="3" t="n">
        <f aca="false">IF('1. Raw Data'!G1114="",ROUND(IFERROR(AVERAGEIFS('1. Raw Data'!G2:G1201,'1. Raw Data'!C2:C1201,'1. Raw Data'!C1114,'1. Raw Data'!D2:D1201,'1. Raw Data'!D1114),0),2),'1. Raw Data'!G1114)</f>
        <v>2907.59</v>
      </c>
      <c r="H1115" s="3" t="str">
        <f aca="false">PROPER('1. Raw Data'!H1114)</f>
        <v>No</v>
      </c>
      <c r="I1115" s="3" t="n">
        <f aca="false">'1. Raw Data'!I1114</f>
        <v>1</v>
      </c>
      <c r="J1115" s="3" t="n">
        <f aca="false">'1. Raw Data'!J1114</f>
        <v>1</v>
      </c>
      <c r="K1115" s="3" t="n">
        <f aca="false">'1. Raw Data'!K1114</f>
        <v>13</v>
      </c>
      <c r="L1115" s="3" t="n">
        <f aca="false">'1. Raw Data'!L1114</f>
        <v>0</v>
      </c>
      <c r="M1115" s="3" t="n">
        <f aca="false">'1. Raw Data'!M1114</f>
        <v>0</v>
      </c>
      <c r="N1115" s="3" t="str">
        <f aca="false">'1. Raw Data'!N1114</f>
        <v>No</v>
      </c>
    </row>
    <row r="1116" customFormat="false" ht="15" hidden="false" customHeight="false" outlineLevel="0" collapsed="false">
      <c r="A1116" s="3" t="str">
        <f aca="false">'1. Raw Data'!A1115</f>
        <v>EMP-1114</v>
      </c>
      <c r="B1116" s="3" t="n">
        <f aca="false">'1. Raw Data'!B1115</f>
        <v>27</v>
      </c>
      <c r="C1116" s="3" t="str">
        <f aca="false">'1. Raw Data'!C1115</f>
        <v>Finance</v>
      </c>
      <c r="D1116" s="3" t="str">
        <f aca="false">'1. Raw Data'!D1115</f>
        <v>Senior</v>
      </c>
      <c r="E1116" s="3" t="str">
        <f aca="false">'1. Raw Data'!E1115</f>
        <v>Other</v>
      </c>
      <c r="F1116" s="3" t="n">
        <f aca="false">'1. Raw Data'!F1115</f>
        <v>6</v>
      </c>
      <c r="G1116" s="3" t="n">
        <f aca="false">IF('1. Raw Data'!G1115="",ROUND(IFERROR(AVERAGEIFS('1. Raw Data'!G2:G1201,'1. Raw Data'!C2:C1201,'1. Raw Data'!C1115,'1. Raw Data'!D2:D1201,'1. Raw Data'!D1115),0),2),'1. Raw Data'!G1115)</f>
        <v>7999.91</v>
      </c>
      <c r="H1116" s="3" t="str">
        <f aca="false">PROPER('1. Raw Data'!H1115)</f>
        <v>Yes</v>
      </c>
      <c r="I1116" s="3" t="n">
        <f aca="false">'1. Raw Data'!I1115</f>
        <v>4</v>
      </c>
      <c r="J1116" s="3" t="n">
        <f aca="false">'1. Raw Data'!J1115</f>
        <v>1</v>
      </c>
      <c r="K1116" s="3" t="n">
        <f aca="false">'1. Raw Data'!K1115</f>
        <v>17</v>
      </c>
      <c r="L1116" s="3" t="n">
        <f aca="false">'1. Raw Data'!L1115</f>
        <v>1</v>
      </c>
      <c r="M1116" s="3" t="n">
        <f aca="false">'1. Raw Data'!M1115</f>
        <v>1</v>
      </c>
      <c r="N1116" s="3" t="str">
        <f aca="false">'1. Raw Data'!N1115</f>
        <v>No</v>
      </c>
    </row>
    <row r="1117" customFormat="false" ht="15" hidden="false" customHeight="false" outlineLevel="0" collapsed="false">
      <c r="A1117" s="3" t="str">
        <f aca="false">'1. Raw Data'!A1116</f>
        <v>EMP-1115</v>
      </c>
      <c r="B1117" s="3" t="n">
        <f aca="false">'1. Raw Data'!B1116</f>
        <v>32</v>
      </c>
      <c r="C1117" s="3" t="str">
        <f aca="false">'1. Raw Data'!C1116</f>
        <v>Sales</v>
      </c>
      <c r="D1117" s="3" t="str">
        <f aca="false">'1. Raw Data'!D1116</f>
        <v>Mid</v>
      </c>
      <c r="E1117" s="3" t="str">
        <f aca="false">'1. Raw Data'!E1116</f>
        <v>Technical</v>
      </c>
      <c r="F1117" s="3" t="n">
        <f aca="false">'1. Raw Data'!F1116</f>
        <v>5.7</v>
      </c>
      <c r="G1117" s="3" t="n">
        <f aca="false">IF('1. Raw Data'!G1116="",ROUND(IFERROR(AVERAGEIFS('1. Raw Data'!G2:G1201,'1. Raw Data'!C2:C1201,'1. Raw Data'!C1116,'1. Raw Data'!D2:D1201,'1. Raw Data'!D1116),0),2),'1. Raw Data'!G1116)</f>
        <v>4980.11</v>
      </c>
      <c r="H1117" s="3" t="str">
        <f aca="false">PROPER('1. Raw Data'!H1116)</f>
        <v>No</v>
      </c>
      <c r="I1117" s="3" t="n">
        <f aca="false">'1. Raw Data'!I1116</f>
        <v>2</v>
      </c>
      <c r="J1117" s="3" t="n">
        <f aca="false">'1. Raw Data'!J1116</f>
        <v>4</v>
      </c>
      <c r="K1117" s="3" t="n">
        <f aca="false">'1. Raw Data'!K1116</f>
        <v>5</v>
      </c>
      <c r="L1117" s="3" t="n">
        <f aca="false">'1. Raw Data'!L1116</f>
        <v>1</v>
      </c>
      <c r="M1117" s="3" t="n">
        <f aca="false">'1. Raw Data'!M1116</f>
        <v>0</v>
      </c>
      <c r="N1117" s="3" t="str">
        <f aca="false">'1. Raw Data'!N1116</f>
        <v>No</v>
      </c>
    </row>
    <row r="1118" customFormat="false" ht="15" hidden="false" customHeight="false" outlineLevel="0" collapsed="false">
      <c r="A1118" s="3" t="str">
        <f aca="false">'1. Raw Data'!A1117</f>
        <v>EMP-1116</v>
      </c>
      <c r="B1118" s="3" t="n">
        <f aca="false">'1. Raw Data'!B1117</f>
        <v>31</v>
      </c>
      <c r="C1118" s="3" t="str">
        <f aca="false">'1. Raw Data'!C1117</f>
        <v>Customer Support</v>
      </c>
      <c r="D1118" s="3" t="str">
        <f aca="false">'1. Raw Data'!D1117</f>
        <v>Mid</v>
      </c>
      <c r="E1118" s="3" t="str">
        <f aca="false">'1. Raw Data'!E1117</f>
        <v>Business</v>
      </c>
      <c r="F1118" s="3" t="n">
        <f aca="false">'1. Raw Data'!F1117</f>
        <v>7.7</v>
      </c>
      <c r="G1118" s="3" t="n">
        <f aca="false">IF('1. Raw Data'!G1117="",ROUND(IFERROR(AVERAGEIFS('1. Raw Data'!G2:G1201,'1. Raw Data'!C2:C1201,'1. Raw Data'!C1117,'1. Raw Data'!D2:D1201,'1. Raw Data'!D1117),0),2),'1. Raw Data'!G1117)</f>
        <v>4204.67</v>
      </c>
      <c r="H1118" s="3" t="str">
        <f aca="false">PROPER('1. Raw Data'!H1117)</f>
        <v>Yes</v>
      </c>
      <c r="I1118" s="3" t="n">
        <f aca="false">'1. Raw Data'!I1117</f>
        <v>2</v>
      </c>
      <c r="J1118" s="3" t="n">
        <f aca="false">'1. Raw Data'!J1117</f>
        <v>2</v>
      </c>
      <c r="K1118" s="3" t="n">
        <f aca="false">'1. Raw Data'!K1117</f>
        <v>3</v>
      </c>
      <c r="L1118" s="3" t="n">
        <f aca="false">'1. Raw Data'!L1117</f>
        <v>1</v>
      </c>
      <c r="M1118" s="3" t="n">
        <f aca="false">'1. Raw Data'!M1117</f>
        <v>1</v>
      </c>
      <c r="N1118" s="3" t="str">
        <f aca="false">'1. Raw Data'!N1117</f>
        <v>Yes</v>
      </c>
    </row>
    <row r="1119" customFormat="false" ht="15" hidden="false" customHeight="false" outlineLevel="0" collapsed="false">
      <c r="A1119" s="3" t="str">
        <f aca="false">'1. Raw Data'!A1118</f>
        <v>EMP-1117</v>
      </c>
      <c r="B1119" s="3" t="n">
        <f aca="false">'1. Raw Data'!B1118</f>
        <v>40</v>
      </c>
      <c r="C1119" s="3" t="str">
        <f aca="false">'1. Raw Data'!C1118</f>
        <v>Sales</v>
      </c>
      <c r="D1119" s="3" t="str">
        <f aca="false">'1. Raw Data'!D1118</f>
        <v>Mid</v>
      </c>
      <c r="E1119" s="3" t="str">
        <f aca="false">'1. Raw Data'!E1118</f>
        <v>Other</v>
      </c>
      <c r="F1119" s="3" t="n">
        <f aca="false">'1. Raw Data'!F1118</f>
        <v>0.3</v>
      </c>
      <c r="G1119" s="3" t="n">
        <f aca="false">IF('1. Raw Data'!G1118="",ROUND(IFERROR(AVERAGEIFS('1. Raw Data'!G2:G1201,'1. Raw Data'!C2:C1201,'1. Raw Data'!C1118,'1. Raw Data'!D2:D1201,'1. Raw Data'!D1118),0),2),'1. Raw Data'!G1118)</f>
        <v>5245.69</v>
      </c>
      <c r="H1119" s="3" t="str">
        <f aca="false">PROPER('1. Raw Data'!H1118)</f>
        <v>No</v>
      </c>
      <c r="I1119" s="3" t="n">
        <f aca="false">'1. Raw Data'!I1118</f>
        <v>3</v>
      </c>
      <c r="J1119" s="3" t="n">
        <f aca="false">'1. Raw Data'!J1118</f>
        <v>2</v>
      </c>
      <c r="K1119" s="3" t="n">
        <f aca="false">'1. Raw Data'!K1118</f>
        <v>1</v>
      </c>
      <c r="L1119" s="3" t="n">
        <f aca="false">'1. Raw Data'!L1118</f>
        <v>0</v>
      </c>
      <c r="M1119" s="3" t="n">
        <f aca="false">'1. Raw Data'!M1118</f>
        <v>1</v>
      </c>
      <c r="N1119" s="3" t="str">
        <f aca="false">'1. Raw Data'!N1118</f>
        <v>No</v>
      </c>
    </row>
    <row r="1120" customFormat="false" ht="15" hidden="false" customHeight="false" outlineLevel="0" collapsed="false">
      <c r="A1120" s="3" t="str">
        <f aca="false">'1. Raw Data'!A1119</f>
        <v>EMP-1118</v>
      </c>
      <c r="B1120" s="3" t="n">
        <f aca="false">'1. Raw Data'!B1119</f>
        <v>37</v>
      </c>
      <c r="C1120" s="3" t="str">
        <f aca="false">'1. Raw Data'!C1119</f>
        <v>Customer Support</v>
      </c>
      <c r="D1120" s="3" t="str">
        <f aca="false">'1. Raw Data'!D1119</f>
        <v>Junior</v>
      </c>
      <c r="E1120" s="3" t="str">
        <f aca="false">'1. Raw Data'!E1119</f>
        <v>Marketing</v>
      </c>
      <c r="F1120" s="3" t="n">
        <f aca="false">'1. Raw Data'!F1119</f>
        <v>0.2</v>
      </c>
      <c r="G1120" s="3" t="n">
        <f aca="false">IF('1. Raw Data'!G1119="",ROUND(IFERROR(AVERAGEIFS('1. Raw Data'!G2:G1201,'1. Raw Data'!C2:C1201,'1. Raw Data'!C1119,'1. Raw Data'!D2:D1201,'1. Raw Data'!D1119),0),2),'1. Raw Data'!G1119)</f>
        <v>3053.03</v>
      </c>
      <c r="H1120" s="3" t="str">
        <f aca="false">PROPER('1. Raw Data'!H1119)</f>
        <v>Yes</v>
      </c>
      <c r="I1120" s="3" t="n">
        <f aca="false">'1. Raw Data'!I1119</f>
        <v>1</v>
      </c>
      <c r="J1120" s="3" t="n">
        <f aca="false">'1. Raw Data'!J1119</f>
        <v>4</v>
      </c>
      <c r="K1120" s="3" t="n">
        <f aca="false">'1. Raw Data'!K1119</f>
        <v>1</v>
      </c>
      <c r="L1120" s="3" t="n">
        <f aca="false">'1. Raw Data'!L1119</f>
        <v>0</v>
      </c>
      <c r="M1120" s="3" t="n">
        <f aca="false">'1. Raw Data'!M1119</f>
        <v>1</v>
      </c>
      <c r="N1120" s="3" t="str">
        <f aca="false">'1. Raw Data'!N1119</f>
        <v>No</v>
      </c>
    </row>
    <row r="1121" customFormat="false" ht="15" hidden="false" customHeight="false" outlineLevel="0" collapsed="false">
      <c r="A1121" s="3" t="str">
        <f aca="false">'1. Raw Data'!A1120</f>
        <v>EMP-1119</v>
      </c>
      <c r="B1121" s="3" t="n">
        <f aca="false">'1. Raw Data'!B1120</f>
        <v>47</v>
      </c>
      <c r="C1121" s="3" t="str">
        <f aca="false">'1. Raw Data'!C1120</f>
        <v>Sales</v>
      </c>
      <c r="D1121" s="3" t="str">
        <f aca="false">'1. Raw Data'!D1120</f>
        <v>Senior</v>
      </c>
      <c r="E1121" s="3" t="str">
        <f aca="false">'1. Raw Data'!E1120</f>
        <v>Technical</v>
      </c>
      <c r="F1121" s="3" t="n">
        <f aca="false">'1. Raw Data'!F1120</f>
        <v>4.2</v>
      </c>
      <c r="G1121" s="3" t="n">
        <f aca="false">IF('1. Raw Data'!G1120="",ROUND(IFERROR(AVERAGEIFS('1. Raw Data'!G2:G1201,'1. Raw Data'!C2:C1201,'1. Raw Data'!C1120,'1. Raw Data'!D2:D1201,'1. Raw Data'!D1120),0),2),'1. Raw Data'!G1120)</f>
        <v>6516.61</v>
      </c>
      <c r="H1121" s="3" t="str">
        <f aca="false">PROPER('1. Raw Data'!H1120)</f>
        <v>No</v>
      </c>
      <c r="I1121" s="3" t="n">
        <f aca="false">'1. Raw Data'!I1120</f>
        <v>3</v>
      </c>
      <c r="J1121" s="3" t="n">
        <f aca="false">'1. Raw Data'!J1120</f>
        <v>3</v>
      </c>
      <c r="K1121" s="3" t="n">
        <f aca="false">'1. Raw Data'!K1120</f>
        <v>3</v>
      </c>
      <c r="L1121" s="3" t="n">
        <f aca="false">'1. Raw Data'!L1120</f>
        <v>0</v>
      </c>
      <c r="M1121" s="3" t="n">
        <f aca="false">'1. Raw Data'!M1120</f>
        <v>4</v>
      </c>
      <c r="N1121" s="3" t="str">
        <f aca="false">'1. Raw Data'!N1120</f>
        <v>No</v>
      </c>
    </row>
    <row r="1122" customFormat="false" ht="15" hidden="false" customHeight="false" outlineLevel="0" collapsed="false">
      <c r="A1122" s="3" t="str">
        <f aca="false">'1. Raw Data'!A1121</f>
        <v>EMP-1120</v>
      </c>
      <c r="B1122" s="3" t="n">
        <f aca="false">'1. Raw Data'!B1121</f>
        <v>30</v>
      </c>
      <c r="C1122" s="3" t="str">
        <f aca="false">'1. Raw Data'!C1121</f>
        <v>Engineering</v>
      </c>
      <c r="D1122" s="3" t="str">
        <f aca="false">'1. Raw Data'!D1121</f>
        <v>Mid</v>
      </c>
      <c r="E1122" s="3" t="str">
        <f aca="false">'1. Raw Data'!E1121</f>
        <v>Business</v>
      </c>
      <c r="F1122" s="3" t="n">
        <f aca="false">'1. Raw Data'!F1121</f>
        <v>1.8</v>
      </c>
      <c r="G1122" s="3" t="n">
        <f aca="false">IF('1. Raw Data'!G1121="",ROUND(IFERROR(AVERAGEIFS('1. Raw Data'!G2:G1201,'1. Raw Data'!C2:C1201,'1. Raw Data'!C1121,'1. Raw Data'!D2:D1201,'1. Raw Data'!D1121),0),2),'1. Raw Data'!G1121)</f>
        <v>4164.58</v>
      </c>
      <c r="H1122" s="3" t="str">
        <f aca="false">PROPER('1. Raw Data'!H1121)</f>
        <v>No</v>
      </c>
      <c r="I1122" s="3" t="n">
        <f aca="false">'1. Raw Data'!I1121</f>
        <v>2</v>
      </c>
      <c r="J1122" s="3" t="n">
        <f aca="false">'1. Raw Data'!J1121</f>
        <v>3</v>
      </c>
      <c r="K1122" s="3" t="n">
        <f aca="false">'1. Raw Data'!K1121</f>
        <v>1</v>
      </c>
      <c r="L1122" s="3" t="n">
        <f aca="false">'1. Raw Data'!L1121</f>
        <v>1</v>
      </c>
      <c r="M1122" s="3" t="n">
        <f aca="false">'1. Raw Data'!M1121</f>
        <v>3</v>
      </c>
      <c r="N1122" s="3" t="str">
        <f aca="false">'1. Raw Data'!N1121</f>
        <v>No</v>
      </c>
    </row>
    <row r="1123" customFormat="false" ht="15" hidden="false" customHeight="false" outlineLevel="0" collapsed="false">
      <c r="A1123" s="3" t="str">
        <f aca="false">'1. Raw Data'!A1122</f>
        <v>EMP-1121</v>
      </c>
      <c r="B1123" s="3" t="n">
        <f aca="false">'1. Raw Data'!B1122</f>
        <v>37</v>
      </c>
      <c r="C1123" s="3" t="str">
        <f aca="false">'1. Raw Data'!C1122</f>
        <v>Engineering</v>
      </c>
      <c r="D1123" s="3" t="str">
        <f aca="false">'1. Raw Data'!D1122</f>
        <v>Senior</v>
      </c>
      <c r="E1123" s="3" t="str">
        <f aca="false">'1. Raw Data'!E1122</f>
        <v>Other</v>
      </c>
      <c r="F1123" s="3" t="n">
        <f aca="false">'1. Raw Data'!F1122</f>
        <v>13</v>
      </c>
      <c r="G1123" s="3" t="n">
        <f aca="false">IF('1. Raw Data'!G1122="",ROUND(IFERROR(AVERAGEIFS('1. Raw Data'!G2:G1201,'1. Raw Data'!C2:C1201,'1. Raw Data'!C1122,'1. Raw Data'!D2:D1201,'1. Raw Data'!D1122),0),2),'1. Raw Data'!G1122)</f>
        <v>8150.35</v>
      </c>
      <c r="H1123" s="3" t="str">
        <f aca="false">PROPER('1. Raw Data'!H1122)</f>
        <v>No</v>
      </c>
      <c r="I1123" s="3" t="n">
        <f aca="false">'1. Raw Data'!I1122</f>
        <v>4</v>
      </c>
      <c r="J1123" s="3" t="n">
        <f aca="false">'1. Raw Data'!J1122</f>
        <v>3</v>
      </c>
      <c r="K1123" s="3" t="n">
        <f aca="false">'1. Raw Data'!K1122</f>
        <v>2</v>
      </c>
      <c r="L1123" s="3" t="n">
        <f aca="false">'1. Raw Data'!L1122</f>
        <v>0</v>
      </c>
      <c r="M1123" s="3" t="n">
        <f aca="false">'1. Raw Data'!M1122</f>
        <v>2</v>
      </c>
      <c r="N1123" s="3" t="str">
        <f aca="false">'1. Raw Data'!N1122</f>
        <v>No</v>
      </c>
    </row>
    <row r="1124" customFormat="false" ht="15" hidden="false" customHeight="false" outlineLevel="0" collapsed="false">
      <c r="A1124" s="3" t="str">
        <f aca="false">'1. Raw Data'!A1123</f>
        <v>EMP-1122</v>
      </c>
      <c r="B1124" s="3" t="n">
        <f aca="false">'1. Raw Data'!B1123</f>
        <v>29</v>
      </c>
      <c r="C1124" s="3" t="str">
        <f aca="false">'1. Raw Data'!C1123</f>
        <v>Engineering</v>
      </c>
      <c r="D1124" s="3" t="str">
        <f aca="false">'1. Raw Data'!D1123</f>
        <v>Junior</v>
      </c>
      <c r="E1124" s="3" t="str">
        <f aca="false">'1. Raw Data'!E1123</f>
        <v>Business</v>
      </c>
      <c r="F1124" s="3" t="n">
        <f aca="false">'1. Raw Data'!F1123</f>
        <v>0.8</v>
      </c>
      <c r="G1124" s="3" t="n">
        <f aca="false">IF('1. Raw Data'!G1123="",ROUND(IFERROR(AVERAGEIFS('1. Raw Data'!G2:G1201,'1. Raw Data'!C2:C1201,'1. Raw Data'!C1123,'1. Raw Data'!D2:D1201,'1. Raw Data'!D1123),0),2),'1. Raw Data'!G1123)</f>
        <v>3421.87</v>
      </c>
      <c r="H1124" s="3" t="str">
        <f aca="false">PROPER('1. Raw Data'!H1123)</f>
        <v>No</v>
      </c>
      <c r="I1124" s="3" t="n">
        <f aca="false">'1. Raw Data'!I1123</f>
        <v>4</v>
      </c>
      <c r="J1124" s="3" t="n">
        <f aca="false">'1. Raw Data'!J1123</f>
        <v>4</v>
      </c>
      <c r="K1124" s="3" t="n">
        <f aca="false">'1. Raw Data'!K1123</f>
        <v>3</v>
      </c>
      <c r="L1124" s="3" t="n">
        <f aca="false">'1. Raw Data'!L1123</f>
        <v>0</v>
      </c>
      <c r="M1124" s="3" t="n">
        <f aca="false">'1. Raw Data'!M1123</f>
        <v>2</v>
      </c>
      <c r="N1124" s="3" t="str">
        <f aca="false">'1. Raw Data'!N1123</f>
        <v>No</v>
      </c>
    </row>
    <row r="1125" customFormat="false" ht="15" hidden="false" customHeight="false" outlineLevel="0" collapsed="false">
      <c r="A1125" s="3" t="str">
        <f aca="false">'1. Raw Data'!A1124</f>
        <v>EMP-1123</v>
      </c>
      <c r="B1125" s="3" t="n">
        <f aca="false">'1. Raw Data'!B1124</f>
        <v>36</v>
      </c>
      <c r="C1125" s="3" t="str">
        <f aca="false">'1. Raw Data'!C1124</f>
        <v>Marketing</v>
      </c>
      <c r="D1125" s="3" t="str">
        <f aca="false">'1. Raw Data'!D1124</f>
        <v>Junior</v>
      </c>
      <c r="E1125" s="3" t="str">
        <f aca="false">'1. Raw Data'!E1124</f>
        <v>Other</v>
      </c>
      <c r="F1125" s="3" t="n">
        <f aca="false">'1. Raw Data'!F1124</f>
        <v>6.4</v>
      </c>
      <c r="G1125" s="3" t="n">
        <f aca="false">IF('1. Raw Data'!G1124="",ROUND(IFERROR(AVERAGEIFS('1. Raw Data'!G2:G1201,'1. Raw Data'!C2:C1201,'1. Raw Data'!C1124,'1. Raw Data'!D2:D1201,'1. Raw Data'!D1124),0),2),'1. Raw Data'!G1124)</f>
        <v>3336.96</v>
      </c>
      <c r="H1125" s="3" t="str">
        <f aca="false">PROPER('1. Raw Data'!H1124)</f>
        <v>No</v>
      </c>
      <c r="I1125" s="3" t="n">
        <f aca="false">'1. Raw Data'!I1124</f>
        <v>1</v>
      </c>
      <c r="J1125" s="3" t="n">
        <f aca="false">'1. Raw Data'!J1124</f>
        <v>2</v>
      </c>
      <c r="K1125" s="3" t="n">
        <f aca="false">'1. Raw Data'!K1124</f>
        <v>1</v>
      </c>
      <c r="L1125" s="3" t="n">
        <f aca="false">'1. Raw Data'!L1124</f>
        <v>3</v>
      </c>
      <c r="M1125" s="3" t="n">
        <f aca="false">'1. Raw Data'!M1124</f>
        <v>2</v>
      </c>
      <c r="N1125" s="3" t="str">
        <f aca="false">'1. Raw Data'!N1124</f>
        <v>Yes</v>
      </c>
    </row>
    <row r="1126" customFormat="false" ht="15" hidden="false" customHeight="false" outlineLevel="0" collapsed="false">
      <c r="A1126" s="3" t="str">
        <f aca="false">'1. Raw Data'!A1125</f>
        <v>EMP-1124</v>
      </c>
      <c r="B1126" s="3" t="n">
        <f aca="false">'1. Raw Data'!B1125</f>
        <v>37</v>
      </c>
      <c r="C1126" s="3" t="str">
        <f aca="false">'1. Raw Data'!C1125</f>
        <v>Engineering</v>
      </c>
      <c r="D1126" s="3" t="str">
        <f aca="false">'1. Raw Data'!D1125</f>
        <v>Mid</v>
      </c>
      <c r="E1126" s="3" t="str">
        <f aca="false">'1. Raw Data'!E1125</f>
        <v>Marketing</v>
      </c>
      <c r="F1126" s="3" t="n">
        <f aca="false">'1. Raw Data'!F1125</f>
        <v>0.6</v>
      </c>
      <c r="G1126" s="3" t="n">
        <f aca="false">IF('1. Raw Data'!G1125="",ROUND(IFERROR(AVERAGEIFS('1. Raw Data'!G2:G1201,'1. Raw Data'!C2:C1201,'1. Raw Data'!C1125,'1. Raw Data'!D2:D1201,'1. Raw Data'!D1125),0),2),'1. Raw Data'!G1125)</f>
        <v>4205.06</v>
      </c>
      <c r="H1126" s="3" t="str">
        <f aca="false">PROPER('1. Raw Data'!H1125)</f>
        <v>No</v>
      </c>
      <c r="I1126" s="3" t="n">
        <f aca="false">'1. Raw Data'!I1125</f>
        <v>2</v>
      </c>
      <c r="J1126" s="3" t="n">
        <f aca="false">'1. Raw Data'!J1125</f>
        <v>2</v>
      </c>
      <c r="K1126" s="3" t="n">
        <f aca="false">'1. Raw Data'!K1125</f>
        <v>26</v>
      </c>
      <c r="L1126" s="3" t="n">
        <f aca="false">'1. Raw Data'!L1125</f>
        <v>0</v>
      </c>
      <c r="M1126" s="3" t="n">
        <f aca="false">'1. Raw Data'!M1125</f>
        <v>3</v>
      </c>
      <c r="N1126" s="3" t="str">
        <f aca="false">'1. Raw Data'!N1125</f>
        <v>Yes</v>
      </c>
    </row>
    <row r="1127" customFormat="false" ht="15" hidden="false" customHeight="false" outlineLevel="0" collapsed="false">
      <c r="A1127" s="3" t="str">
        <f aca="false">'1. Raw Data'!A1126</f>
        <v>EMP-1125</v>
      </c>
      <c r="B1127" s="3" t="n">
        <f aca="false">'1. Raw Data'!B1126</f>
        <v>31</v>
      </c>
      <c r="C1127" s="3" t="str">
        <f aca="false">'1. Raw Data'!C1126</f>
        <v>Engineering</v>
      </c>
      <c r="D1127" s="3" t="str">
        <f aca="false">'1. Raw Data'!D1126</f>
        <v>Junior</v>
      </c>
      <c r="E1127" s="3" t="str">
        <f aca="false">'1. Raw Data'!E1126</f>
        <v>Business</v>
      </c>
      <c r="F1127" s="3" t="n">
        <f aca="false">'1. Raw Data'!F1126</f>
        <v>0.1</v>
      </c>
      <c r="G1127" s="3" t="n">
        <f aca="false">IF('1. Raw Data'!G1126="",ROUND(IFERROR(AVERAGEIFS('1. Raw Data'!G2:G1201,'1. Raw Data'!C2:C1201,'1. Raw Data'!C1126,'1. Raw Data'!D2:D1201,'1. Raw Data'!D1126),0),2),'1. Raw Data'!G1126)</f>
        <v>2873.56</v>
      </c>
      <c r="H1127" s="3" t="str">
        <f aca="false">PROPER('1. Raw Data'!H1126)</f>
        <v>Yes</v>
      </c>
      <c r="I1127" s="3" t="n">
        <f aca="false">'1. Raw Data'!I1126</f>
        <v>3</v>
      </c>
      <c r="J1127" s="3" t="n">
        <f aca="false">'1. Raw Data'!J1126</f>
        <v>2</v>
      </c>
      <c r="K1127" s="3" t="n">
        <f aca="false">'1. Raw Data'!K1126</f>
        <v>6</v>
      </c>
      <c r="L1127" s="3" t="n">
        <f aca="false">'1. Raw Data'!L1126</f>
        <v>0</v>
      </c>
      <c r="M1127" s="3" t="n">
        <f aca="false">'1. Raw Data'!M1126</f>
        <v>3</v>
      </c>
      <c r="N1127" s="3" t="str">
        <f aca="false">'1. Raw Data'!N1126</f>
        <v>No</v>
      </c>
    </row>
    <row r="1128" customFormat="false" ht="15" hidden="false" customHeight="false" outlineLevel="0" collapsed="false">
      <c r="A1128" s="3" t="str">
        <f aca="false">'1. Raw Data'!A1127</f>
        <v>EMP-1126</v>
      </c>
      <c r="B1128" s="3" t="n">
        <f aca="false">'1. Raw Data'!B1127</f>
        <v>26</v>
      </c>
      <c r="C1128" s="3" t="str">
        <f aca="false">'1. Raw Data'!C1127</f>
        <v>Customer Support</v>
      </c>
      <c r="D1128" s="3" t="str">
        <f aca="false">'1. Raw Data'!D1127</f>
        <v>Mid</v>
      </c>
      <c r="E1128" s="3" t="str">
        <f aca="false">'1. Raw Data'!E1127</f>
        <v>Technical</v>
      </c>
      <c r="F1128" s="3" t="n">
        <f aca="false">'1. Raw Data'!F1127</f>
        <v>5</v>
      </c>
      <c r="G1128" s="3" t="n">
        <f aca="false">IF('1. Raw Data'!G1127="",ROUND(IFERROR(AVERAGEIFS('1. Raw Data'!G2:G1201,'1. Raw Data'!C2:C1201,'1. Raw Data'!C1127,'1. Raw Data'!D2:D1201,'1. Raw Data'!D1127),0),2),'1. Raw Data'!G1127)</f>
        <v>5112.91</v>
      </c>
      <c r="H1128" s="3" t="str">
        <f aca="false">PROPER('1. Raw Data'!H1127)</f>
        <v>No</v>
      </c>
      <c r="I1128" s="3" t="n">
        <f aca="false">'1. Raw Data'!I1127</f>
        <v>3</v>
      </c>
      <c r="J1128" s="3" t="n">
        <f aca="false">'1. Raw Data'!J1127</f>
        <v>1</v>
      </c>
      <c r="K1128" s="3" t="n">
        <f aca="false">'1. Raw Data'!K1127</f>
        <v>1</v>
      </c>
      <c r="L1128" s="3" t="n">
        <f aca="false">'1. Raw Data'!L1127</f>
        <v>0</v>
      </c>
      <c r="M1128" s="3" t="n">
        <f aca="false">'1. Raw Data'!M1127</f>
        <v>1</v>
      </c>
      <c r="N1128" s="3" t="str">
        <f aca="false">'1. Raw Data'!N1127</f>
        <v>Yes</v>
      </c>
    </row>
    <row r="1129" customFormat="false" ht="15" hidden="false" customHeight="false" outlineLevel="0" collapsed="false">
      <c r="A1129" s="3" t="str">
        <f aca="false">'1. Raw Data'!A1128</f>
        <v>EMP-1127</v>
      </c>
      <c r="B1129" s="3" t="n">
        <f aca="false">'1. Raw Data'!B1128</f>
        <v>41</v>
      </c>
      <c r="C1129" s="3" t="str">
        <f aca="false">'1. Raw Data'!C1128</f>
        <v>Engineering</v>
      </c>
      <c r="D1129" s="3" t="str">
        <f aca="false">'1. Raw Data'!D1128</f>
        <v>Mid</v>
      </c>
      <c r="E1129" s="3" t="str">
        <f aca="false">'1. Raw Data'!E1128</f>
        <v>Technical</v>
      </c>
      <c r="F1129" s="3" t="n">
        <f aca="false">'1. Raw Data'!F1128</f>
        <v>7.4</v>
      </c>
      <c r="G1129" s="3" t="n">
        <f aca="false">IF('1. Raw Data'!G1128="",ROUND(IFERROR(AVERAGEIFS('1. Raw Data'!G2:G1201,'1. Raw Data'!C2:C1201,'1. Raw Data'!C1128,'1. Raw Data'!D2:D1201,'1. Raw Data'!D1128),0),2),'1. Raw Data'!G1128)</f>
        <v>4254.18</v>
      </c>
      <c r="H1129" s="3" t="str">
        <f aca="false">PROPER('1. Raw Data'!H1128)</f>
        <v>No</v>
      </c>
      <c r="I1129" s="3" t="n">
        <f aca="false">'1. Raw Data'!I1128</f>
        <v>1</v>
      </c>
      <c r="J1129" s="3" t="n">
        <f aca="false">'1. Raw Data'!J1128</f>
        <v>3</v>
      </c>
      <c r="K1129" s="3" t="n">
        <f aca="false">'1. Raw Data'!K1128</f>
        <v>7</v>
      </c>
      <c r="L1129" s="3" t="n">
        <f aca="false">'1. Raw Data'!L1128</f>
        <v>0</v>
      </c>
      <c r="M1129" s="3" t="n">
        <f aca="false">'1. Raw Data'!M1128</f>
        <v>4</v>
      </c>
      <c r="N1129" s="3" t="str">
        <f aca="false">'1. Raw Data'!N1128</f>
        <v>No</v>
      </c>
    </row>
    <row r="1130" customFormat="false" ht="15" hidden="false" customHeight="false" outlineLevel="0" collapsed="false">
      <c r="A1130" s="3" t="str">
        <f aca="false">'1. Raw Data'!A1129</f>
        <v>EMP-1128</v>
      </c>
      <c r="B1130" s="3" t="n">
        <f aca="false">'1. Raw Data'!B1129</f>
        <v>41</v>
      </c>
      <c r="C1130" s="3" t="str">
        <f aca="false">'1. Raw Data'!C1129</f>
        <v>Marketing</v>
      </c>
      <c r="D1130" s="3" t="str">
        <f aca="false">'1. Raw Data'!D1129</f>
        <v>Senior</v>
      </c>
      <c r="E1130" s="3" t="str">
        <f aca="false">'1. Raw Data'!E1129</f>
        <v>Technical</v>
      </c>
      <c r="F1130" s="3" t="n">
        <f aca="false">'1. Raw Data'!F1129</f>
        <v>2.3</v>
      </c>
      <c r="G1130" s="3" t="n">
        <f aca="false">IF('1. Raw Data'!G1129="",ROUND(IFERROR(AVERAGEIFS('1. Raw Data'!G2:G1201,'1. Raw Data'!C2:C1201,'1. Raw Data'!C1129,'1. Raw Data'!D2:D1201,'1. Raw Data'!D1129),0),2),'1. Raw Data'!G1129)</f>
        <v>6817.04</v>
      </c>
      <c r="H1130" s="3" t="str">
        <f aca="false">PROPER('1. Raw Data'!H1129)</f>
        <v>Yes</v>
      </c>
      <c r="I1130" s="3" t="n">
        <f aca="false">'1. Raw Data'!I1129</f>
        <v>2</v>
      </c>
      <c r="J1130" s="3" t="n">
        <f aca="false">'1. Raw Data'!J1129</f>
        <v>3</v>
      </c>
      <c r="K1130" s="3" t="n">
        <f aca="false">'1. Raw Data'!K1129</f>
        <v>4</v>
      </c>
      <c r="L1130" s="3" t="n">
        <f aca="false">'1. Raw Data'!L1129</f>
        <v>1</v>
      </c>
      <c r="M1130" s="3" t="n">
        <f aca="false">'1. Raw Data'!M1129</f>
        <v>3</v>
      </c>
      <c r="N1130" s="3" t="str">
        <f aca="false">'1. Raw Data'!N1129</f>
        <v>Yes</v>
      </c>
    </row>
    <row r="1131" customFormat="false" ht="15" hidden="false" customHeight="false" outlineLevel="0" collapsed="false">
      <c r="A1131" s="3" t="str">
        <f aca="false">'1. Raw Data'!A1130</f>
        <v>EMP-1129</v>
      </c>
      <c r="B1131" s="3" t="n">
        <f aca="false">'1. Raw Data'!B1130</f>
        <v>33</v>
      </c>
      <c r="C1131" s="3" t="str">
        <f aca="false">'1. Raw Data'!C1130</f>
        <v>Marketing</v>
      </c>
      <c r="D1131" s="3" t="str">
        <f aca="false">'1. Raw Data'!D1130</f>
        <v>Junior</v>
      </c>
      <c r="E1131" s="3" t="str">
        <f aca="false">'1. Raw Data'!E1130</f>
        <v>Business</v>
      </c>
      <c r="F1131" s="3" t="n">
        <f aca="false">'1. Raw Data'!F1130</f>
        <v>0.6</v>
      </c>
      <c r="G1131" s="3" t="n">
        <f aca="false">IF('1. Raw Data'!G1130="",ROUND(IFERROR(AVERAGEIFS('1. Raw Data'!G2:G1201,'1. Raw Data'!C2:C1201,'1. Raw Data'!C1130,'1. Raw Data'!D2:D1201,'1. Raw Data'!D1130),0),2),'1. Raw Data'!G1130)</f>
        <v>3274.89</v>
      </c>
      <c r="H1131" s="3" t="str">
        <f aca="false">PROPER('1. Raw Data'!H1130)</f>
        <v>No</v>
      </c>
      <c r="I1131" s="3" t="n">
        <f aca="false">'1. Raw Data'!I1130</f>
        <v>4</v>
      </c>
      <c r="J1131" s="3" t="n">
        <f aca="false">'1. Raw Data'!J1130</f>
        <v>3</v>
      </c>
      <c r="K1131" s="3" t="n">
        <f aca="false">'1. Raw Data'!K1130</f>
        <v>4</v>
      </c>
      <c r="L1131" s="3" t="n">
        <f aca="false">'1. Raw Data'!L1130</f>
        <v>0</v>
      </c>
      <c r="M1131" s="3" t="n">
        <f aca="false">'1. Raw Data'!M1130</f>
        <v>3</v>
      </c>
      <c r="N1131" s="3" t="str">
        <f aca="false">'1. Raw Data'!N1130</f>
        <v>No</v>
      </c>
    </row>
    <row r="1132" customFormat="false" ht="15" hidden="false" customHeight="false" outlineLevel="0" collapsed="false">
      <c r="A1132" s="3" t="str">
        <f aca="false">'1. Raw Data'!A1131</f>
        <v>EMP-1130</v>
      </c>
      <c r="B1132" s="3" t="n">
        <f aca="false">'1. Raw Data'!B1131</f>
        <v>35</v>
      </c>
      <c r="C1132" s="3" t="str">
        <f aca="false">'1. Raw Data'!C1131</f>
        <v>Customer Support</v>
      </c>
      <c r="D1132" s="3" t="str">
        <f aca="false">'1. Raw Data'!D1131</f>
        <v>Senior</v>
      </c>
      <c r="E1132" s="3" t="str">
        <f aca="false">'1. Raw Data'!E1131</f>
        <v>Technical</v>
      </c>
      <c r="F1132" s="3" t="n">
        <f aca="false">'1. Raw Data'!F1131</f>
        <v>2.2</v>
      </c>
      <c r="G1132" s="3" t="n">
        <f aca="false">IF('1. Raw Data'!G1131="",ROUND(IFERROR(AVERAGEIFS('1. Raw Data'!G2:G1201,'1. Raw Data'!C2:C1201,'1. Raw Data'!C1131,'1. Raw Data'!D2:D1201,'1. Raw Data'!D1131),0),2),'1. Raw Data'!G1131)</f>
        <v>6729.7</v>
      </c>
      <c r="H1132" s="3" t="str">
        <f aca="false">PROPER('1. Raw Data'!H1131)</f>
        <v>Yes</v>
      </c>
      <c r="I1132" s="3" t="n">
        <f aca="false">'1. Raw Data'!I1131</f>
        <v>3</v>
      </c>
      <c r="J1132" s="3" t="n">
        <f aca="false">'1. Raw Data'!J1131</f>
        <v>3</v>
      </c>
      <c r="K1132" s="3" t="n">
        <f aca="false">'1. Raw Data'!K1131</f>
        <v>1</v>
      </c>
      <c r="L1132" s="3" t="n">
        <f aca="false">'1. Raw Data'!L1131</f>
        <v>0</v>
      </c>
      <c r="M1132" s="3" t="n">
        <f aca="false">'1. Raw Data'!M1131</f>
        <v>2</v>
      </c>
      <c r="N1132" s="3" t="str">
        <f aca="false">'1. Raw Data'!N1131</f>
        <v>No</v>
      </c>
    </row>
    <row r="1133" customFormat="false" ht="15" hidden="false" customHeight="false" outlineLevel="0" collapsed="false">
      <c r="A1133" s="3" t="str">
        <f aca="false">'1. Raw Data'!A1132</f>
        <v>EMP-1131</v>
      </c>
      <c r="B1133" s="3" t="n">
        <f aca="false">'1. Raw Data'!B1132</f>
        <v>31</v>
      </c>
      <c r="C1133" s="3" t="str">
        <f aca="false">'1. Raw Data'!C1132</f>
        <v>HR</v>
      </c>
      <c r="D1133" s="3" t="str">
        <f aca="false">'1. Raw Data'!D1132</f>
        <v>Junior</v>
      </c>
      <c r="E1133" s="3" t="str">
        <f aca="false">'1. Raw Data'!E1132</f>
        <v>Technical</v>
      </c>
      <c r="F1133" s="3" t="n">
        <f aca="false">'1. Raw Data'!F1132</f>
        <v>10</v>
      </c>
      <c r="G1133" s="3" t="n">
        <f aca="false">IF('1. Raw Data'!G1132="",ROUND(IFERROR(AVERAGEIFS('1. Raw Data'!G2:G1201,'1. Raw Data'!C2:C1201,'1. Raw Data'!C1132,'1. Raw Data'!D2:D1201,'1. Raw Data'!D1132),0),2),'1. Raw Data'!G1132)</f>
        <v>3457.2</v>
      </c>
      <c r="H1133" s="3" t="str">
        <f aca="false">PROPER('1. Raw Data'!H1132)</f>
        <v>No</v>
      </c>
      <c r="I1133" s="3" t="n">
        <f aca="false">'1. Raw Data'!I1132</f>
        <v>4</v>
      </c>
      <c r="J1133" s="3" t="n">
        <f aca="false">'1. Raw Data'!J1132</f>
        <v>2</v>
      </c>
      <c r="K1133" s="3" t="n">
        <f aca="false">'1. Raw Data'!K1132</f>
        <v>1</v>
      </c>
      <c r="L1133" s="3" t="n">
        <f aca="false">'1. Raw Data'!L1132</f>
        <v>4</v>
      </c>
      <c r="M1133" s="3" t="n">
        <f aca="false">'1. Raw Data'!M1132</f>
        <v>1</v>
      </c>
      <c r="N1133" s="3" t="str">
        <f aca="false">'1. Raw Data'!N1132</f>
        <v>Yes</v>
      </c>
    </row>
    <row r="1134" customFormat="false" ht="15" hidden="false" customHeight="false" outlineLevel="0" collapsed="false">
      <c r="A1134" s="3" t="str">
        <f aca="false">'1. Raw Data'!A1133</f>
        <v>EMP-1132</v>
      </c>
      <c r="B1134" s="3" t="n">
        <f aca="false">'1. Raw Data'!B1133</f>
        <v>37</v>
      </c>
      <c r="C1134" s="3" t="str">
        <f aca="false">'1. Raw Data'!C1133</f>
        <v>Sales</v>
      </c>
      <c r="D1134" s="3" t="str">
        <f aca="false">'1. Raw Data'!D1133</f>
        <v>Junior</v>
      </c>
      <c r="E1134" s="3" t="str">
        <f aca="false">'1. Raw Data'!E1133</f>
        <v>Business</v>
      </c>
      <c r="F1134" s="3" t="n">
        <f aca="false">'1. Raw Data'!F1133</f>
        <v>3.2</v>
      </c>
      <c r="G1134" s="3" t="n">
        <f aca="false">IF('1. Raw Data'!G1133="",ROUND(IFERROR(AVERAGEIFS('1. Raw Data'!G2:G1201,'1. Raw Data'!C2:C1201,'1. Raw Data'!C1133,'1. Raw Data'!D2:D1201,'1. Raw Data'!D1133),0),2),'1. Raw Data'!G1133)</f>
        <v>3107.22</v>
      </c>
      <c r="H1134" s="3" t="str">
        <f aca="false">PROPER('1. Raw Data'!H1133)</f>
        <v>No</v>
      </c>
      <c r="I1134" s="3" t="n">
        <f aca="false">'1. Raw Data'!I1133</f>
        <v>4</v>
      </c>
      <c r="J1134" s="3" t="n">
        <f aca="false">'1. Raw Data'!J1133</f>
        <v>2</v>
      </c>
      <c r="K1134" s="3" t="n">
        <f aca="false">'1. Raw Data'!K1133</f>
        <v>17</v>
      </c>
      <c r="L1134" s="3" t="n">
        <f aca="false">'1. Raw Data'!L1133</f>
        <v>1</v>
      </c>
      <c r="M1134" s="3" t="n">
        <f aca="false">'1. Raw Data'!M1133</f>
        <v>2</v>
      </c>
      <c r="N1134" s="3" t="str">
        <f aca="false">'1. Raw Data'!N1133</f>
        <v>No</v>
      </c>
    </row>
    <row r="1135" customFormat="false" ht="15" hidden="false" customHeight="false" outlineLevel="0" collapsed="false">
      <c r="A1135" s="3" t="str">
        <f aca="false">'1. Raw Data'!A1134</f>
        <v>EMP-1133</v>
      </c>
      <c r="B1135" s="3" t="n">
        <f aca="false">'1. Raw Data'!B1134</f>
        <v>21</v>
      </c>
      <c r="C1135" s="3" t="str">
        <f aca="false">'1. Raw Data'!C1134</f>
        <v>Engineering</v>
      </c>
      <c r="D1135" s="3" t="str">
        <f aca="false">'1. Raw Data'!D1134</f>
        <v>Mid</v>
      </c>
      <c r="E1135" s="3" t="str">
        <f aca="false">'1. Raw Data'!E1134</f>
        <v>Business</v>
      </c>
      <c r="F1135" s="3" t="n">
        <f aca="false">'1. Raw Data'!F1134</f>
        <v>0</v>
      </c>
      <c r="G1135" s="3" t="n">
        <f aca="false">IF('1. Raw Data'!G1134="",ROUND(IFERROR(AVERAGEIFS('1. Raw Data'!G2:G1201,'1. Raw Data'!C2:C1201,'1. Raw Data'!C1134,'1. Raw Data'!D2:D1201,'1. Raw Data'!D1134),0),2),'1. Raw Data'!G1134)</f>
        <v>4943.83</v>
      </c>
      <c r="H1135" s="3" t="str">
        <f aca="false">PROPER('1. Raw Data'!H1134)</f>
        <v>No</v>
      </c>
      <c r="I1135" s="3" t="n">
        <f aca="false">'1. Raw Data'!I1134</f>
        <v>2</v>
      </c>
      <c r="J1135" s="3" t="n">
        <f aca="false">'1. Raw Data'!J1134</f>
        <v>3</v>
      </c>
      <c r="K1135" s="3" t="n">
        <f aca="false">'1. Raw Data'!K1134</f>
        <v>5</v>
      </c>
      <c r="L1135" s="3" t="n">
        <f aca="false">'1. Raw Data'!L1134</f>
        <v>0</v>
      </c>
      <c r="M1135" s="3" t="n">
        <f aca="false">'1. Raw Data'!M1134</f>
        <v>1</v>
      </c>
      <c r="N1135" s="3" t="str">
        <f aca="false">'1. Raw Data'!N1134</f>
        <v>No</v>
      </c>
    </row>
    <row r="1136" customFormat="false" ht="15" hidden="false" customHeight="false" outlineLevel="0" collapsed="false">
      <c r="A1136" s="3" t="str">
        <f aca="false">'1. Raw Data'!A1135</f>
        <v>EMP-1134</v>
      </c>
      <c r="B1136" s="3" t="n">
        <f aca="false">'1. Raw Data'!B1135</f>
        <v>36</v>
      </c>
      <c r="C1136" s="3" t="str">
        <f aca="false">'1. Raw Data'!C1135</f>
        <v>Engineering</v>
      </c>
      <c r="D1136" s="3" t="str">
        <f aca="false">'1. Raw Data'!D1135</f>
        <v>Senior</v>
      </c>
      <c r="E1136" s="3" t="str">
        <f aca="false">'1. Raw Data'!E1135</f>
        <v>Business</v>
      </c>
      <c r="F1136" s="3" t="n">
        <f aca="false">'1. Raw Data'!F1135</f>
        <v>0.3</v>
      </c>
      <c r="G1136" s="3" t="n">
        <f aca="false">IF('1. Raw Data'!G1135="",ROUND(IFERROR(AVERAGEIFS('1. Raw Data'!G2:G1201,'1. Raw Data'!C2:C1201,'1. Raw Data'!C1135,'1. Raw Data'!D2:D1201,'1. Raw Data'!D1135),0),2),'1. Raw Data'!G1135)</f>
        <v>7294.86</v>
      </c>
      <c r="H1136" s="3" t="str">
        <f aca="false">PROPER('1. Raw Data'!H1135)</f>
        <v>No</v>
      </c>
      <c r="I1136" s="3" t="n">
        <f aca="false">'1. Raw Data'!I1135</f>
        <v>4</v>
      </c>
      <c r="J1136" s="3" t="n">
        <f aca="false">'1. Raw Data'!J1135</f>
        <v>2</v>
      </c>
      <c r="K1136" s="3" t="n">
        <f aca="false">'1. Raw Data'!K1135</f>
        <v>7</v>
      </c>
      <c r="L1136" s="3" t="n">
        <f aca="false">'1. Raw Data'!L1135</f>
        <v>0</v>
      </c>
      <c r="M1136" s="3" t="n">
        <f aca="false">'1. Raw Data'!M1135</f>
        <v>4</v>
      </c>
      <c r="N1136" s="3" t="str">
        <f aca="false">'1. Raw Data'!N1135</f>
        <v>No</v>
      </c>
    </row>
    <row r="1137" customFormat="false" ht="15" hidden="false" customHeight="false" outlineLevel="0" collapsed="false">
      <c r="A1137" s="3" t="str">
        <f aca="false">'1. Raw Data'!A1136</f>
        <v>EMP-1135</v>
      </c>
      <c r="B1137" s="3" t="n">
        <f aca="false">'1. Raw Data'!B1136</f>
        <v>36</v>
      </c>
      <c r="C1137" s="3" t="str">
        <f aca="false">'1. Raw Data'!C1136</f>
        <v>Customer Support</v>
      </c>
      <c r="D1137" s="3" t="str">
        <f aca="false">'1. Raw Data'!D1136</f>
        <v>Junior</v>
      </c>
      <c r="E1137" s="3" t="str">
        <f aca="false">'1. Raw Data'!E1136</f>
        <v>Technical</v>
      </c>
      <c r="F1137" s="3" t="n">
        <f aca="false">'1. Raw Data'!F1136</f>
        <v>5.2</v>
      </c>
      <c r="G1137" s="3" t="n">
        <f aca="false">IF('1. Raw Data'!G1136="",ROUND(IFERROR(AVERAGEIFS('1. Raw Data'!G2:G1201,'1. Raw Data'!C2:C1201,'1. Raw Data'!C1136,'1. Raw Data'!D2:D1201,'1. Raw Data'!D1136),0),2),'1. Raw Data'!G1136)</f>
        <v>3016.69</v>
      </c>
      <c r="H1137" s="3" t="str">
        <f aca="false">PROPER('1. Raw Data'!H1136)</f>
        <v>Yes</v>
      </c>
      <c r="I1137" s="3" t="n">
        <f aca="false">'1. Raw Data'!I1136</f>
        <v>4</v>
      </c>
      <c r="J1137" s="3" t="n">
        <f aca="false">'1. Raw Data'!J1136</f>
        <v>2</v>
      </c>
      <c r="K1137" s="3" t="n">
        <f aca="false">'1. Raw Data'!K1136</f>
        <v>4</v>
      </c>
      <c r="L1137" s="3" t="n">
        <f aca="false">'1. Raw Data'!L1136</f>
        <v>2</v>
      </c>
      <c r="M1137" s="3" t="n">
        <f aca="false">'1. Raw Data'!M1136</f>
        <v>0</v>
      </c>
      <c r="N1137" s="3" t="str">
        <f aca="false">'1. Raw Data'!N1136</f>
        <v>No</v>
      </c>
    </row>
    <row r="1138" customFormat="false" ht="15" hidden="false" customHeight="false" outlineLevel="0" collapsed="false">
      <c r="A1138" s="3" t="str">
        <f aca="false">'1. Raw Data'!A1137</f>
        <v>EMP-1136</v>
      </c>
      <c r="B1138" s="3" t="n">
        <f aca="false">'1. Raw Data'!B1137</f>
        <v>37</v>
      </c>
      <c r="C1138" s="3" t="str">
        <f aca="false">'1. Raw Data'!C1137</f>
        <v>Customer Support</v>
      </c>
      <c r="D1138" s="3" t="str">
        <f aca="false">'1. Raw Data'!D1137</f>
        <v>Senior</v>
      </c>
      <c r="E1138" s="3" t="str">
        <f aca="false">'1. Raw Data'!E1137</f>
        <v>Business</v>
      </c>
      <c r="F1138" s="3" t="n">
        <f aca="false">'1. Raw Data'!F1137</f>
        <v>0.1</v>
      </c>
      <c r="G1138" s="3" t="n">
        <f aca="false">IF('1. Raw Data'!G1137="",ROUND(IFERROR(AVERAGEIFS('1. Raw Data'!G2:G1201,'1. Raw Data'!C2:C1201,'1. Raw Data'!C1137,'1. Raw Data'!D2:D1201,'1. Raw Data'!D1137),0),2),'1. Raw Data'!G1137)</f>
        <v>7118.26</v>
      </c>
      <c r="H1138" s="3" t="str">
        <f aca="false">PROPER('1. Raw Data'!H1137)</f>
        <v>Yes</v>
      </c>
      <c r="I1138" s="3" t="n">
        <f aca="false">'1. Raw Data'!I1137</f>
        <v>1</v>
      </c>
      <c r="J1138" s="3" t="n">
        <f aca="false">'1. Raw Data'!J1137</f>
        <v>4</v>
      </c>
      <c r="K1138" s="3" t="n">
        <f aca="false">'1. Raw Data'!K1137</f>
        <v>1</v>
      </c>
      <c r="L1138" s="3" t="n">
        <f aca="false">'1. Raw Data'!L1137</f>
        <v>0</v>
      </c>
      <c r="M1138" s="3" t="n">
        <f aca="false">'1. Raw Data'!M1137</f>
        <v>0</v>
      </c>
      <c r="N1138" s="3" t="str">
        <f aca="false">'1. Raw Data'!N1137</f>
        <v>No</v>
      </c>
    </row>
    <row r="1139" customFormat="false" ht="15" hidden="false" customHeight="false" outlineLevel="0" collapsed="false">
      <c r="A1139" s="3" t="str">
        <f aca="false">'1. Raw Data'!A1138</f>
        <v>EMP-1137</v>
      </c>
      <c r="B1139" s="3" t="n">
        <f aca="false">'1. Raw Data'!B1138</f>
        <v>24</v>
      </c>
      <c r="C1139" s="3" t="str">
        <f aca="false">'1. Raw Data'!C1138</f>
        <v>Finance</v>
      </c>
      <c r="D1139" s="3" t="str">
        <f aca="false">'1. Raw Data'!D1138</f>
        <v>Junior</v>
      </c>
      <c r="E1139" s="3" t="str">
        <f aca="false">'1. Raw Data'!E1138</f>
        <v>Marketing</v>
      </c>
      <c r="F1139" s="3" t="n">
        <f aca="false">'1. Raw Data'!F1138</f>
        <v>0.8</v>
      </c>
      <c r="G1139" s="3" t="n">
        <f aca="false">IF('1. Raw Data'!G1138="",ROUND(IFERROR(AVERAGEIFS('1. Raw Data'!G2:G1201,'1. Raw Data'!C2:C1201,'1. Raw Data'!C1138,'1. Raw Data'!D2:D1201,'1. Raw Data'!D1138),0),2),'1. Raw Data'!G1138)</f>
        <v>3498.82</v>
      </c>
      <c r="H1139" s="3" t="str">
        <f aca="false">PROPER('1. Raw Data'!H1138)</f>
        <v>No</v>
      </c>
      <c r="I1139" s="3" t="n">
        <f aca="false">'1. Raw Data'!I1138</f>
        <v>4</v>
      </c>
      <c r="J1139" s="3" t="n">
        <f aca="false">'1. Raw Data'!J1138</f>
        <v>4</v>
      </c>
      <c r="K1139" s="3" t="n">
        <f aca="false">'1. Raw Data'!K1138</f>
        <v>1</v>
      </c>
      <c r="L1139" s="3" t="n">
        <f aca="false">'1. Raw Data'!L1138</f>
        <v>0</v>
      </c>
      <c r="M1139" s="3" t="n">
        <f aca="false">'1. Raw Data'!M1138</f>
        <v>4</v>
      </c>
      <c r="N1139" s="3" t="str">
        <f aca="false">'1. Raw Data'!N1138</f>
        <v>No</v>
      </c>
    </row>
    <row r="1140" customFormat="false" ht="15" hidden="false" customHeight="false" outlineLevel="0" collapsed="false">
      <c r="A1140" s="3" t="str">
        <f aca="false">'1. Raw Data'!A1139</f>
        <v>EMP-1138</v>
      </c>
      <c r="B1140" s="3" t="n">
        <f aca="false">'1. Raw Data'!B1139</f>
        <v>29</v>
      </c>
      <c r="C1140" s="3" t="str">
        <f aca="false">'1. Raw Data'!C1139</f>
        <v>Marketing</v>
      </c>
      <c r="D1140" s="3" t="str">
        <f aca="false">'1. Raw Data'!D1139</f>
        <v>Junior</v>
      </c>
      <c r="E1140" s="3" t="str">
        <f aca="false">'1. Raw Data'!E1139</f>
        <v>Technical</v>
      </c>
      <c r="F1140" s="3" t="n">
        <f aca="false">'1. Raw Data'!F1139</f>
        <v>0.9</v>
      </c>
      <c r="G1140" s="3" t="n">
        <f aca="false">IF('1. Raw Data'!G1139="",ROUND(IFERROR(AVERAGEIFS('1. Raw Data'!G2:G1201,'1. Raw Data'!C2:C1201,'1. Raw Data'!C1139,'1. Raw Data'!D2:D1201,'1. Raw Data'!D1139),0),2),'1. Raw Data'!G1139)</f>
        <v>3827.87</v>
      </c>
      <c r="H1140" s="3" t="str">
        <f aca="false">PROPER('1. Raw Data'!H1139)</f>
        <v>No</v>
      </c>
      <c r="I1140" s="3" t="n">
        <f aca="false">'1. Raw Data'!I1139</f>
        <v>4</v>
      </c>
      <c r="J1140" s="3" t="n">
        <f aca="false">'1. Raw Data'!J1139</f>
        <v>2</v>
      </c>
      <c r="K1140" s="3" t="n">
        <f aca="false">'1. Raw Data'!K1139</f>
        <v>13</v>
      </c>
      <c r="L1140" s="3" t="n">
        <f aca="false">'1. Raw Data'!L1139</f>
        <v>0</v>
      </c>
      <c r="M1140" s="3" t="n">
        <f aca="false">'1. Raw Data'!M1139</f>
        <v>2</v>
      </c>
      <c r="N1140" s="3" t="str">
        <f aca="false">'1. Raw Data'!N1139</f>
        <v>No</v>
      </c>
    </row>
    <row r="1141" customFormat="false" ht="15" hidden="false" customHeight="false" outlineLevel="0" collapsed="false">
      <c r="A1141" s="3" t="str">
        <f aca="false">'1. Raw Data'!A1140</f>
        <v>EMP-1139</v>
      </c>
      <c r="B1141" s="3" t="n">
        <f aca="false">'1. Raw Data'!B1140</f>
        <v>26</v>
      </c>
      <c r="C1141" s="3" t="str">
        <f aca="false">'1. Raw Data'!C1140</f>
        <v>Finance</v>
      </c>
      <c r="D1141" s="3" t="str">
        <f aca="false">'1. Raw Data'!D1140</f>
        <v>Junior</v>
      </c>
      <c r="E1141" s="3" t="str">
        <f aca="false">'1. Raw Data'!E1140</f>
        <v>Other</v>
      </c>
      <c r="F1141" s="3" t="n">
        <f aca="false">'1. Raw Data'!F1140</f>
        <v>1.8</v>
      </c>
      <c r="G1141" s="3" t="n">
        <f aca="false">IF('1. Raw Data'!G1140="",ROUND(IFERROR(AVERAGEIFS('1. Raw Data'!G2:G1201,'1. Raw Data'!C2:C1201,'1. Raw Data'!C1140,'1. Raw Data'!D2:D1201,'1. Raw Data'!D1140),0),2),'1. Raw Data'!G1140)</f>
        <v>3361.68</v>
      </c>
      <c r="H1141" s="3" t="str">
        <f aca="false">PROPER('1. Raw Data'!H1140)</f>
        <v>Yes</v>
      </c>
      <c r="I1141" s="3" t="n">
        <f aca="false">'1. Raw Data'!I1140</f>
        <v>2</v>
      </c>
      <c r="J1141" s="3" t="n">
        <f aca="false">'1. Raw Data'!J1140</f>
        <v>3</v>
      </c>
      <c r="K1141" s="3" t="n">
        <f aca="false">'1. Raw Data'!K1140</f>
        <v>1</v>
      </c>
      <c r="L1141" s="3" t="n">
        <f aca="false">'1. Raw Data'!L1140</f>
        <v>1</v>
      </c>
      <c r="M1141" s="3" t="n">
        <f aca="false">'1. Raw Data'!M1140</f>
        <v>1</v>
      </c>
      <c r="N1141" s="3" t="str">
        <f aca="false">'1. Raw Data'!N1140</f>
        <v>No</v>
      </c>
    </row>
    <row r="1142" customFormat="false" ht="15" hidden="false" customHeight="false" outlineLevel="0" collapsed="false">
      <c r="A1142" s="3" t="str">
        <f aca="false">'1. Raw Data'!A1141</f>
        <v>EMP-1140</v>
      </c>
      <c r="B1142" s="3" t="n">
        <f aca="false">'1. Raw Data'!B1141</f>
        <v>35</v>
      </c>
      <c r="C1142" s="3" t="str">
        <f aca="false">'1. Raw Data'!C1141</f>
        <v>Customer Support</v>
      </c>
      <c r="D1142" s="3" t="str">
        <f aca="false">'1. Raw Data'!D1141</f>
        <v>Junior</v>
      </c>
      <c r="E1142" s="3" t="str">
        <f aca="false">'1. Raw Data'!E1141</f>
        <v>Marketing</v>
      </c>
      <c r="F1142" s="3" t="n">
        <f aca="false">'1. Raw Data'!F1141</f>
        <v>1</v>
      </c>
      <c r="G1142" s="3" t="n">
        <f aca="false">IF('1. Raw Data'!G1141="",ROUND(IFERROR(AVERAGEIFS('1. Raw Data'!G2:G1201,'1. Raw Data'!C2:C1201,'1. Raw Data'!C1141,'1. Raw Data'!D2:D1201,'1. Raw Data'!D1141),0),2),'1. Raw Data'!G1141)</f>
        <v>2769.45</v>
      </c>
      <c r="H1142" s="3" t="str">
        <f aca="false">PROPER('1. Raw Data'!H1141)</f>
        <v>No</v>
      </c>
      <c r="I1142" s="3" t="n">
        <f aca="false">'1. Raw Data'!I1141</f>
        <v>3</v>
      </c>
      <c r="J1142" s="3" t="n">
        <f aca="false">'1. Raw Data'!J1141</f>
        <v>3</v>
      </c>
      <c r="K1142" s="3" t="n">
        <f aca="false">'1. Raw Data'!K1141</f>
        <v>33</v>
      </c>
      <c r="L1142" s="3" t="n">
        <f aca="false">'1. Raw Data'!L1141</f>
        <v>0</v>
      </c>
      <c r="M1142" s="3" t="n">
        <f aca="false">'1. Raw Data'!M1141</f>
        <v>4</v>
      </c>
      <c r="N1142" s="3" t="str">
        <f aca="false">'1. Raw Data'!N1141</f>
        <v>Yes</v>
      </c>
    </row>
    <row r="1143" customFormat="false" ht="15" hidden="false" customHeight="false" outlineLevel="0" collapsed="false">
      <c r="A1143" s="3" t="str">
        <f aca="false">'1. Raw Data'!A1142</f>
        <v>EMP-1141</v>
      </c>
      <c r="B1143" s="3" t="n">
        <f aca="false">'1. Raw Data'!B1142</f>
        <v>25</v>
      </c>
      <c r="C1143" s="3" t="str">
        <f aca="false">'1. Raw Data'!C1142</f>
        <v>Marketing</v>
      </c>
      <c r="D1143" s="3" t="str">
        <f aca="false">'1. Raw Data'!D1142</f>
        <v>Mid</v>
      </c>
      <c r="E1143" s="3" t="str">
        <f aca="false">'1. Raw Data'!E1142</f>
        <v>Other</v>
      </c>
      <c r="F1143" s="3" t="n">
        <f aca="false">'1. Raw Data'!F1142</f>
        <v>1.9</v>
      </c>
      <c r="G1143" s="3" t="n">
        <f aca="false">IF('1. Raw Data'!G1142="",ROUND(IFERROR(AVERAGEIFS('1. Raw Data'!G2:G1201,'1. Raw Data'!C2:C1201,'1. Raw Data'!C1142,'1. Raw Data'!D2:D1201,'1. Raw Data'!D1142),0),2),'1. Raw Data'!G1142)</f>
        <v>4335.26</v>
      </c>
      <c r="H1143" s="3" t="str">
        <f aca="false">PROPER('1. Raw Data'!H1142)</f>
        <v>No</v>
      </c>
      <c r="I1143" s="3" t="n">
        <f aca="false">'1. Raw Data'!I1142</f>
        <v>3</v>
      </c>
      <c r="J1143" s="3" t="n">
        <f aca="false">'1. Raw Data'!J1142</f>
        <v>4</v>
      </c>
      <c r="K1143" s="3" t="n">
        <f aca="false">'1. Raw Data'!K1142</f>
        <v>33</v>
      </c>
      <c r="L1143" s="3" t="n">
        <f aca="false">'1. Raw Data'!L1142</f>
        <v>0</v>
      </c>
      <c r="M1143" s="3" t="n">
        <f aca="false">'1. Raw Data'!M1142</f>
        <v>1</v>
      </c>
      <c r="N1143" s="3" t="str">
        <f aca="false">'1. Raw Data'!N1142</f>
        <v>No</v>
      </c>
    </row>
    <row r="1144" customFormat="false" ht="15" hidden="false" customHeight="false" outlineLevel="0" collapsed="false">
      <c r="A1144" s="3" t="str">
        <f aca="false">'1. Raw Data'!A1143</f>
        <v>EMP-1142</v>
      </c>
      <c r="B1144" s="3" t="n">
        <f aca="false">'1. Raw Data'!B1143</f>
        <v>42</v>
      </c>
      <c r="C1144" s="3" t="str">
        <f aca="false">'1. Raw Data'!C1143</f>
        <v>Sales</v>
      </c>
      <c r="D1144" s="3" t="str">
        <f aca="false">'1. Raw Data'!D1143</f>
        <v>Senior</v>
      </c>
      <c r="E1144" s="3" t="str">
        <f aca="false">'1. Raw Data'!E1143</f>
        <v>Technical</v>
      </c>
      <c r="F1144" s="3" t="n">
        <f aca="false">'1. Raw Data'!F1143</f>
        <v>5.3</v>
      </c>
      <c r="G1144" s="3" t="n">
        <f aca="false">IF('1. Raw Data'!G1143="",ROUND(IFERROR(AVERAGEIFS('1. Raw Data'!G2:G1201,'1. Raw Data'!C2:C1201,'1. Raw Data'!C1143,'1. Raw Data'!D2:D1201,'1. Raw Data'!D1143),0),2),'1. Raw Data'!G1143)</f>
        <v>7238.34</v>
      </c>
      <c r="H1144" s="3" t="str">
        <f aca="false">PROPER('1. Raw Data'!H1143)</f>
        <v>No</v>
      </c>
      <c r="I1144" s="3" t="n">
        <f aca="false">'1. Raw Data'!I1143</f>
        <v>4</v>
      </c>
      <c r="J1144" s="3" t="n">
        <f aca="false">'1. Raw Data'!J1143</f>
        <v>4</v>
      </c>
      <c r="K1144" s="3" t="n">
        <f aca="false">'1. Raw Data'!K1143</f>
        <v>10</v>
      </c>
      <c r="L1144" s="3" t="n">
        <f aca="false">'1. Raw Data'!L1143</f>
        <v>0</v>
      </c>
      <c r="M1144" s="3" t="n">
        <f aca="false">'1. Raw Data'!M1143</f>
        <v>0</v>
      </c>
      <c r="N1144" s="3" t="str">
        <f aca="false">'1. Raw Data'!N1143</f>
        <v>No</v>
      </c>
    </row>
    <row r="1145" customFormat="false" ht="15" hidden="false" customHeight="false" outlineLevel="0" collapsed="false">
      <c r="A1145" s="3" t="str">
        <f aca="false">'1. Raw Data'!A1144</f>
        <v>EMP-1143</v>
      </c>
      <c r="B1145" s="3" t="n">
        <f aca="false">'1. Raw Data'!B1144</f>
        <v>38</v>
      </c>
      <c r="C1145" s="3" t="str">
        <f aca="false">'1. Raw Data'!C1144</f>
        <v>HR</v>
      </c>
      <c r="D1145" s="3" t="str">
        <f aca="false">'1. Raw Data'!D1144</f>
        <v>Mid</v>
      </c>
      <c r="E1145" s="3" t="str">
        <f aca="false">'1. Raw Data'!E1144</f>
        <v>Technical</v>
      </c>
      <c r="F1145" s="3" t="n">
        <f aca="false">'1. Raw Data'!F1144</f>
        <v>1.4</v>
      </c>
      <c r="G1145" s="3" t="n">
        <f aca="false">IF('1. Raw Data'!G1144="",ROUND(IFERROR(AVERAGEIFS('1. Raw Data'!G2:G1201,'1. Raw Data'!C2:C1201,'1. Raw Data'!C1144,'1. Raw Data'!D2:D1201,'1. Raw Data'!D1144),0),2),'1. Raw Data'!G1144)</f>
        <v>5231.15</v>
      </c>
      <c r="H1145" s="3" t="str">
        <f aca="false">PROPER('1. Raw Data'!H1144)</f>
        <v>No</v>
      </c>
      <c r="I1145" s="3" t="n">
        <f aca="false">'1. Raw Data'!I1144</f>
        <v>3</v>
      </c>
      <c r="J1145" s="3" t="n">
        <f aca="false">'1. Raw Data'!J1144</f>
        <v>2</v>
      </c>
      <c r="K1145" s="3" t="n">
        <f aca="false">'1. Raw Data'!K1144</f>
        <v>1</v>
      </c>
      <c r="L1145" s="3" t="n">
        <f aca="false">'1. Raw Data'!L1144</f>
        <v>1</v>
      </c>
      <c r="M1145" s="3" t="n">
        <f aca="false">'1. Raw Data'!M1144</f>
        <v>1</v>
      </c>
      <c r="N1145" s="3" t="str">
        <f aca="false">'1. Raw Data'!N1144</f>
        <v>No</v>
      </c>
    </row>
    <row r="1146" customFormat="false" ht="15" hidden="false" customHeight="false" outlineLevel="0" collapsed="false">
      <c r="A1146" s="3" t="str">
        <f aca="false">'1. Raw Data'!A1145</f>
        <v>EMP-1144</v>
      </c>
      <c r="B1146" s="3" t="n">
        <f aca="false">'1. Raw Data'!B1145</f>
        <v>34</v>
      </c>
      <c r="C1146" s="3" t="str">
        <f aca="false">'1. Raw Data'!C1145</f>
        <v>Finance</v>
      </c>
      <c r="D1146" s="3" t="str">
        <f aca="false">'1. Raw Data'!D1145</f>
        <v>Senior</v>
      </c>
      <c r="E1146" s="3" t="str">
        <f aca="false">'1. Raw Data'!E1145</f>
        <v>Technical</v>
      </c>
      <c r="F1146" s="3" t="n">
        <f aca="false">'1. Raw Data'!F1145</f>
        <v>3.1</v>
      </c>
      <c r="G1146" s="3" t="n">
        <f aca="false">IF('1. Raw Data'!G1145="",ROUND(IFERROR(AVERAGEIFS('1. Raw Data'!G2:G1201,'1. Raw Data'!C2:C1201,'1. Raw Data'!C1145,'1. Raw Data'!D2:D1201,'1. Raw Data'!D1145),0),2),'1. Raw Data'!G1145)</f>
        <v>7179.75</v>
      </c>
      <c r="H1146" s="3" t="str">
        <f aca="false">PROPER('1. Raw Data'!H1145)</f>
        <v>No</v>
      </c>
      <c r="I1146" s="3" t="n">
        <f aca="false">'1. Raw Data'!I1145</f>
        <v>2</v>
      </c>
      <c r="J1146" s="3" t="n">
        <f aca="false">'1. Raw Data'!J1145</f>
        <v>3</v>
      </c>
      <c r="K1146" s="3" t="n">
        <f aca="false">'1. Raw Data'!K1145</f>
        <v>16</v>
      </c>
      <c r="L1146" s="3" t="n">
        <f aca="false">'1. Raw Data'!L1145</f>
        <v>3</v>
      </c>
      <c r="M1146" s="3" t="n">
        <f aca="false">'1. Raw Data'!M1145</f>
        <v>1</v>
      </c>
      <c r="N1146" s="3" t="str">
        <f aca="false">'1. Raw Data'!N1145</f>
        <v>No</v>
      </c>
    </row>
    <row r="1147" customFormat="false" ht="15" hidden="false" customHeight="false" outlineLevel="0" collapsed="false">
      <c r="A1147" s="3" t="str">
        <f aca="false">'1. Raw Data'!A1146</f>
        <v>EMP-1145</v>
      </c>
      <c r="B1147" s="3" t="n">
        <f aca="false">'1. Raw Data'!B1146</f>
        <v>39</v>
      </c>
      <c r="C1147" s="3" t="str">
        <f aca="false">'1. Raw Data'!C1146</f>
        <v>Sales</v>
      </c>
      <c r="D1147" s="3" t="str">
        <f aca="false">'1. Raw Data'!D1146</f>
        <v>Junior</v>
      </c>
      <c r="E1147" s="3" t="str">
        <f aca="false">'1. Raw Data'!E1146</f>
        <v>Marketing</v>
      </c>
      <c r="F1147" s="3" t="n">
        <f aca="false">'1. Raw Data'!F1146</f>
        <v>3.4</v>
      </c>
      <c r="G1147" s="3" t="n">
        <f aca="false">IF('1. Raw Data'!G1146="",ROUND(IFERROR(AVERAGEIFS('1. Raw Data'!G2:G1201,'1. Raw Data'!C2:C1201,'1. Raw Data'!C1146,'1. Raw Data'!D2:D1201,'1. Raw Data'!D1146),0),2),'1. Raw Data'!G1146)</f>
        <v>2773.17</v>
      </c>
      <c r="H1147" s="3" t="str">
        <f aca="false">PROPER('1. Raw Data'!H1146)</f>
        <v>Yes</v>
      </c>
      <c r="I1147" s="3" t="n">
        <f aca="false">'1. Raw Data'!I1146</f>
        <v>4</v>
      </c>
      <c r="J1147" s="3" t="n">
        <f aca="false">'1. Raw Data'!J1146</f>
        <v>3</v>
      </c>
      <c r="K1147" s="3" t="n">
        <f aca="false">'1. Raw Data'!K1146</f>
        <v>1</v>
      </c>
      <c r="L1147" s="3" t="n">
        <f aca="false">'1. Raw Data'!L1146</f>
        <v>0</v>
      </c>
      <c r="M1147" s="3" t="n">
        <f aca="false">'1. Raw Data'!M1146</f>
        <v>1</v>
      </c>
      <c r="N1147" s="3" t="str">
        <f aca="false">'1. Raw Data'!N1146</f>
        <v>No</v>
      </c>
    </row>
    <row r="1148" customFormat="false" ht="15" hidden="false" customHeight="false" outlineLevel="0" collapsed="false">
      <c r="A1148" s="3" t="str">
        <f aca="false">'1. Raw Data'!A1147</f>
        <v>EMP-1146</v>
      </c>
      <c r="B1148" s="3" t="n">
        <f aca="false">'1. Raw Data'!B1147</f>
        <v>25</v>
      </c>
      <c r="C1148" s="3" t="str">
        <f aca="false">'1. Raw Data'!C1147</f>
        <v>HR</v>
      </c>
      <c r="D1148" s="3" t="str">
        <f aca="false">'1. Raw Data'!D1147</f>
        <v>Junior</v>
      </c>
      <c r="E1148" s="3" t="str">
        <f aca="false">'1. Raw Data'!E1147</f>
        <v>Business</v>
      </c>
      <c r="F1148" s="3" t="n">
        <f aca="false">'1. Raw Data'!F1147</f>
        <v>1.3</v>
      </c>
      <c r="G1148" s="3" t="n">
        <f aca="false">IF('1. Raw Data'!G1147="",ROUND(IFERROR(AVERAGEIFS('1. Raw Data'!G2:G1201,'1. Raw Data'!C2:C1201,'1. Raw Data'!C1147,'1. Raw Data'!D2:D1201,'1. Raw Data'!D1147),0),2),'1. Raw Data'!G1147)</f>
        <v>3147.49</v>
      </c>
      <c r="H1148" s="3" t="str">
        <f aca="false">PROPER('1. Raw Data'!H1147)</f>
        <v>No</v>
      </c>
      <c r="I1148" s="3" t="n">
        <f aca="false">'1. Raw Data'!I1147</f>
        <v>4</v>
      </c>
      <c r="J1148" s="3" t="n">
        <f aca="false">'1. Raw Data'!J1147</f>
        <v>3</v>
      </c>
      <c r="K1148" s="3" t="n">
        <f aca="false">'1. Raw Data'!K1147</f>
        <v>19</v>
      </c>
      <c r="L1148" s="3" t="n">
        <f aca="false">'1. Raw Data'!L1147</f>
        <v>1</v>
      </c>
      <c r="M1148" s="3" t="n">
        <f aca="false">'1. Raw Data'!M1147</f>
        <v>1</v>
      </c>
      <c r="N1148" s="3" t="str">
        <f aca="false">'1. Raw Data'!N1147</f>
        <v>No</v>
      </c>
    </row>
    <row r="1149" customFormat="false" ht="15" hidden="false" customHeight="false" outlineLevel="0" collapsed="false">
      <c r="A1149" s="3" t="str">
        <f aca="false">'1. Raw Data'!A1148</f>
        <v>EMP-1147</v>
      </c>
      <c r="B1149" s="3" t="n">
        <f aca="false">'1. Raw Data'!B1148</f>
        <v>39</v>
      </c>
      <c r="C1149" s="3" t="str">
        <f aca="false">'1. Raw Data'!C1148</f>
        <v>Finance</v>
      </c>
      <c r="D1149" s="3" t="str">
        <f aca="false">'1. Raw Data'!D1148</f>
        <v>Mid</v>
      </c>
      <c r="E1149" s="3" t="str">
        <f aca="false">'1. Raw Data'!E1148</f>
        <v>Other</v>
      </c>
      <c r="F1149" s="3" t="n">
        <f aca="false">'1. Raw Data'!F1148</f>
        <v>1.1</v>
      </c>
      <c r="G1149" s="3" t="n">
        <f aca="false">IF('1. Raw Data'!G1148="",ROUND(IFERROR(AVERAGEIFS('1. Raw Data'!G2:G1201,'1. Raw Data'!C2:C1201,'1. Raw Data'!C1148,'1. Raw Data'!D2:D1201,'1. Raw Data'!D1148),0),2),'1. Raw Data'!G1148)</f>
        <v>4757.62</v>
      </c>
      <c r="H1149" s="3" t="str">
        <f aca="false">PROPER('1. Raw Data'!H1148)</f>
        <v>No</v>
      </c>
      <c r="I1149" s="3" t="n">
        <f aca="false">'1. Raw Data'!I1148</f>
        <v>3</v>
      </c>
      <c r="J1149" s="3" t="n">
        <f aca="false">'1. Raw Data'!J1148</f>
        <v>4</v>
      </c>
      <c r="K1149" s="3" t="n">
        <f aca="false">'1. Raw Data'!K1148</f>
        <v>1</v>
      </c>
      <c r="L1149" s="3" t="n">
        <f aca="false">'1. Raw Data'!L1148</f>
        <v>0</v>
      </c>
      <c r="M1149" s="3" t="n">
        <f aca="false">'1. Raw Data'!M1148</f>
        <v>5</v>
      </c>
      <c r="N1149" s="3" t="str">
        <f aca="false">'1. Raw Data'!N1148</f>
        <v>No</v>
      </c>
    </row>
    <row r="1150" customFormat="false" ht="15" hidden="false" customHeight="false" outlineLevel="0" collapsed="false">
      <c r="A1150" s="3" t="str">
        <f aca="false">'1. Raw Data'!A1149</f>
        <v>EMP-1148</v>
      </c>
      <c r="B1150" s="3" t="n">
        <f aca="false">'1. Raw Data'!B1149</f>
        <v>43</v>
      </c>
      <c r="C1150" s="3" t="str">
        <f aca="false">'1. Raw Data'!C1149</f>
        <v>Customer Support</v>
      </c>
      <c r="D1150" s="3" t="str">
        <f aca="false">'1. Raw Data'!D1149</f>
        <v>Junior</v>
      </c>
      <c r="E1150" s="3" t="str">
        <f aca="false">'1. Raw Data'!E1149</f>
        <v>Business</v>
      </c>
      <c r="F1150" s="3" t="n">
        <f aca="false">'1. Raw Data'!F1149</f>
        <v>2.6</v>
      </c>
      <c r="G1150" s="3" t="n">
        <f aca="false">IF('1. Raw Data'!G1149="",ROUND(IFERROR(AVERAGEIFS('1. Raw Data'!G2:G1201,'1. Raw Data'!C2:C1201,'1. Raw Data'!C1149,'1. Raw Data'!D2:D1201,'1. Raw Data'!D1149),0),2),'1. Raw Data'!G1149)</f>
        <v>2863.9</v>
      </c>
      <c r="H1150" s="3" t="str">
        <f aca="false">PROPER('1. Raw Data'!H1149)</f>
        <v>No</v>
      </c>
      <c r="I1150" s="3" t="n">
        <f aca="false">'1. Raw Data'!I1149</f>
        <v>4</v>
      </c>
      <c r="J1150" s="3" t="n">
        <f aca="false">'1. Raw Data'!J1149</f>
        <v>4</v>
      </c>
      <c r="K1150" s="3" t="n">
        <f aca="false">'1. Raw Data'!K1149</f>
        <v>3</v>
      </c>
      <c r="L1150" s="3" t="n">
        <f aca="false">'1. Raw Data'!L1149</f>
        <v>2</v>
      </c>
      <c r="M1150" s="3" t="n">
        <f aca="false">'1. Raw Data'!M1149</f>
        <v>2</v>
      </c>
      <c r="N1150" s="3" t="str">
        <f aca="false">'1. Raw Data'!N1149</f>
        <v>No</v>
      </c>
    </row>
    <row r="1151" customFormat="false" ht="15" hidden="false" customHeight="false" outlineLevel="0" collapsed="false">
      <c r="A1151" s="3" t="str">
        <f aca="false">'1. Raw Data'!A1150</f>
        <v>EMP-1149</v>
      </c>
      <c r="B1151" s="3" t="n">
        <f aca="false">'1. Raw Data'!B1150</f>
        <v>34</v>
      </c>
      <c r="C1151" s="3" t="str">
        <f aca="false">'1. Raw Data'!C1150</f>
        <v>Finance</v>
      </c>
      <c r="D1151" s="3" t="str">
        <f aca="false">'1. Raw Data'!D1150</f>
        <v>Mid</v>
      </c>
      <c r="E1151" s="3" t="str">
        <f aca="false">'1. Raw Data'!E1150</f>
        <v>Technical</v>
      </c>
      <c r="F1151" s="3" t="n">
        <f aca="false">'1. Raw Data'!F1150</f>
        <v>0</v>
      </c>
      <c r="G1151" s="3" t="n">
        <f aca="false">IF('1. Raw Data'!G1150="",ROUND(IFERROR(AVERAGEIFS('1. Raw Data'!G2:G1201,'1. Raw Data'!C2:C1201,'1. Raw Data'!C1150,'1. Raw Data'!D2:D1201,'1. Raw Data'!D1150),0),2),'1. Raw Data'!G1150)</f>
        <v>5087.5</v>
      </c>
      <c r="H1151" s="3" t="str">
        <f aca="false">PROPER('1. Raw Data'!H1150)</f>
        <v>No</v>
      </c>
      <c r="I1151" s="3" t="n">
        <f aca="false">'1. Raw Data'!I1150</f>
        <v>4</v>
      </c>
      <c r="J1151" s="3" t="n">
        <f aca="false">'1. Raw Data'!J1150</f>
        <v>4</v>
      </c>
      <c r="K1151" s="3" t="n">
        <f aca="false">'1. Raw Data'!K1150</f>
        <v>7</v>
      </c>
      <c r="L1151" s="3" t="n">
        <f aca="false">'1. Raw Data'!L1150</f>
        <v>0</v>
      </c>
      <c r="M1151" s="3" t="n">
        <f aca="false">'1. Raw Data'!M1150</f>
        <v>2</v>
      </c>
      <c r="N1151" s="3" t="str">
        <f aca="false">'1. Raw Data'!N1150</f>
        <v>No</v>
      </c>
    </row>
    <row r="1152" customFormat="false" ht="15" hidden="false" customHeight="false" outlineLevel="0" collapsed="false">
      <c r="A1152" s="3" t="str">
        <f aca="false">'1. Raw Data'!A1151</f>
        <v>EMP-1150</v>
      </c>
      <c r="B1152" s="3" t="n">
        <f aca="false">'1. Raw Data'!B1151</f>
        <v>37</v>
      </c>
      <c r="C1152" s="3" t="str">
        <f aca="false">'1. Raw Data'!C1151</f>
        <v>Finance</v>
      </c>
      <c r="D1152" s="3" t="str">
        <f aca="false">'1. Raw Data'!D1151</f>
        <v>Junior</v>
      </c>
      <c r="E1152" s="3" t="str">
        <f aca="false">'1. Raw Data'!E1151</f>
        <v>Marketing</v>
      </c>
      <c r="F1152" s="3" t="n">
        <f aca="false">'1. Raw Data'!F1151</f>
        <v>0.1</v>
      </c>
      <c r="G1152" s="3" t="n">
        <f aca="false">IF('1. Raw Data'!G1151="",ROUND(IFERROR(AVERAGEIFS('1. Raw Data'!G2:G1201,'1. Raw Data'!C2:C1201,'1. Raw Data'!C1151,'1. Raw Data'!D2:D1201,'1. Raw Data'!D1151),0),2),'1. Raw Data'!G1151)</f>
        <v>2828.19</v>
      </c>
      <c r="H1152" s="3" t="str">
        <f aca="false">PROPER('1. Raw Data'!H1151)</f>
        <v>No</v>
      </c>
      <c r="I1152" s="3" t="n">
        <f aca="false">'1. Raw Data'!I1151</f>
        <v>2</v>
      </c>
      <c r="J1152" s="3" t="n">
        <f aca="false">'1. Raw Data'!J1151</f>
        <v>3</v>
      </c>
      <c r="K1152" s="3" t="n">
        <f aca="false">'1. Raw Data'!K1151</f>
        <v>4</v>
      </c>
      <c r="L1152" s="3" t="n">
        <f aca="false">'1. Raw Data'!L1151</f>
        <v>0</v>
      </c>
      <c r="M1152" s="3" t="n">
        <f aca="false">'1. Raw Data'!M1151</f>
        <v>0</v>
      </c>
      <c r="N1152" s="3" t="str">
        <f aca="false">'1. Raw Data'!N1151</f>
        <v>No</v>
      </c>
    </row>
    <row r="1153" customFormat="false" ht="15" hidden="false" customHeight="false" outlineLevel="0" collapsed="false">
      <c r="A1153" s="3" t="str">
        <f aca="false">'1. Raw Data'!A1152</f>
        <v>EMP-1151</v>
      </c>
      <c r="B1153" s="3" t="n">
        <f aca="false">'1. Raw Data'!B1152</f>
        <v>33</v>
      </c>
      <c r="C1153" s="3" t="str">
        <f aca="false">'1. Raw Data'!C1152</f>
        <v>Finance</v>
      </c>
      <c r="D1153" s="3" t="str">
        <f aca="false">'1. Raw Data'!D1152</f>
        <v>Junior</v>
      </c>
      <c r="E1153" s="3" t="str">
        <f aca="false">'1. Raw Data'!E1152</f>
        <v>Marketing</v>
      </c>
      <c r="F1153" s="3" t="n">
        <f aca="false">'1. Raw Data'!F1152</f>
        <v>3</v>
      </c>
      <c r="G1153" s="3" t="n">
        <f aca="false">IF('1. Raw Data'!G1152="",ROUND(IFERROR(AVERAGEIFS('1. Raw Data'!G2:G1201,'1. Raw Data'!C2:C1201,'1. Raw Data'!C1152,'1. Raw Data'!D2:D1201,'1. Raw Data'!D1152),0),2),'1. Raw Data'!G1152)</f>
        <v>3626.88</v>
      </c>
      <c r="H1153" s="3" t="str">
        <f aca="false">PROPER('1. Raw Data'!H1152)</f>
        <v>Yes</v>
      </c>
      <c r="I1153" s="3" t="n">
        <f aca="false">'1. Raw Data'!I1152</f>
        <v>4</v>
      </c>
      <c r="J1153" s="3" t="n">
        <f aca="false">'1. Raw Data'!J1152</f>
        <v>3</v>
      </c>
      <c r="K1153" s="3" t="n">
        <f aca="false">'1. Raw Data'!K1152</f>
        <v>2</v>
      </c>
      <c r="L1153" s="3" t="n">
        <f aca="false">'1. Raw Data'!L1152</f>
        <v>3</v>
      </c>
      <c r="M1153" s="3" t="n">
        <f aca="false">'1. Raw Data'!M1152</f>
        <v>1</v>
      </c>
      <c r="N1153" s="3" t="str">
        <f aca="false">'1. Raw Data'!N1152</f>
        <v>No</v>
      </c>
    </row>
    <row r="1154" customFormat="false" ht="15" hidden="false" customHeight="false" outlineLevel="0" collapsed="false">
      <c r="A1154" s="3" t="str">
        <f aca="false">'1. Raw Data'!A1153</f>
        <v>EMP-1152</v>
      </c>
      <c r="B1154" s="3" t="n">
        <f aca="false">'1. Raw Data'!B1153</f>
        <v>31</v>
      </c>
      <c r="C1154" s="3" t="str">
        <f aca="false">'1. Raw Data'!C1153</f>
        <v>Customer Support</v>
      </c>
      <c r="D1154" s="3" t="str">
        <f aca="false">'1. Raw Data'!D1153</f>
        <v>Senior</v>
      </c>
      <c r="E1154" s="3" t="str">
        <f aca="false">'1. Raw Data'!E1153</f>
        <v>Other</v>
      </c>
      <c r="F1154" s="3" t="n">
        <f aca="false">'1. Raw Data'!F1153</f>
        <v>1.8</v>
      </c>
      <c r="G1154" s="3" t="n">
        <f aca="false">IF('1. Raw Data'!G1153="",ROUND(IFERROR(AVERAGEIFS('1. Raw Data'!G2:G1201,'1. Raw Data'!C2:C1201,'1. Raw Data'!C1153,'1. Raw Data'!D2:D1201,'1. Raw Data'!D1153),0),2),'1. Raw Data'!G1153)</f>
        <v>7786.19</v>
      </c>
      <c r="H1154" s="3" t="str">
        <f aca="false">PROPER('1. Raw Data'!H1153)</f>
        <v>Yes</v>
      </c>
      <c r="I1154" s="3" t="n">
        <f aca="false">'1. Raw Data'!I1153</f>
        <v>3</v>
      </c>
      <c r="J1154" s="3" t="n">
        <f aca="false">'1. Raw Data'!J1153</f>
        <v>2</v>
      </c>
      <c r="K1154" s="3" t="n">
        <f aca="false">'1. Raw Data'!K1153</f>
        <v>5</v>
      </c>
      <c r="L1154" s="3" t="n">
        <f aca="false">'1. Raw Data'!L1153</f>
        <v>1</v>
      </c>
      <c r="M1154" s="3" t="n">
        <f aca="false">'1. Raw Data'!M1153</f>
        <v>3</v>
      </c>
      <c r="N1154" s="3" t="str">
        <f aca="false">'1. Raw Data'!N1153</f>
        <v>No</v>
      </c>
    </row>
    <row r="1155" customFormat="false" ht="15" hidden="false" customHeight="false" outlineLevel="0" collapsed="false">
      <c r="A1155" s="3" t="str">
        <f aca="false">'1. Raw Data'!A1154</f>
        <v>EMP-1153</v>
      </c>
      <c r="B1155" s="3" t="n">
        <f aca="false">'1. Raw Data'!B1154</f>
        <v>39</v>
      </c>
      <c r="C1155" s="3" t="str">
        <f aca="false">'1. Raw Data'!C1154</f>
        <v>HR</v>
      </c>
      <c r="D1155" s="3" t="str">
        <f aca="false">'1. Raw Data'!D1154</f>
        <v>Senior</v>
      </c>
      <c r="E1155" s="3" t="str">
        <f aca="false">'1. Raw Data'!E1154</f>
        <v>Technical</v>
      </c>
      <c r="F1155" s="3" t="n">
        <f aca="false">'1. Raw Data'!F1154</f>
        <v>4.3</v>
      </c>
      <c r="G1155" s="3" t="n">
        <f aca="false">IF('1. Raw Data'!G1154="",ROUND(IFERROR(AVERAGEIFS('1. Raw Data'!G2:G1201,'1. Raw Data'!C2:C1201,'1. Raw Data'!C1154,'1. Raw Data'!D2:D1201,'1. Raw Data'!D1154),0),2),'1. Raw Data'!G1154)</f>
        <v>8108.01</v>
      </c>
      <c r="H1155" s="3" t="str">
        <f aca="false">PROPER('1. Raw Data'!H1154)</f>
        <v>No</v>
      </c>
      <c r="I1155" s="3" t="n">
        <f aca="false">'1. Raw Data'!I1154</f>
        <v>3</v>
      </c>
      <c r="J1155" s="3" t="n">
        <f aca="false">'1. Raw Data'!J1154</f>
        <v>4</v>
      </c>
      <c r="K1155" s="3" t="n">
        <f aca="false">'1. Raw Data'!K1154</f>
        <v>2</v>
      </c>
      <c r="L1155" s="3" t="n">
        <f aca="false">'1. Raw Data'!L1154</f>
        <v>0</v>
      </c>
      <c r="M1155" s="3" t="n">
        <f aca="false">'1. Raw Data'!M1154</f>
        <v>0</v>
      </c>
      <c r="N1155" s="3" t="str">
        <f aca="false">'1. Raw Data'!N1154</f>
        <v>No</v>
      </c>
    </row>
    <row r="1156" customFormat="false" ht="15" hidden="false" customHeight="false" outlineLevel="0" collapsed="false">
      <c r="A1156" s="3" t="str">
        <f aca="false">'1. Raw Data'!A1155</f>
        <v>EMP-1154</v>
      </c>
      <c r="B1156" s="3" t="n">
        <f aca="false">'1. Raw Data'!B1155</f>
        <v>36</v>
      </c>
      <c r="C1156" s="3" t="str">
        <f aca="false">'1. Raw Data'!C1155</f>
        <v>Engineering</v>
      </c>
      <c r="D1156" s="3" t="str">
        <f aca="false">'1. Raw Data'!D1155</f>
        <v>Mid</v>
      </c>
      <c r="E1156" s="3" t="str">
        <f aca="false">'1. Raw Data'!E1155</f>
        <v>Marketing</v>
      </c>
      <c r="F1156" s="3" t="n">
        <f aca="false">'1. Raw Data'!F1155</f>
        <v>3.3</v>
      </c>
      <c r="G1156" s="3" t="n">
        <f aca="false">IF('1. Raw Data'!G1155="",ROUND(IFERROR(AVERAGEIFS('1. Raw Data'!G2:G1201,'1. Raw Data'!C2:C1201,'1. Raw Data'!C1155,'1. Raw Data'!D2:D1201,'1. Raw Data'!D1155),0),2),'1. Raw Data'!G1155)</f>
        <v>5227.76</v>
      </c>
      <c r="H1156" s="3" t="str">
        <f aca="false">PROPER('1. Raw Data'!H1155)</f>
        <v>No</v>
      </c>
      <c r="I1156" s="3" t="n">
        <f aca="false">'1. Raw Data'!I1155</f>
        <v>3</v>
      </c>
      <c r="J1156" s="3" t="n">
        <f aca="false">'1. Raw Data'!J1155</f>
        <v>3</v>
      </c>
      <c r="K1156" s="3" t="n">
        <f aca="false">'1. Raw Data'!K1155</f>
        <v>10</v>
      </c>
      <c r="L1156" s="3" t="n">
        <f aca="false">'1. Raw Data'!L1155</f>
        <v>0</v>
      </c>
      <c r="M1156" s="3" t="n">
        <f aca="false">'1. Raw Data'!M1155</f>
        <v>2</v>
      </c>
      <c r="N1156" s="3" t="str">
        <f aca="false">'1. Raw Data'!N1155</f>
        <v>No</v>
      </c>
    </row>
    <row r="1157" customFormat="false" ht="15" hidden="false" customHeight="false" outlineLevel="0" collapsed="false">
      <c r="A1157" s="3" t="str">
        <f aca="false">'1. Raw Data'!A1156</f>
        <v>EMP-1155</v>
      </c>
      <c r="B1157" s="3" t="n">
        <f aca="false">'1. Raw Data'!B1156</f>
        <v>37</v>
      </c>
      <c r="C1157" s="3" t="str">
        <f aca="false">'1. Raw Data'!C1156</f>
        <v>Marketing</v>
      </c>
      <c r="D1157" s="3" t="str">
        <f aca="false">'1. Raw Data'!D1156</f>
        <v>Senior</v>
      </c>
      <c r="E1157" s="3" t="str">
        <f aca="false">'1. Raw Data'!E1156</f>
        <v>Technical</v>
      </c>
      <c r="F1157" s="3" t="n">
        <f aca="false">'1. Raw Data'!F1156</f>
        <v>0.6</v>
      </c>
      <c r="G1157" s="3" t="n">
        <f aca="false">IF('1. Raw Data'!G1156="",ROUND(IFERROR(AVERAGEIFS('1. Raw Data'!G2:G1201,'1. Raw Data'!C2:C1201,'1. Raw Data'!C1156,'1. Raw Data'!D2:D1201,'1. Raw Data'!D1156),0),2),'1. Raw Data'!G1156)</f>
        <v>6499.37</v>
      </c>
      <c r="H1157" s="3" t="str">
        <f aca="false">PROPER('1. Raw Data'!H1156)</f>
        <v>No</v>
      </c>
      <c r="I1157" s="3" t="n">
        <f aca="false">'1. Raw Data'!I1156</f>
        <v>2</v>
      </c>
      <c r="J1157" s="3" t="n">
        <f aca="false">'1. Raw Data'!J1156</f>
        <v>3</v>
      </c>
      <c r="K1157" s="3" t="n">
        <f aca="false">'1. Raw Data'!K1156</f>
        <v>11</v>
      </c>
      <c r="L1157" s="3" t="n">
        <f aca="false">'1. Raw Data'!L1156</f>
        <v>0</v>
      </c>
      <c r="M1157" s="3" t="n">
        <f aca="false">'1. Raw Data'!M1156</f>
        <v>1</v>
      </c>
      <c r="N1157" s="3" t="str">
        <f aca="false">'1. Raw Data'!N1156</f>
        <v>No</v>
      </c>
    </row>
    <row r="1158" customFormat="false" ht="15" hidden="false" customHeight="false" outlineLevel="0" collapsed="false">
      <c r="A1158" s="3" t="str">
        <f aca="false">'1. Raw Data'!A1157</f>
        <v>EMP-1156</v>
      </c>
      <c r="B1158" s="3" t="n">
        <f aca="false">'1. Raw Data'!B1157</f>
        <v>40</v>
      </c>
      <c r="C1158" s="3" t="str">
        <f aca="false">'1. Raw Data'!C1157</f>
        <v>Engineering</v>
      </c>
      <c r="D1158" s="3" t="str">
        <f aca="false">'1. Raw Data'!D1157</f>
        <v>Senior</v>
      </c>
      <c r="E1158" s="3" t="str">
        <f aca="false">'1. Raw Data'!E1157</f>
        <v>Marketing</v>
      </c>
      <c r="F1158" s="3" t="n">
        <f aca="false">'1. Raw Data'!F1157</f>
        <v>0.7</v>
      </c>
      <c r="G1158" s="3" t="n">
        <f aca="false">IF('1. Raw Data'!G1157="",ROUND(IFERROR(AVERAGEIFS('1. Raw Data'!G2:G1201,'1. Raw Data'!C2:C1201,'1. Raw Data'!C1157,'1. Raw Data'!D2:D1201,'1. Raw Data'!D1157),0),2),'1. Raw Data'!G1157)</f>
        <v>7029.37</v>
      </c>
      <c r="H1158" s="3" t="str">
        <f aca="false">PROPER('1. Raw Data'!H1157)</f>
        <v>No</v>
      </c>
      <c r="I1158" s="3" t="n">
        <f aca="false">'1. Raw Data'!I1157</f>
        <v>4</v>
      </c>
      <c r="J1158" s="3" t="n">
        <f aca="false">'1. Raw Data'!J1157</f>
        <v>2</v>
      </c>
      <c r="K1158" s="3" t="n">
        <f aca="false">'1. Raw Data'!K1157</f>
        <v>6</v>
      </c>
      <c r="L1158" s="3" t="n">
        <f aca="false">'1. Raw Data'!L1157</f>
        <v>0</v>
      </c>
      <c r="M1158" s="3" t="n">
        <f aca="false">'1. Raw Data'!M1157</f>
        <v>4</v>
      </c>
      <c r="N1158" s="3" t="str">
        <f aca="false">'1. Raw Data'!N1157</f>
        <v>No</v>
      </c>
    </row>
    <row r="1159" customFormat="false" ht="15" hidden="false" customHeight="false" outlineLevel="0" collapsed="false">
      <c r="A1159" s="3" t="str">
        <f aca="false">'1. Raw Data'!A1158</f>
        <v>EMP-1157</v>
      </c>
      <c r="B1159" s="3" t="n">
        <f aca="false">'1. Raw Data'!B1158</f>
        <v>38</v>
      </c>
      <c r="C1159" s="3" t="str">
        <f aca="false">'1. Raw Data'!C1158</f>
        <v>HR</v>
      </c>
      <c r="D1159" s="3" t="str">
        <f aca="false">'1. Raw Data'!D1158</f>
        <v>Mid</v>
      </c>
      <c r="E1159" s="3" t="str">
        <f aca="false">'1. Raw Data'!E1158</f>
        <v>Business</v>
      </c>
      <c r="F1159" s="3" t="n">
        <f aca="false">'1. Raw Data'!F1158</f>
        <v>5.3</v>
      </c>
      <c r="G1159" s="3" t="n">
        <f aca="false">IF('1. Raw Data'!G1158="",ROUND(IFERROR(AVERAGEIFS('1. Raw Data'!G2:G1201,'1. Raw Data'!C2:C1201,'1. Raw Data'!C1158,'1. Raw Data'!D2:D1201,'1. Raw Data'!D1158),0),2),'1. Raw Data'!G1158)</f>
        <v>4247.04</v>
      </c>
      <c r="H1159" s="3" t="str">
        <f aca="false">PROPER('1. Raw Data'!H1158)</f>
        <v>No</v>
      </c>
      <c r="I1159" s="3" t="n">
        <f aca="false">'1. Raw Data'!I1158</f>
        <v>4</v>
      </c>
      <c r="J1159" s="3" t="n">
        <f aca="false">'1. Raw Data'!J1158</f>
        <v>4</v>
      </c>
      <c r="K1159" s="3" t="n">
        <f aca="false">'1. Raw Data'!K1158</f>
        <v>3</v>
      </c>
      <c r="L1159" s="3" t="n">
        <f aca="false">'1. Raw Data'!L1158</f>
        <v>5</v>
      </c>
      <c r="M1159" s="3" t="n">
        <f aca="false">'1. Raw Data'!M1158</f>
        <v>2</v>
      </c>
      <c r="N1159" s="3" t="str">
        <f aca="false">'1. Raw Data'!N1158</f>
        <v>No</v>
      </c>
    </row>
    <row r="1160" customFormat="false" ht="15" hidden="false" customHeight="false" outlineLevel="0" collapsed="false">
      <c r="A1160" s="3" t="str">
        <f aca="false">'1. Raw Data'!A1159</f>
        <v>EMP-1158</v>
      </c>
      <c r="B1160" s="3" t="n">
        <f aca="false">'1. Raw Data'!B1159</f>
        <v>39</v>
      </c>
      <c r="C1160" s="3" t="str">
        <f aca="false">'1. Raw Data'!C1159</f>
        <v>Sales</v>
      </c>
      <c r="D1160" s="3" t="str">
        <f aca="false">'1. Raw Data'!D1159</f>
        <v>Senior</v>
      </c>
      <c r="E1160" s="3" t="str">
        <f aca="false">'1. Raw Data'!E1159</f>
        <v>Marketing</v>
      </c>
      <c r="F1160" s="3" t="n">
        <f aca="false">'1. Raw Data'!F1159</f>
        <v>3.5</v>
      </c>
      <c r="G1160" s="3" t="n">
        <f aca="false">IF('1. Raw Data'!G1159="",ROUND(IFERROR(AVERAGEIFS('1. Raw Data'!G2:G1201,'1. Raw Data'!C2:C1201,'1. Raw Data'!C1159,'1. Raw Data'!D2:D1201,'1. Raw Data'!D1159),0),2),'1. Raw Data'!G1159)</f>
        <v>8244.19</v>
      </c>
      <c r="H1160" s="3" t="str">
        <f aca="false">PROPER('1. Raw Data'!H1159)</f>
        <v>No</v>
      </c>
      <c r="I1160" s="3" t="n">
        <f aca="false">'1. Raw Data'!I1159</f>
        <v>1</v>
      </c>
      <c r="J1160" s="3" t="n">
        <f aca="false">'1. Raw Data'!J1159</f>
        <v>3</v>
      </c>
      <c r="K1160" s="3" t="n">
        <f aca="false">'1. Raw Data'!K1159</f>
        <v>3</v>
      </c>
      <c r="L1160" s="3" t="n">
        <f aca="false">'1. Raw Data'!L1159</f>
        <v>2</v>
      </c>
      <c r="M1160" s="3" t="n">
        <f aca="false">'1. Raw Data'!M1159</f>
        <v>0</v>
      </c>
      <c r="N1160" s="3" t="str">
        <f aca="false">'1. Raw Data'!N1159</f>
        <v>Yes</v>
      </c>
    </row>
    <row r="1161" customFormat="false" ht="15" hidden="false" customHeight="false" outlineLevel="0" collapsed="false">
      <c r="A1161" s="3" t="str">
        <f aca="false">'1. Raw Data'!A1160</f>
        <v>EMP-1159</v>
      </c>
      <c r="B1161" s="3" t="n">
        <f aca="false">'1. Raw Data'!B1160</f>
        <v>47</v>
      </c>
      <c r="C1161" s="3" t="str">
        <f aca="false">'1. Raw Data'!C1160</f>
        <v>Finance</v>
      </c>
      <c r="D1161" s="3" t="str">
        <f aca="false">'1. Raw Data'!D1160</f>
        <v>Senior</v>
      </c>
      <c r="E1161" s="3" t="str">
        <f aca="false">'1. Raw Data'!E1160</f>
        <v>Technical</v>
      </c>
      <c r="F1161" s="3" t="n">
        <f aca="false">'1. Raw Data'!F1160</f>
        <v>0.2</v>
      </c>
      <c r="G1161" s="3" t="n">
        <f aca="false">IF('1. Raw Data'!G1160="",ROUND(IFERROR(AVERAGEIFS('1. Raw Data'!G2:G1201,'1. Raw Data'!C2:C1201,'1. Raw Data'!C1160,'1. Raw Data'!D2:D1201,'1. Raw Data'!D1160),0),2),'1. Raw Data'!G1160)</f>
        <v>6757.23</v>
      </c>
      <c r="H1161" s="3" t="str">
        <f aca="false">PROPER('1. Raw Data'!H1160)</f>
        <v>No</v>
      </c>
      <c r="I1161" s="3" t="n">
        <f aca="false">'1. Raw Data'!I1160</f>
        <v>2</v>
      </c>
      <c r="J1161" s="3" t="n">
        <f aca="false">'1. Raw Data'!J1160</f>
        <v>3</v>
      </c>
      <c r="K1161" s="3" t="n">
        <f aca="false">'1. Raw Data'!K1160</f>
        <v>25</v>
      </c>
      <c r="L1161" s="3" t="n">
        <f aca="false">'1. Raw Data'!L1160</f>
        <v>0</v>
      </c>
      <c r="M1161" s="3" t="n">
        <f aca="false">'1. Raw Data'!M1160</f>
        <v>4</v>
      </c>
      <c r="N1161" s="3" t="str">
        <f aca="false">'1. Raw Data'!N1160</f>
        <v>No</v>
      </c>
    </row>
    <row r="1162" customFormat="false" ht="15" hidden="false" customHeight="false" outlineLevel="0" collapsed="false">
      <c r="A1162" s="3" t="str">
        <f aca="false">'1. Raw Data'!A1161</f>
        <v>EMP-1160</v>
      </c>
      <c r="B1162" s="3" t="n">
        <f aca="false">'1. Raw Data'!B1161</f>
        <v>42</v>
      </c>
      <c r="C1162" s="3" t="str">
        <f aca="false">'1. Raw Data'!C1161</f>
        <v>Sales</v>
      </c>
      <c r="D1162" s="3" t="str">
        <f aca="false">'1. Raw Data'!D1161</f>
        <v>Mid</v>
      </c>
      <c r="E1162" s="3" t="str">
        <f aca="false">'1. Raw Data'!E1161</f>
        <v>Technical</v>
      </c>
      <c r="F1162" s="3" t="n">
        <f aca="false">'1. Raw Data'!F1161</f>
        <v>1.9</v>
      </c>
      <c r="G1162" s="3" t="n">
        <f aca="false">IF('1. Raw Data'!G1161="",ROUND(IFERROR(AVERAGEIFS('1. Raw Data'!G2:G1201,'1. Raw Data'!C2:C1201,'1. Raw Data'!C1161,'1. Raw Data'!D2:D1201,'1. Raw Data'!D1161),0),2),'1. Raw Data'!G1161)</f>
        <v>5327.27</v>
      </c>
      <c r="H1162" s="3" t="str">
        <f aca="false">PROPER('1. Raw Data'!H1161)</f>
        <v>No</v>
      </c>
      <c r="I1162" s="3" t="n">
        <f aca="false">'1. Raw Data'!I1161</f>
        <v>4</v>
      </c>
      <c r="J1162" s="3" t="n">
        <f aca="false">'1. Raw Data'!J1161</f>
        <v>1</v>
      </c>
      <c r="K1162" s="3" t="n">
        <f aca="false">'1. Raw Data'!K1161</f>
        <v>21</v>
      </c>
      <c r="L1162" s="3" t="n">
        <f aca="false">'1. Raw Data'!L1161</f>
        <v>0</v>
      </c>
      <c r="M1162" s="3" t="n">
        <f aca="false">'1. Raw Data'!M1161</f>
        <v>1</v>
      </c>
      <c r="N1162" s="3" t="str">
        <f aca="false">'1. Raw Data'!N1161</f>
        <v>No</v>
      </c>
    </row>
    <row r="1163" customFormat="false" ht="15" hidden="false" customHeight="false" outlineLevel="0" collapsed="false">
      <c r="A1163" s="3" t="str">
        <f aca="false">'1. Raw Data'!A1162</f>
        <v>EMP-1161</v>
      </c>
      <c r="B1163" s="3" t="n">
        <f aca="false">'1. Raw Data'!B1162</f>
        <v>27</v>
      </c>
      <c r="C1163" s="3" t="str">
        <f aca="false">'1. Raw Data'!C1162</f>
        <v>Marketing</v>
      </c>
      <c r="D1163" s="3" t="str">
        <f aca="false">'1. Raw Data'!D1162</f>
        <v>Mid</v>
      </c>
      <c r="E1163" s="3" t="str">
        <f aca="false">'1. Raw Data'!E1162</f>
        <v>Business</v>
      </c>
      <c r="F1163" s="3" t="n">
        <f aca="false">'1. Raw Data'!F1162</f>
        <v>4.7</v>
      </c>
      <c r="G1163" s="3" t="n">
        <f aca="false">IF('1. Raw Data'!G1162="",ROUND(IFERROR(AVERAGEIFS('1. Raw Data'!G2:G1201,'1. Raw Data'!C2:C1201,'1. Raw Data'!C1162,'1. Raw Data'!D2:D1201,'1. Raw Data'!D1162),0),2),'1. Raw Data'!G1162)</f>
        <v>4156.89</v>
      </c>
      <c r="H1163" s="3" t="str">
        <f aca="false">PROPER('1. Raw Data'!H1162)</f>
        <v>No</v>
      </c>
      <c r="I1163" s="3" t="n">
        <f aca="false">'1. Raw Data'!I1162</f>
        <v>2</v>
      </c>
      <c r="J1163" s="3" t="n">
        <f aca="false">'1. Raw Data'!J1162</f>
        <v>4</v>
      </c>
      <c r="K1163" s="3" t="n">
        <f aca="false">'1. Raw Data'!K1162</f>
        <v>18</v>
      </c>
      <c r="L1163" s="3" t="n">
        <f aca="false">'1. Raw Data'!L1162</f>
        <v>1</v>
      </c>
      <c r="M1163" s="3" t="n">
        <f aca="false">'1. Raw Data'!M1162</f>
        <v>3</v>
      </c>
      <c r="N1163" s="3" t="str">
        <f aca="false">'1. Raw Data'!N1162</f>
        <v>No</v>
      </c>
    </row>
    <row r="1164" customFormat="false" ht="15" hidden="false" customHeight="false" outlineLevel="0" collapsed="false">
      <c r="A1164" s="3" t="str">
        <f aca="false">'1. Raw Data'!A1163</f>
        <v>EMP-1162</v>
      </c>
      <c r="B1164" s="3" t="n">
        <f aca="false">'1. Raw Data'!B1163</f>
        <v>27</v>
      </c>
      <c r="C1164" s="3" t="str">
        <f aca="false">'1. Raw Data'!C1163</f>
        <v>Engineering</v>
      </c>
      <c r="D1164" s="3" t="str">
        <f aca="false">'1. Raw Data'!D1163</f>
        <v>Senior</v>
      </c>
      <c r="E1164" s="3" t="str">
        <f aca="false">'1. Raw Data'!E1163</f>
        <v>Marketing</v>
      </c>
      <c r="F1164" s="3" t="n">
        <f aca="false">'1. Raw Data'!F1163</f>
        <v>2.7</v>
      </c>
      <c r="G1164" s="3" t="n">
        <f aca="false">IF('1. Raw Data'!G1163="",ROUND(IFERROR(AVERAGEIFS('1. Raw Data'!G2:G1201,'1. Raw Data'!C2:C1201,'1. Raw Data'!C1163,'1. Raw Data'!D2:D1201,'1. Raw Data'!D1163),0),2),'1. Raw Data'!G1163)</f>
        <v>6477.97</v>
      </c>
      <c r="H1164" s="3" t="str">
        <f aca="false">PROPER('1. Raw Data'!H1163)</f>
        <v>Yes</v>
      </c>
      <c r="I1164" s="3" t="n">
        <f aca="false">'1. Raw Data'!I1163</f>
        <v>3</v>
      </c>
      <c r="J1164" s="3" t="n">
        <f aca="false">'1. Raw Data'!J1163</f>
        <v>4</v>
      </c>
      <c r="K1164" s="3" t="n">
        <f aca="false">'1. Raw Data'!K1163</f>
        <v>3</v>
      </c>
      <c r="L1164" s="3" t="n">
        <f aca="false">'1. Raw Data'!L1163</f>
        <v>0</v>
      </c>
      <c r="M1164" s="3" t="n">
        <f aca="false">'1. Raw Data'!M1163</f>
        <v>1</v>
      </c>
      <c r="N1164" s="3" t="str">
        <f aca="false">'1. Raw Data'!N1163</f>
        <v>No</v>
      </c>
    </row>
    <row r="1165" customFormat="false" ht="15" hidden="false" customHeight="false" outlineLevel="0" collapsed="false">
      <c r="A1165" s="3" t="str">
        <f aca="false">'1. Raw Data'!A1164</f>
        <v>EMP-1163</v>
      </c>
      <c r="B1165" s="3" t="n">
        <f aca="false">'1. Raw Data'!B1164</f>
        <v>35</v>
      </c>
      <c r="C1165" s="3" t="str">
        <f aca="false">'1. Raw Data'!C1164</f>
        <v>Finance</v>
      </c>
      <c r="D1165" s="3" t="str">
        <f aca="false">'1. Raw Data'!D1164</f>
        <v>Mid</v>
      </c>
      <c r="E1165" s="3" t="str">
        <f aca="false">'1. Raw Data'!E1164</f>
        <v>Business</v>
      </c>
      <c r="F1165" s="3" t="n">
        <f aca="false">'1. Raw Data'!F1164</f>
        <v>5.4</v>
      </c>
      <c r="G1165" s="3" t="n">
        <f aca="false">IF('1. Raw Data'!G1164="",ROUND(IFERROR(AVERAGEIFS('1. Raw Data'!G2:G1201,'1. Raw Data'!C2:C1201,'1. Raw Data'!C1164,'1. Raw Data'!D2:D1201,'1. Raw Data'!D1164),0),2),'1. Raw Data'!G1164)</f>
        <v>4614.07</v>
      </c>
      <c r="H1165" s="3" t="str">
        <f aca="false">PROPER('1. Raw Data'!H1164)</f>
        <v>No</v>
      </c>
      <c r="I1165" s="3" t="n">
        <f aca="false">'1. Raw Data'!I1164</f>
        <v>3</v>
      </c>
      <c r="J1165" s="3" t="n">
        <f aca="false">'1. Raw Data'!J1164</f>
        <v>3</v>
      </c>
      <c r="K1165" s="3" t="n">
        <f aca="false">'1. Raw Data'!K1164</f>
        <v>9</v>
      </c>
      <c r="L1165" s="3" t="n">
        <f aca="false">'1. Raw Data'!L1164</f>
        <v>3</v>
      </c>
      <c r="M1165" s="3" t="n">
        <f aca="false">'1. Raw Data'!M1164</f>
        <v>3</v>
      </c>
      <c r="N1165" s="3" t="str">
        <f aca="false">'1. Raw Data'!N1164</f>
        <v>No</v>
      </c>
    </row>
    <row r="1166" customFormat="false" ht="15" hidden="false" customHeight="false" outlineLevel="0" collapsed="false">
      <c r="A1166" s="3" t="str">
        <f aca="false">'1. Raw Data'!A1165</f>
        <v>EMP-1164</v>
      </c>
      <c r="B1166" s="3" t="n">
        <f aca="false">'1. Raw Data'!B1165</f>
        <v>46</v>
      </c>
      <c r="C1166" s="3" t="str">
        <f aca="false">'1. Raw Data'!C1165</f>
        <v>Sales</v>
      </c>
      <c r="D1166" s="3" t="str">
        <f aca="false">'1. Raw Data'!D1165</f>
        <v>Mid</v>
      </c>
      <c r="E1166" s="3" t="str">
        <f aca="false">'1. Raw Data'!E1165</f>
        <v>Marketing</v>
      </c>
      <c r="F1166" s="3" t="n">
        <f aca="false">'1. Raw Data'!F1165</f>
        <v>1.6</v>
      </c>
      <c r="G1166" s="3" t="n">
        <f aca="false">IF('1. Raw Data'!G1165="",ROUND(IFERROR(AVERAGEIFS('1. Raw Data'!G2:G1201,'1. Raw Data'!C2:C1201,'1. Raw Data'!C1165,'1. Raw Data'!D2:D1201,'1. Raw Data'!D1165),0),2),'1. Raw Data'!G1165)</f>
        <v>4277.43</v>
      </c>
      <c r="H1166" s="3" t="str">
        <f aca="false">PROPER('1. Raw Data'!H1165)</f>
        <v>No</v>
      </c>
      <c r="I1166" s="3" t="n">
        <f aca="false">'1. Raw Data'!I1165</f>
        <v>4</v>
      </c>
      <c r="J1166" s="3" t="n">
        <f aca="false">'1. Raw Data'!J1165</f>
        <v>4</v>
      </c>
      <c r="K1166" s="3" t="n">
        <f aca="false">'1. Raw Data'!K1165</f>
        <v>1</v>
      </c>
      <c r="L1166" s="3" t="n">
        <f aca="false">'1. Raw Data'!L1165</f>
        <v>1</v>
      </c>
      <c r="M1166" s="3" t="n">
        <f aca="false">'1. Raw Data'!M1165</f>
        <v>0</v>
      </c>
      <c r="N1166" s="3" t="str">
        <f aca="false">'1. Raw Data'!N1165</f>
        <v>No</v>
      </c>
    </row>
    <row r="1167" customFormat="false" ht="15" hidden="false" customHeight="false" outlineLevel="0" collapsed="false">
      <c r="A1167" s="3" t="str">
        <f aca="false">'1. Raw Data'!A1166</f>
        <v>EMP-1165</v>
      </c>
      <c r="B1167" s="3" t="n">
        <f aca="false">'1. Raw Data'!B1166</f>
        <v>35</v>
      </c>
      <c r="C1167" s="3" t="str">
        <f aca="false">'1. Raw Data'!C1166</f>
        <v>Customer Support</v>
      </c>
      <c r="D1167" s="3" t="str">
        <f aca="false">'1. Raw Data'!D1166</f>
        <v>Senior</v>
      </c>
      <c r="E1167" s="3" t="str">
        <f aca="false">'1. Raw Data'!E1166</f>
        <v>Other</v>
      </c>
      <c r="F1167" s="3" t="n">
        <f aca="false">'1. Raw Data'!F1166</f>
        <v>0.7</v>
      </c>
      <c r="G1167" s="3" t="n">
        <f aca="false">IF('1. Raw Data'!G1166="",ROUND(IFERROR(AVERAGEIFS('1. Raw Data'!G2:G1201,'1. Raw Data'!C2:C1201,'1. Raw Data'!C1166,'1. Raw Data'!D2:D1201,'1. Raw Data'!D1166),0),2),'1. Raw Data'!G1166)</f>
        <v>7295.87</v>
      </c>
      <c r="H1167" s="3" t="str">
        <f aca="false">PROPER('1. Raw Data'!H1166)</f>
        <v>No</v>
      </c>
      <c r="I1167" s="3" t="n">
        <f aca="false">'1. Raw Data'!I1166</f>
        <v>4</v>
      </c>
      <c r="J1167" s="3" t="n">
        <f aca="false">'1. Raw Data'!J1166</f>
        <v>3</v>
      </c>
      <c r="K1167" s="3" t="n">
        <f aca="false">'1. Raw Data'!K1166</f>
        <v>18</v>
      </c>
      <c r="L1167" s="3" t="n">
        <f aca="false">'1. Raw Data'!L1166</f>
        <v>0</v>
      </c>
      <c r="M1167" s="3" t="n">
        <f aca="false">'1. Raw Data'!M1166</f>
        <v>5</v>
      </c>
      <c r="N1167" s="3" t="str">
        <f aca="false">'1. Raw Data'!N1166</f>
        <v>No</v>
      </c>
    </row>
    <row r="1168" customFormat="false" ht="15" hidden="false" customHeight="false" outlineLevel="0" collapsed="false">
      <c r="A1168" s="3" t="str">
        <f aca="false">'1. Raw Data'!A1167</f>
        <v>EMP-1166</v>
      </c>
      <c r="B1168" s="3" t="n">
        <f aca="false">'1. Raw Data'!B1167</f>
        <v>32</v>
      </c>
      <c r="C1168" s="3" t="str">
        <f aca="false">'1. Raw Data'!C1167</f>
        <v>Finance</v>
      </c>
      <c r="D1168" s="3" t="str">
        <f aca="false">'1. Raw Data'!D1167</f>
        <v>Junior</v>
      </c>
      <c r="E1168" s="3" t="str">
        <f aca="false">'1. Raw Data'!E1167</f>
        <v>Other</v>
      </c>
      <c r="F1168" s="3" t="n">
        <f aca="false">'1. Raw Data'!F1167</f>
        <v>3.3</v>
      </c>
      <c r="G1168" s="3" t="n">
        <f aca="false">IF('1. Raw Data'!G1167="",ROUND(IFERROR(AVERAGEIFS('1. Raw Data'!G2:G1201,'1. Raw Data'!C2:C1201,'1. Raw Data'!C1167,'1. Raw Data'!D2:D1201,'1. Raw Data'!D1167),0),2),'1. Raw Data'!G1167)</f>
        <v>2823.41</v>
      </c>
      <c r="H1168" s="3" t="str">
        <f aca="false">PROPER('1. Raw Data'!H1167)</f>
        <v>Yes</v>
      </c>
      <c r="I1168" s="3" t="n">
        <f aca="false">'1. Raw Data'!I1167</f>
        <v>3</v>
      </c>
      <c r="J1168" s="3" t="n">
        <f aca="false">'1. Raw Data'!J1167</f>
        <v>3</v>
      </c>
      <c r="K1168" s="3" t="n">
        <f aca="false">'1. Raw Data'!K1167</f>
        <v>15</v>
      </c>
      <c r="L1168" s="3" t="n">
        <f aca="false">'1. Raw Data'!L1167</f>
        <v>0</v>
      </c>
      <c r="M1168" s="3" t="n">
        <f aca="false">'1. Raw Data'!M1167</f>
        <v>2</v>
      </c>
      <c r="N1168" s="3" t="str">
        <f aca="false">'1. Raw Data'!N1167</f>
        <v>No</v>
      </c>
    </row>
    <row r="1169" customFormat="false" ht="15" hidden="false" customHeight="false" outlineLevel="0" collapsed="false">
      <c r="A1169" s="3" t="str">
        <f aca="false">'1. Raw Data'!A1168</f>
        <v>EMP-1167</v>
      </c>
      <c r="B1169" s="3" t="n">
        <f aca="false">'1. Raw Data'!B1168</f>
        <v>40</v>
      </c>
      <c r="C1169" s="3" t="str">
        <f aca="false">'1. Raw Data'!C1168</f>
        <v>Customer Support</v>
      </c>
      <c r="D1169" s="3" t="str">
        <f aca="false">'1. Raw Data'!D1168</f>
        <v>Lead</v>
      </c>
      <c r="E1169" s="3" t="str">
        <f aca="false">'1. Raw Data'!E1168</f>
        <v>Other</v>
      </c>
      <c r="F1169" s="3" t="n">
        <f aca="false">'1. Raw Data'!F1168</f>
        <v>0.6</v>
      </c>
      <c r="G1169" s="3" t="n">
        <f aca="false">IF('1. Raw Data'!G1168="",ROUND(IFERROR(AVERAGEIFS('1. Raw Data'!G2:G1201,'1. Raw Data'!C2:C1201,'1. Raw Data'!C1168,'1. Raw Data'!D2:D1201,'1. Raw Data'!D1168),0),2),'1. Raw Data'!G1168)</f>
        <v>10986.14</v>
      </c>
      <c r="H1169" s="3" t="str">
        <f aca="false">PROPER('1. Raw Data'!H1168)</f>
        <v>Yes</v>
      </c>
      <c r="I1169" s="3" t="n">
        <f aca="false">'1. Raw Data'!I1168</f>
        <v>3</v>
      </c>
      <c r="J1169" s="3" t="n">
        <f aca="false">'1. Raw Data'!J1168</f>
        <v>2</v>
      </c>
      <c r="K1169" s="3" t="n">
        <f aca="false">'1. Raw Data'!K1168</f>
        <v>4</v>
      </c>
      <c r="L1169" s="3" t="n">
        <f aca="false">'1. Raw Data'!L1168</f>
        <v>0</v>
      </c>
      <c r="M1169" s="3" t="n">
        <f aca="false">'1. Raw Data'!M1168</f>
        <v>2</v>
      </c>
      <c r="N1169" s="3" t="str">
        <f aca="false">'1. Raw Data'!N1168</f>
        <v>No</v>
      </c>
    </row>
    <row r="1170" customFormat="false" ht="15" hidden="false" customHeight="false" outlineLevel="0" collapsed="false">
      <c r="A1170" s="3" t="str">
        <f aca="false">'1. Raw Data'!A1169</f>
        <v>EMP-1168</v>
      </c>
      <c r="B1170" s="3" t="n">
        <f aca="false">'1. Raw Data'!B1169</f>
        <v>22</v>
      </c>
      <c r="C1170" s="3" t="str">
        <f aca="false">'1. Raw Data'!C1169</f>
        <v>Engineering</v>
      </c>
      <c r="D1170" s="3" t="str">
        <f aca="false">'1. Raw Data'!D1169</f>
        <v>Mid</v>
      </c>
      <c r="E1170" s="3" t="str">
        <f aca="false">'1. Raw Data'!E1169</f>
        <v>Other</v>
      </c>
      <c r="F1170" s="3" t="n">
        <f aca="false">'1. Raw Data'!F1169</f>
        <v>1</v>
      </c>
      <c r="G1170" s="3" t="n">
        <f aca="false">IF('1. Raw Data'!G1169="",ROUND(IFERROR(AVERAGEIFS('1. Raw Data'!G2:G1201,'1. Raw Data'!C2:C1201,'1. Raw Data'!C1169,'1. Raw Data'!D2:D1201,'1. Raw Data'!D1169),0),2),'1. Raw Data'!G1169)</f>
        <v>5672.41</v>
      </c>
      <c r="H1170" s="3" t="str">
        <f aca="false">PROPER('1. Raw Data'!H1169)</f>
        <v>Yes</v>
      </c>
      <c r="I1170" s="3" t="n">
        <f aca="false">'1. Raw Data'!I1169</f>
        <v>4</v>
      </c>
      <c r="J1170" s="3" t="n">
        <f aca="false">'1. Raw Data'!J1169</f>
        <v>3</v>
      </c>
      <c r="K1170" s="3" t="n">
        <f aca="false">'1. Raw Data'!K1169</f>
        <v>5</v>
      </c>
      <c r="L1170" s="3" t="n">
        <f aca="false">'1. Raw Data'!L1169</f>
        <v>0</v>
      </c>
      <c r="M1170" s="3" t="n">
        <f aca="false">'1. Raw Data'!M1169</f>
        <v>0</v>
      </c>
      <c r="N1170" s="3" t="str">
        <f aca="false">'1. Raw Data'!N1169</f>
        <v>Yes</v>
      </c>
    </row>
    <row r="1171" customFormat="false" ht="15" hidden="false" customHeight="false" outlineLevel="0" collapsed="false">
      <c r="A1171" s="3" t="str">
        <f aca="false">'1. Raw Data'!A1170</f>
        <v>EMP-1169</v>
      </c>
      <c r="B1171" s="3" t="n">
        <f aca="false">'1. Raw Data'!B1170</f>
        <v>38</v>
      </c>
      <c r="C1171" s="3" t="str">
        <f aca="false">'1. Raw Data'!C1170</f>
        <v>Sales</v>
      </c>
      <c r="D1171" s="3" t="str">
        <f aca="false">'1. Raw Data'!D1170</f>
        <v>Mid</v>
      </c>
      <c r="E1171" s="3" t="str">
        <f aca="false">'1. Raw Data'!E1170</f>
        <v>Business</v>
      </c>
      <c r="F1171" s="3" t="n">
        <f aca="false">'1. Raw Data'!F1170</f>
        <v>2.5</v>
      </c>
      <c r="G1171" s="3" t="n">
        <f aca="false">IF('1. Raw Data'!G1170="",ROUND(IFERROR(AVERAGEIFS('1. Raw Data'!G2:G1201,'1. Raw Data'!C2:C1201,'1. Raw Data'!C1170,'1. Raw Data'!D2:D1201,'1. Raw Data'!D1170),0),2),'1. Raw Data'!G1170)</f>
        <v>5556.86</v>
      </c>
      <c r="H1171" s="3" t="str">
        <f aca="false">PROPER('1. Raw Data'!H1170)</f>
        <v>Yes</v>
      </c>
      <c r="I1171" s="3" t="n">
        <f aca="false">'1. Raw Data'!I1170</f>
        <v>2</v>
      </c>
      <c r="J1171" s="3" t="n">
        <f aca="false">'1. Raw Data'!J1170</f>
        <v>3</v>
      </c>
      <c r="K1171" s="3" t="n">
        <f aca="false">'1. Raw Data'!K1170</f>
        <v>13</v>
      </c>
      <c r="L1171" s="3" t="n">
        <f aca="false">'1. Raw Data'!L1170</f>
        <v>0</v>
      </c>
      <c r="M1171" s="3" t="n">
        <f aca="false">'1. Raw Data'!M1170</f>
        <v>2</v>
      </c>
      <c r="N1171" s="3" t="str">
        <f aca="false">'1. Raw Data'!N1170</f>
        <v>No</v>
      </c>
    </row>
    <row r="1172" customFormat="false" ht="15" hidden="false" customHeight="false" outlineLevel="0" collapsed="false">
      <c r="A1172" s="3" t="str">
        <f aca="false">'1. Raw Data'!A1171</f>
        <v>EMP-1170</v>
      </c>
      <c r="B1172" s="3" t="n">
        <f aca="false">'1. Raw Data'!B1171</f>
        <v>32</v>
      </c>
      <c r="C1172" s="3" t="str">
        <f aca="false">'1. Raw Data'!C1171</f>
        <v>Engineering</v>
      </c>
      <c r="D1172" s="3" t="str">
        <f aca="false">'1. Raw Data'!D1171</f>
        <v>Senior</v>
      </c>
      <c r="E1172" s="3" t="str">
        <f aca="false">'1. Raw Data'!E1171</f>
        <v>Business</v>
      </c>
      <c r="F1172" s="3" t="n">
        <f aca="false">'1. Raw Data'!F1171</f>
        <v>3.2</v>
      </c>
      <c r="G1172" s="3" t="n">
        <f aca="false">IF('1. Raw Data'!G1171="",ROUND(IFERROR(AVERAGEIFS('1. Raw Data'!G2:G1201,'1. Raw Data'!C2:C1201,'1. Raw Data'!C1171,'1. Raw Data'!D2:D1201,'1. Raw Data'!D1171),0),2),'1. Raw Data'!G1171)</f>
        <v>7754.85</v>
      </c>
      <c r="H1172" s="3" t="str">
        <f aca="false">PROPER('1. Raw Data'!H1171)</f>
        <v>No</v>
      </c>
      <c r="I1172" s="3" t="n">
        <f aca="false">'1. Raw Data'!I1171</f>
        <v>4</v>
      </c>
      <c r="J1172" s="3" t="n">
        <f aca="false">'1. Raw Data'!J1171</f>
        <v>4</v>
      </c>
      <c r="K1172" s="3" t="n">
        <f aca="false">'1. Raw Data'!K1171</f>
        <v>1</v>
      </c>
      <c r="L1172" s="3" t="n">
        <f aca="false">'1. Raw Data'!L1171</f>
        <v>1</v>
      </c>
      <c r="M1172" s="3" t="n">
        <f aca="false">'1. Raw Data'!M1171</f>
        <v>2</v>
      </c>
      <c r="N1172" s="3" t="str">
        <f aca="false">'1. Raw Data'!N1171</f>
        <v>No</v>
      </c>
    </row>
    <row r="1173" customFormat="false" ht="15" hidden="false" customHeight="false" outlineLevel="0" collapsed="false">
      <c r="A1173" s="3" t="str">
        <f aca="false">'1. Raw Data'!A1172</f>
        <v>EMP-1171</v>
      </c>
      <c r="B1173" s="3" t="n">
        <f aca="false">'1. Raw Data'!B1172</f>
        <v>42</v>
      </c>
      <c r="C1173" s="3" t="str">
        <f aca="false">'1. Raw Data'!C1172</f>
        <v>Engineering</v>
      </c>
      <c r="D1173" s="3" t="str">
        <f aca="false">'1. Raw Data'!D1172</f>
        <v>Junior</v>
      </c>
      <c r="E1173" s="3" t="str">
        <f aca="false">'1. Raw Data'!E1172</f>
        <v>Marketing</v>
      </c>
      <c r="F1173" s="3" t="n">
        <f aca="false">'1. Raw Data'!F1172</f>
        <v>0.3</v>
      </c>
      <c r="G1173" s="3" t="n">
        <f aca="false">IF('1. Raw Data'!G1172="",ROUND(IFERROR(AVERAGEIFS('1. Raw Data'!G2:G1201,'1. Raw Data'!C2:C1201,'1. Raw Data'!C1172,'1. Raw Data'!D2:D1201,'1. Raw Data'!D1172),0),2),'1. Raw Data'!G1172)</f>
        <v>2917.68</v>
      </c>
      <c r="H1173" s="3" t="str">
        <f aca="false">PROPER('1. Raw Data'!H1172)</f>
        <v>No</v>
      </c>
      <c r="I1173" s="3" t="n">
        <f aca="false">'1. Raw Data'!I1172</f>
        <v>3</v>
      </c>
      <c r="J1173" s="3" t="n">
        <f aca="false">'1. Raw Data'!J1172</f>
        <v>3</v>
      </c>
      <c r="K1173" s="3" t="n">
        <f aca="false">'1. Raw Data'!K1172</f>
        <v>2</v>
      </c>
      <c r="L1173" s="3" t="n">
        <f aca="false">'1. Raw Data'!L1172</f>
        <v>0</v>
      </c>
      <c r="M1173" s="3" t="n">
        <f aca="false">'1. Raw Data'!M1172</f>
        <v>2</v>
      </c>
      <c r="N1173" s="3" t="str">
        <f aca="false">'1. Raw Data'!N1172</f>
        <v>No</v>
      </c>
    </row>
    <row r="1174" customFormat="false" ht="15" hidden="false" customHeight="false" outlineLevel="0" collapsed="false">
      <c r="A1174" s="3" t="str">
        <f aca="false">'1. Raw Data'!A1173</f>
        <v>EMP-1172</v>
      </c>
      <c r="B1174" s="3" t="n">
        <f aca="false">'1. Raw Data'!B1173</f>
        <v>35</v>
      </c>
      <c r="C1174" s="3" t="str">
        <f aca="false">'1. Raw Data'!C1173</f>
        <v>Sales</v>
      </c>
      <c r="D1174" s="3" t="str">
        <f aca="false">'1. Raw Data'!D1173</f>
        <v>Senior</v>
      </c>
      <c r="E1174" s="3" t="str">
        <f aca="false">'1. Raw Data'!E1173</f>
        <v>Other</v>
      </c>
      <c r="F1174" s="3" t="n">
        <f aca="false">'1. Raw Data'!F1173</f>
        <v>4.7</v>
      </c>
      <c r="G1174" s="3" t="n">
        <f aca="false">IF('1. Raw Data'!G1173="",ROUND(IFERROR(AVERAGEIFS('1. Raw Data'!G2:G1201,'1. Raw Data'!C2:C1201,'1. Raw Data'!C1173,'1. Raw Data'!D2:D1201,'1. Raw Data'!D1173),0),2),'1. Raw Data'!G1173)</f>
        <v>8419.38</v>
      </c>
      <c r="H1174" s="3" t="str">
        <f aca="false">PROPER('1. Raw Data'!H1173)</f>
        <v>No</v>
      </c>
      <c r="I1174" s="3" t="n">
        <f aca="false">'1. Raw Data'!I1173</f>
        <v>3</v>
      </c>
      <c r="J1174" s="3" t="n">
        <f aca="false">'1. Raw Data'!J1173</f>
        <v>1</v>
      </c>
      <c r="K1174" s="3" t="n">
        <f aca="false">'1. Raw Data'!K1173</f>
        <v>1</v>
      </c>
      <c r="L1174" s="3" t="n">
        <f aca="false">'1. Raw Data'!L1173</f>
        <v>0</v>
      </c>
      <c r="M1174" s="3" t="n">
        <f aca="false">'1. Raw Data'!M1173</f>
        <v>3</v>
      </c>
      <c r="N1174" s="3" t="str">
        <f aca="false">'1. Raw Data'!N1173</f>
        <v>No</v>
      </c>
    </row>
    <row r="1175" customFormat="false" ht="15" hidden="false" customHeight="false" outlineLevel="0" collapsed="false">
      <c r="A1175" s="3" t="str">
        <f aca="false">'1. Raw Data'!A1174</f>
        <v>EMP-1173</v>
      </c>
      <c r="B1175" s="3" t="n">
        <f aca="false">'1. Raw Data'!B1174</f>
        <v>30</v>
      </c>
      <c r="C1175" s="3" t="str">
        <f aca="false">'1. Raw Data'!C1174</f>
        <v>Customer Support</v>
      </c>
      <c r="D1175" s="3" t="str">
        <f aca="false">'1. Raw Data'!D1174</f>
        <v>Senior</v>
      </c>
      <c r="E1175" s="3" t="str">
        <f aca="false">'1. Raw Data'!E1174</f>
        <v>Business</v>
      </c>
      <c r="F1175" s="3" t="n">
        <f aca="false">'1. Raw Data'!F1174</f>
        <v>5.1</v>
      </c>
      <c r="G1175" s="3" t="n">
        <f aca="false">IF('1. Raw Data'!G1174="",ROUND(IFERROR(AVERAGEIFS('1. Raw Data'!G2:G1201,'1. Raw Data'!C2:C1201,'1. Raw Data'!C1174,'1. Raw Data'!D2:D1201,'1. Raw Data'!D1174),0),2),'1. Raw Data'!G1174)</f>
        <v>7665.62</v>
      </c>
      <c r="H1175" s="3" t="str">
        <f aca="false">PROPER('1. Raw Data'!H1174)</f>
        <v>No</v>
      </c>
      <c r="I1175" s="3" t="n">
        <f aca="false">'1. Raw Data'!I1174</f>
        <v>3</v>
      </c>
      <c r="J1175" s="3" t="n">
        <f aca="false">'1. Raw Data'!J1174</f>
        <v>3</v>
      </c>
      <c r="K1175" s="3" t="n">
        <f aca="false">'1. Raw Data'!K1174</f>
        <v>1</v>
      </c>
      <c r="L1175" s="3" t="n">
        <f aca="false">'1. Raw Data'!L1174</f>
        <v>1</v>
      </c>
      <c r="M1175" s="3" t="n">
        <f aca="false">'1. Raw Data'!M1174</f>
        <v>3</v>
      </c>
      <c r="N1175" s="3" t="str">
        <f aca="false">'1. Raw Data'!N1174</f>
        <v>No</v>
      </c>
    </row>
    <row r="1176" customFormat="false" ht="15" hidden="false" customHeight="false" outlineLevel="0" collapsed="false">
      <c r="A1176" s="3" t="str">
        <f aca="false">'1. Raw Data'!A1175</f>
        <v>EMP-1174</v>
      </c>
      <c r="B1176" s="3" t="n">
        <f aca="false">'1. Raw Data'!B1175</f>
        <v>21</v>
      </c>
      <c r="C1176" s="3" t="str">
        <f aca="false">'1. Raw Data'!C1175</f>
        <v>Sales</v>
      </c>
      <c r="D1176" s="3" t="str">
        <f aca="false">'1. Raw Data'!D1175</f>
        <v>Mid</v>
      </c>
      <c r="E1176" s="3" t="str">
        <f aca="false">'1. Raw Data'!E1175</f>
        <v>Other</v>
      </c>
      <c r="F1176" s="3" t="n">
        <f aca="false">'1. Raw Data'!F1175</f>
        <v>0</v>
      </c>
      <c r="G1176" s="3" t="n">
        <f aca="false">IF('1. Raw Data'!G1175="",ROUND(IFERROR(AVERAGEIFS('1. Raw Data'!G2:G1201,'1. Raw Data'!C2:C1201,'1. Raw Data'!C1175,'1. Raw Data'!D2:D1201,'1. Raw Data'!D1175),0),2),'1. Raw Data'!G1175)</f>
        <v>4239.15</v>
      </c>
      <c r="H1176" s="3" t="str">
        <f aca="false">PROPER('1. Raw Data'!H1175)</f>
        <v>Yes</v>
      </c>
      <c r="I1176" s="3" t="n">
        <f aca="false">'1. Raw Data'!I1175</f>
        <v>3</v>
      </c>
      <c r="J1176" s="3" t="n">
        <f aca="false">'1. Raw Data'!J1175</f>
        <v>4</v>
      </c>
      <c r="K1176" s="3" t="n">
        <f aca="false">'1. Raw Data'!K1175</f>
        <v>1</v>
      </c>
      <c r="L1176" s="3" t="n">
        <f aca="false">'1. Raw Data'!L1175</f>
        <v>0</v>
      </c>
      <c r="M1176" s="3" t="n">
        <f aca="false">'1. Raw Data'!M1175</f>
        <v>2</v>
      </c>
      <c r="N1176" s="3" t="str">
        <f aca="false">'1. Raw Data'!N1175</f>
        <v>No</v>
      </c>
    </row>
    <row r="1177" customFormat="false" ht="15" hidden="false" customHeight="false" outlineLevel="0" collapsed="false">
      <c r="A1177" s="3" t="str">
        <f aca="false">'1. Raw Data'!A1176</f>
        <v>EMP-1175</v>
      </c>
      <c r="B1177" s="3" t="n">
        <f aca="false">'1. Raw Data'!B1176</f>
        <v>28</v>
      </c>
      <c r="C1177" s="3" t="str">
        <f aca="false">'1. Raw Data'!C1176</f>
        <v>Finance</v>
      </c>
      <c r="D1177" s="3" t="str">
        <f aca="false">'1. Raw Data'!D1176</f>
        <v>Junior</v>
      </c>
      <c r="E1177" s="3" t="str">
        <f aca="false">'1. Raw Data'!E1176</f>
        <v>Marketing</v>
      </c>
      <c r="F1177" s="3" t="n">
        <f aca="false">'1. Raw Data'!F1176</f>
        <v>1.8</v>
      </c>
      <c r="G1177" s="3" t="n">
        <f aca="false">IF('1. Raw Data'!G1176="",ROUND(IFERROR(AVERAGEIFS('1. Raw Data'!G2:G1201,'1. Raw Data'!C2:C1201,'1. Raw Data'!C1176,'1. Raw Data'!D2:D1201,'1. Raw Data'!D1176),0),2),'1. Raw Data'!G1176)</f>
        <v>3145.42</v>
      </c>
      <c r="H1177" s="3" t="str">
        <f aca="false">PROPER('1. Raw Data'!H1176)</f>
        <v>No</v>
      </c>
      <c r="I1177" s="3" t="n">
        <f aca="false">'1. Raw Data'!I1176</f>
        <v>3</v>
      </c>
      <c r="J1177" s="3" t="n">
        <f aca="false">'1. Raw Data'!J1176</f>
        <v>2</v>
      </c>
      <c r="K1177" s="3" t="n">
        <f aca="false">'1. Raw Data'!K1176</f>
        <v>3</v>
      </c>
      <c r="L1177" s="3" t="n">
        <f aca="false">'1. Raw Data'!L1176</f>
        <v>1</v>
      </c>
      <c r="M1177" s="3" t="n">
        <f aca="false">'1. Raw Data'!M1176</f>
        <v>5</v>
      </c>
      <c r="N1177" s="3" t="str">
        <f aca="false">'1. Raw Data'!N1176</f>
        <v>No</v>
      </c>
    </row>
    <row r="1178" customFormat="false" ht="15" hidden="false" customHeight="false" outlineLevel="0" collapsed="false">
      <c r="A1178" s="3" t="str">
        <f aca="false">'1. Raw Data'!A1177</f>
        <v>EMP-1176</v>
      </c>
      <c r="B1178" s="3" t="n">
        <f aca="false">'1. Raw Data'!B1177</f>
        <v>38</v>
      </c>
      <c r="C1178" s="3" t="str">
        <f aca="false">'1. Raw Data'!C1177</f>
        <v>Engineering</v>
      </c>
      <c r="D1178" s="3" t="str">
        <f aca="false">'1. Raw Data'!D1177</f>
        <v>Junior</v>
      </c>
      <c r="E1178" s="3" t="str">
        <f aca="false">'1. Raw Data'!E1177</f>
        <v>Technical</v>
      </c>
      <c r="F1178" s="3" t="n">
        <f aca="false">'1. Raw Data'!F1177</f>
        <v>1.2</v>
      </c>
      <c r="G1178" s="3" t="n">
        <f aca="false">IF('1. Raw Data'!G1177="",ROUND(IFERROR(AVERAGEIFS('1. Raw Data'!G2:G1201,'1. Raw Data'!C2:C1201,'1. Raw Data'!C1177,'1. Raw Data'!D2:D1201,'1. Raw Data'!D1177),0),2),'1. Raw Data'!G1177)</f>
        <v>3405.63</v>
      </c>
      <c r="H1178" s="3" t="str">
        <f aca="false">PROPER('1. Raw Data'!H1177)</f>
        <v>No</v>
      </c>
      <c r="I1178" s="3" t="n">
        <f aca="false">'1. Raw Data'!I1177</f>
        <v>1</v>
      </c>
      <c r="J1178" s="3" t="n">
        <f aca="false">'1. Raw Data'!J1177</f>
        <v>1</v>
      </c>
      <c r="K1178" s="3" t="n">
        <f aca="false">'1. Raw Data'!K1177</f>
        <v>6</v>
      </c>
      <c r="L1178" s="3" t="n">
        <f aca="false">'1. Raw Data'!L1177</f>
        <v>1</v>
      </c>
      <c r="M1178" s="3" t="n">
        <f aca="false">'1. Raw Data'!M1177</f>
        <v>3</v>
      </c>
      <c r="N1178" s="3" t="str">
        <f aca="false">'1. Raw Data'!N1177</f>
        <v>No</v>
      </c>
    </row>
    <row r="1179" customFormat="false" ht="15" hidden="false" customHeight="false" outlineLevel="0" collapsed="false">
      <c r="A1179" s="3" t="str">
        <f aca="false">'1. Raw Data'!A1178</f>
        <v>EMP-1177</v>
      </c>
      <c r="B1179" s="3" t="n">
        <f aca="false">'1. Raw Data'!B1178</f>
        <v>43</v>
      </c>
      <c r="C1179" s="3" t="str">
        <f aca="false">'1. Raw Data'!C1178</f>
        <v>Sales</v>
      </c>
      <c r="D1179" s="3" t="str">
        <f aca="false">'1. Raw Data'!D1178</f>
        <v>Senior</v>
      </c>
      <c r="E1179" s="3" t="str">
        <f aca="false">'1. Raw Data'!E1178</f>
        <v>Other</v>
      </c>
      <c r="F1179" s="3" t="n">
        <f aca="false">'1. Raw Data'!F1178</f>
        <v>4.4</v>
      </c>
      <c r="G1179" s="3" t="n">
        <f aca="false">IF('1. Raw Data'!G1178="",ROUND(IFERROR(AVERAGEIFS('1. Raw Data'!G2:G1201,'1. Raw Data'!C2:C1201,'1. Raw Data'!C1178,'1. Raw Data'!D2:D1201,'1. Raw Data'!D1178),0),2),'1. Raw Data'!G1178)</f>
        <v>8214.32</v>
      </c>
      <c r="H1179" s="3" t="str">
        <f aca="false">PROPER('1. Raw Data'!H1178)</f>
        <v>No</v>
      </c>
      <c r="I1179" s="3" t="n">
        <f aca="false">'1. Raw Data'!I1178</f>
        <v>4</v>
      </c>
      <c r="J1179" s="3" t="n">
        <f aca="false">'1. Raw Data'!J1178</f>
        <v>4</v>
      </c>
      <c r="K1179" s="3" t="n">
        <f aca="false">'1. Raw Data'!K1178</f>
        <v>9</v>
      </c>
      <c r="L1179" s="3" t="n">
        <f aca="false">'1. Raw Data'!L1178</f>
        <v>0</v>
      </c>
      <c r="M1179" s="3" t="n">
        <f aca="false">'1. Raw Data'!M1178</f>
        <v>3</v>
      </c>
      <c r="N1179" s="3" t="str">
        <f aca="false">'1. Raw Data'!N1178</f>
        <v>No</v>
      </c>
    </row>
    <row r="1180" customFormat="false" ht="15" hidden="false" customHeight="false" outlineLevel="0" collapsed="false">
      <c r="A1180" s="3" t="str">
        <f aca="false">'1. Raw Data'!A1179</f>
        <v>EMP-1178</v>
      </c>
      <c r="B1180" s="3" t="n">
        <f aca="false">'1. Raw Data'!B1179</f>
        <v>37</v>
      </c>
      <c r="C1180" s="3" t="str">
        <f aca="false">'1. Raw Data'!C1179</f>
        <v>Engineering</v>
      </c>
      <c r="D1180" s="3" t="str">
        <f aca="false">'1. Raw Data'!D1179</f>
        <v>Junior</v>
      </c>
      <c r="E1180" s="3" t="str">
        <f aca="false">'1. Raw Data'!E1179</f>
        <v>Technical</v>
      </c>
      <c r="F1180" s="3" t="n">
        <f aca="false">'1. Raw Data'!F1179</f>
        <v>0.5</v>
      </c>
      <c r="G1180" s="3" t="n">
        <f aca="false">IF('1. Raw Data'!G1179="",ROUND(IFERROR(AVERAGEIFS('1. Raw Data'!G2:G1201,'1. Raw Data'!C2:C1201,'1. Raw Data'!C1179,'1. Raw Data'!D2:D1201,'1. Raw Data'!D1179),0),2),'1. Raw Data'!G1179)</f>
        <v>2903.85</v>
      </c>
      <c r="H1180" s="3" t="str">
        <f aca="false">PROPER('1. Raw Data'!H1179)</f>
        <v>Yes</v>
      </c>
      <c r="I1180" s="3" t="n">
        <f aca="false">'1. Raw Data'!I1179</f>
        <v>4</v>
      </c>
      <c r="J1180" s="3" t="n">
        <f aca="false">'1. Raw Data'!J1179</f>
        <v>4</v>
      </c>
      <c r="K1180" s="3" t="n">
        <f aca="false">'1. Raw Data'!K1179</f>
        <v>4</v>
      </c>
      <c r="L1180" s="3" t="n">
        <f aca="false">'1. Raw Data'!L1179</f>
        <v>0</v>
      </c>
      <c r="M1180" s="3" t="n">
        <f aca="false">'1. Raw Data'!M1179</f>
        <v>1</v>
      </c>
      <c r="N1180" s="3" t="str">
        <f aca="false">'1. Raw Data'!N1179</f>
        <v>Yes</v>
      </c>
    </row>
    <row r="1181" customFormat="false" ht="15" hidden="false" customHeight="false" outlineLevel="0" collapsed="false">
      <c r="A1181" s="3" t="str">
        <f aca="false">'1. Raw Data'!A1180</f>
        <v>EMP-1179</v>
      </c>
      <c r="B1181" s="3" t="n">
        <f aca="false">'1. Raw Data'!B1180</f>
        <v>47</v>
      </c>
      <c r="C1181" s="3" t="str">
        <f aca="false">'1. Raw Data'!C1180</f>
        <v>Finance</v>
      </c>
      <c r="D1181" s="3" t="str">
        <f aca="false">'1. Raw Data'!D1180</f>
        <v>Lead</v>
      </c>
      <c r="E1181" s="3" t="str">
        <f aca="false">'1. Raw Data'!E1180</f>
        <v>Other</v>
      </c>
      <c r="F1181" s="3" t="n">
        <f aca="false">'1. Raw Data'!F1180</f>
        <v>3.8</v>
      </c>
      <c r="G1181" s="3" t="n">
        <f aca="false">IF('1. Raw Data'!G1180="",ROUND(IFERROR(AVERAGEIFS('1. Raw Data'!G2:G1201,'1. Raw Data'!C2:C1201,'1. Raw Data'!C1180,'1. Raw Data'!D2:D1201,'1. Raw Data'!D1180),0),2),'1. Raw Data'!G1180)</f>
        <v>10364.61</v>
      </c>
      <c r="H1181" s="3" t="str">
        <f aca="false">PROPER('1. Raw Data'!H1180)</f>
        <v>No</v>
      </c>
      <c r="I1181" s="3" t="n">
        <f aca="false">'1. Raw Data'!I1180</f>
        <v>3</v>
      </c>
      <c r="J1181" s="3" t="n">
        <f aca="false">'1. Raw Data'!J1180</f>
        <v>3</v>
      </c>
      <c r="K1181" s="3" t="n">
        <f aca="false">'1. Raw Data'!K1180</f>
        <v>1</v>
      </c>
      <c r="L1181" s="3" t="n">
        <f aca="false">'1. Raw Data'!L1180</f>
        <v>2</v>
      </c>
      <c r="M1181" s="3" t="n">
        <f aca="false">'1. Raw Data'!M1180</f>
        <v>1</v>
      </c>
      <c r="N1181" s="3" t="str">
        <f aca="false">'1. Raw Data'!N1180</f>
        <v>No</v>
      </c>
    </row>
    <row r="1182" customFormat="false" ht="15" hidden="false" customHeight="false" outlineLevel="0" collapsed="false">
      <c r="A1182" s="3" t="str">
        <f aca="false">'1. Raw Data'!A1181</f>
        <v>EMP-1180</v>
      </c>
      <c r="B1182" s="3" t="n">
        <f aca="false">'1. Raw Data'!B1181</f>
        <v>30</v>
      </c>
      <c r="C1182" s="3" t="str">
        <f aca="false">'1. Raw Data'!C1181</f>
        <v>Customer Support</v>
      </c>
      <c r="D1182" s="3" t="str">
        <f aca="false">'1. Raw Data'!D1181</f>
        <v>Junior</v>
      </c>
      <c r="E1182" s="3" t="str">
        <f aca="false">'1. Raw Data'!E1181</f>
        <v>Technical</v>
      </c>
      <c r="F1182" s="3" t="n">
        <f aca="false">'1. Raw Data'!F1181</f>
        <v>0.2</v>
      </c>
      <c r="G1182" s="3" t="n">
        <f aca="false">IF('1. Raw Data'!G1181="",ROUND(IFERROR(AVERAGEIFS('1. Raw Data'!G2:G1201,'1. Raw Data'!C2:C1201,'1. Raw Data'!C1181,'1. Raw Data'!D2:D1201,'1. Raw Data'!D1181),0),2),'1. Raw Data'!G1181)</f>
        <v>3215.71</v>
      </c>
      <c r="H1182" s="3" t="str">
        <f aca="false">PROPER('1. Raw Data'!H1181)</f>
        <v>Yes</v>
      </c>
      <c r="I1182" s="3" t="n">
        <f aca="false">'1. Raw Data'!I1181</f>
        <v>4</v>
      </c>
      <c r="J1182" s="3" t="n">
        <f aca="false">'1. Raw Data'!J1181</f>
        <v>1</v>
      </c>
      <c r="K1182" s="3" t="n">
        <f aca="false">'1. Raw Data'!K1181</f>
        <v>16</v>
      </c>
      <c r="L1182" s="3" t="n">
        <f aca="false">'1. Raw Data'!L1181</f>
        <v>0</v>
      </c>
      <c r="M1182" s="3" t="n">
        <f aca="false">'1. Raw Data'!M1181</f>
        <v>1</v>
      </c>
      <c r="N1182" s="3" t="str">
        <f aca="false">'1. Raw Data'!N1181</f>
        <v>Yes</v>
      </c>
    </row>
    <row r="1183" customFormat="false" ht="15" hidden="false" customHeight="false" outlineLevel="0" collapsed="false">
      <c r="A1183" s="3" t="str">
        <f aca="false">'1. Raw Data'!A1182</f>
        <v>EMP-1181</v>
      </c>
      <c r="B1183" s="3" t="n">
        <f aca="false">'1. Raw Data'!B1182</f>
        <v>35</v>
      </c>
      <c r="C1183" s="3" t="str">
        <f aca="false">'1. Raw Data'!C1182</f>
        <v>Sales</v>
      </c>
      <c r="D1183" s="3" t="str">
        <f aca="false">'1. Raw Data'!D1182</f>
        <v>Junior</v>
      </c>
      <c r="E1183" s="3" t="str">
        <f aca="false">'1. Raw Data'!E1182</f>
        <v>Marketing</v>
      </c>
      <c r="F1183" s="3" t="n">
        <f aca="false">'1. Raw Data'!F1182</f>
        <v>1.6</v>
      </c>
      <c r="G1183" s="3" t="n">
        <f aca="false">IF('1. Raw Data'!G1182="",ROUND(IFERROR(AVERAGEIFS('1. Raw Data'!G2:G1201,'1. Raw Data'!C2:C1201,'1. Raw Data'!C1182,'1. Raw Data'!D2:D1201,'1. Raw Data'!D1182),0),2),'1. Raw Data'!G1182)</f>
        <v>3213.23</v>
      </c>
      <c r="H1183" s="3" t="str">
        <f aca="false">PROPER('1. Raw Data'!H1182)</f>
        <v>Yes</v>
      </c>
      <c r="I1183" s="3" t="n">
        <f aca="false">'1. Raw Data'!I1182</f>
        <v>4</v>
      </c>
      <c r="J1183" s="3" t="n">
        <f aca="false">'1. Raw Data'!J1182</f>
        <v>3</v>
      </c>
      <c r="K1183" s="3" t="n">
        <f aca="false">'1. Raw Data'!K1182</f>
        <v>21</v>
      </c>
      <c r="L1183" s="3" t="n">
        <f aca="false">'1. Raw Data'!L1182</f>
        <v>0</v>
      </c>
      <c r="M1183" s="3" t="n">
        <f aca="false">'1. Raw Data'!M1182</f>
        <v>2</v>
      </c>
      <c r="N1183" s="3" t="str">
        <f aca="false">'1. Raw Data'!N1182</f>
        <v>No</v>
      </c>
    </row>
    <row r="1184" customFormat="false" ht="15" hidden="false" customHeight="false" outlineLevel="0" collapsed="false">
      <c r="A1184" s="3" t="str">
        <f aca="false">'1. Raw Data'!A1183</f>
        <v>EMP-1182</v>
      </c>
      <c r="B1184" s="3" t="n">
        <f aca="false">'1. Raw Data'!B1183</f>
        <v>30</v>
      </c>
      <c r="C1184" s="3" t="str">
        <f aca="false">'1. Raw Data'!C1183</f>
        <v>HR</v>
      </c>
      <c r="D1184" s="3" t="str">
        <f aca="false">'1. Raw Data'!D1183</f>
        <v>Mid</v>
      </c>
      <c r="E1184" s="3" t="str">
        <f aca="false">'1. Raw Data'!E1183</f>
        <v>Other</v>
      </c>
      <c r="F1184" s="3" t="n">
        <f aca="false">'1. Raw Data'!F1183</f>
        <v>0.9</v>
      </c>
      <c r="G1184" s="3" t="n">
        <f aca="false">IF('1. Raw Data'!G1183="",ROUND(IFERROR(AVERAGEIFS('1. Raw Data'!G2:G1201,'1. Raw Data'!C2:C1201,'1. Raw Data'!C1183,'1. Raw Data'!D2:D1201,'1. Raw Data'!D1183),0),2),'1. Raw Data'!G1183)</f>
        <v>4213.79</v>
      </c>
      <c r="H1184" s="3" t="str">
        <f aca="false">PROPER('1. Raw Data'!H1183)</f>
        <v>No</v>
      </c>
      <c r="I1184" s="3" t="n">
        <f aca="false">'1. Raw Data'!I1183</f>
        <v>4</v>
      </c>
      <c r="J1184" s="3" t="n">
        <f aca="false">'1. Raw Data'!J1183</f>
        <v>2</v>
      </c>
      <c r="K1184" s="3" t="n">
        <f aca="false">'1. Raw Data'!K1183</f>
        <v>8</v>
      </c>
      <c r="L1184" s="3" t="n">
        <f aca="false">'1. Raw Data'!L1183</f>
        <v>0</v>
      </c>
      <c r="M1184" s="3" t="n">
        <f aca="false">'1. Raw Data'!M1183</f>
        <v>3</v>
      </c>
      <c r="N1184" s="3" t="str">
        <f aca="false">'1. Raw Data'!N1183</f>
        <v>No</v>
      </c>
    </row>
    <row r="1185" customFormat="false" ht="15" hidden="false" customHeight="false" outlineLevel="0" collapsed="false">
      <c r="A1185" s="3" t="str">
        <f aca="false">'1. Raw Data'!A1184</f>
        <v>EMP-1183</v>
      </c>
      <c r="B1185" s="3" t="n">
        <f aca="false">'1. Raw Data'!B1184</f>
        <v>27</v>
      </c>
      <c r="C1185" s="3" t="str">
        <f aca="false">'1. Raw Data'!C1184</f>
        <v>Sales</v>
      </c>
      <c r="D1185" s="3" t="str">
        <f aca="false">'1. Raw Data'!D1184</f>
        <v>Senior</v>
      </c>
      <c r="E1185" s="3" t="str">
        <f aca="false">'1. Raw Data'!E1184</f>
        <v>Marketing</v>
      </c>
      <c r="F1185" s="3" t="n">
        <f aca="false">'1. Raw Data'!F1184</f>
        <v>2.5</v>
      </c>
      <c r="G1185" s="3" t="n">
        <f aca="false">IF('1. Raw Data'!G1184="",ROUND(IFERROR(AVERAGEIFS('1. Raw Data'!G2:G1201,'1. Raw Data'!C2:C1201,'1. Raw Data'!C1184,'1. Raw Data'!D2:D1201,'1. Raw Data'!D1184),0),2),'1. Raw Data'!G1184)</f>
        <v>6178.9</v>
      </c>
      <c r="H1185" s="3" t="str">
        <f aca="false">PROPER('1. Raw Data'!H1184)</f>
        <v>Yes</v>
      </c>
      <c r="I1185" s="3" t="n">
        <f aca="false">'1. Raw Data'!I1184</f>
        <v>3</v>
      </c>
      <c r="J1185" s="3" t="n">
        <f aca="false">'1. Raw Data'!J1184</f>
        <v>3</v>
      </c>
      <c r="K1185" s="3" t="n">
        <f aca="false">'1. Raw Data'!K1184</f>
        <v>9</v>
      </c>
      <c r="L1185" s="3" t="n">
        <f aca="false">'1. Raw Data'!L1184</f>
        <v>0</v>
      </c>
      <c r="M1185" s="3" t="n">
        <f aca="false">'1. Raw Data'!M1184</f>
        <v>2</v>
      </c>
      <c r="N1185" s="3" t="str">
        <f aca="false">'1. Raw Data'!N1184</f>
        <v>No</v>
      </c>
    </row>
    <row r="1186" customFormat="false" ht="15" hidden="false" customHeight="false" outlineLevel="0" collapsed="false">
      <c r="A1186" s="3" t="str">
        <f aca="false">'1. Raw Data'!A1185</f>
        <v>EMP-1184</v>
      </c>
      <c r="B1186" s="3" t="n">
        <f aca="false">'1. Raw Data'!B1185</f>
        <v>41</v>
      </c>
      <c r="C1186" s="3" t="str">
        <f aca="false">'1. Raw Data'!C1185</f>
        <v>Customer Support</v>
      </c>
      <c r="D1186" s="3" t="str">
        <f aca="false">'1. Raw Data'!D1185</f>
        <v>Junior</v>
      </c>
      <c r="E1186" s="3" t="str">
        <f aca="false">'1. Raw Data'!E1185</f>
        <v>Marketing</v>
      </c>
      <c r="F1186" s="3" t="n">
        <f aca="false">'1. Raw Data'!F1185</f>
        <v>2.1</v>
      </c>
      <c r="G1186" s="3" t="n">
        <f aca="false">IF('1. Raw Data'!G1185="",ROUND(IFERROR(AVERAGEIFS('1. Raw Data'!G2:G1201,'1. Raw Data'!C2:C1201,'1. Raw Data'!C1185,'1. Raw Data'!D2:D1201,'1. Raw Data'!D1185),0),2),'1. Raw Data'!G1185)</f>
        <v>3605.34</v>
      </c>
      <c r="H1186" s="3" t="str">
        <f aca="false">PROPER('1. Raw Data'!H1185)</f>
        <v>Yes</v>
      </c>
      <c r="I1186" s="3" t="n">
        <f aca="false">'1. Raw Data'!I1185</f>
        <v>4</v>
      </c>
      <c r="J1186" s="3" t="n">
        <f aca="false">'1. Raw Data'!J1185</f>
        <v>3</v>
      </c>
      <c r="K1186" s="3" t="n">
        <f aca="false">'1. Raw Data'!K1185</f>
        <v>1</v>
      </c>
      <c r="L1186" s="3" t="n">
        <f aca="false">'1. Raw Data'!L1185</f>
        <v>0</v>
      </c>
      <c r="M1186" s="3" t="n">
        <f aca="false">'1. Raw Data'!M1185</f>
        <v>2</v>
      </c>
      <c r="N1186" s="3" t="str">
        <f aca="false">'1. Raw Data'!N1185</f>
        <v>Yes</v>
      </c>
    </row>
    <row r="1187" customFormat="false" ht="15" hidden="false" customHeight="false" outlineLevel="0" collapsed="false">
      <c r="A1187" s="3" t="str">
        <f aca="false">'1. Raw Data'!A1186</f>
        <v>EMP-1185</v>
      </c>
      <c r="B1187" s="3" t="n">
        <f aca="false">'1. Raw Data'!B1186</f>
        <v>38</v>
      </c>
      <c r="C1187" s="3" t="str">
        <f aca="false">'1. Raw Data'!C1186</f>
        <v>Engineering</v>
      </c>
      <c r="D1187" s="3" t="str">
        <f aca="false">'1. Raw Data'!D1186</f>
        <v>Lead</v>
      </c>
      <c r="E1187" s="3" t="str">
        <f aca="false">'1. Raw Data'!E1186</f>
        <v>Marketing</v>
      </c>
      <c r="F1187" s="3" t="n">
        <f aca="false">'1. Raw Data'!F1186</f>
        <v>8.9</v>
      </c>
      <c r="G1187" s="3" t="n">
        <f aca="false">IF('1. Raw Data'!G1186="",ROUND(IFERROR(AVERAGEIFS('1. Raw Data'!G2:G1201,'1. Raw Data'!C2:C1201,'1. Raw Data'!C1186,'1. Raw Data'!D2:D1201,'1. Raw Data'!D1186),0),2),'1. Raw Data'!G1186)</f>
        <v>8311.94</v>
      </c>
      <c r="H1187" s="3" t="str">
        <f aca="false">PROPER('1. Raw Data'!H1186)</f>
        <v>No</v>
      </c>
      <c r="I1187" s="3" t="n">
        <f aca="false">'1. Raw Data'!I1186</f>
        <v>2</v>
      </c>
      <c r="J1187" s="3" t="n">
        <f aca="false">'1. Raw Data'!J1186</f>
        <v>3</v>
      </c>
      <c r="K1187" s="3" t="n">
        <f aca="false">'1. Raw Data'!K1186</f>
        <v>12</v>
      </c>
      <c r="L1187" s="3" t="n">
        <f aca="false">'1. Raw Data'!L1186</f>
        <v>1</v>
      </c>
      <c r="M1187" s="3" t="n">
        <f aca="false">'1. Raw Data'!M1186</f>
        <v>1</v>
      </c>
      <c r="N1187" s="3" t="str">
        <f aca="false">'1. Raw Data'!N1186</f>
        <v>No</v>
      </c>
    </row>
    <row r="1188" customFormat="false" ht="15" hidden="false" customHeight="false" outlineLevel="0" collapsed="false">
      <c r="A1188" s="3" t="str">
        <f aca="false">'1. Raw Data'!A1187</f>
        <v>EMP-1186</v>
      </c>
      <c r="B1188" s="3" t="n">
        <f aca="false">'1. Raw Data'!B1187</f>
        <v>46</v>
      </c>
      <c r="C1188" s="3" t="str">
        <f aca="false">'1. Raw Data'!C1187</f>
        <v>Engineering</v>
      </c>
      <c r="D1188" s="3" t="str">
        <f aca="false">'1. Raw Data'!D1187</f>
        <v>Senior</v>
      </c>
      <c r="E1188" s="3" t="str">
        <f aca="false">'1. Raw Data'!E1187</f>
        <v>Other</v>
      </c>
      <c r="F1188" s="3" t="n">
        <f aca="false">'1. Raw Data'!F1187</f>
        <v>0.2</v>
      </c>
      <c r="G1188" s="3" t="n">
        <f aca="false">IF('1. Raw Data'!G1187="",ROUND(IFERROR(AVERAGEIFS('1. Raw Data'!G2:G1201,'1. Raw Data'!C2:C1201,'1. Raw Data'!C1187,'1. Raw Data'!D2:D1201,'1. Raw Data'!D1187),0),2),'1. Raw Data'!G1187)</f>
        <v>7254.34</v>
      </c>
      <c r="H1188" s="3" t="str">
        <f aca="false">PROPER('1. Raw Data'!H1187)</f>
        <v>No</v>
      </c>
      <c r="I1188" s="3" t="n">
        <f aca="false">'1. Raw Data'!I1187</f>
        <v>1</v>
      </c>
      <c r="J1188" s="3" t="n">
        <f aca="false">'1. Raw Data'!J1187</f>
        <v>4</v>
      </c>
      <c r="K1188" s="3" t="n">
        <f aca="false">'1. Raw Data'!K1187</f>
        <v>6</v>
      </c>
      <c r="L1188" s="3" t="n">
        <f aca="false">'1. Raw Data'!L1187</f>
        <v>0</v>
      </c>
      <c r="M1188" s="3" t="n">
        <f aca="false">'1. Raw Data'!M1187</f>
        <v>3</v>
      </c>
      <c r="N1188" s="3" t="str">
        <f aca="false">'1. Raw Data'!N1187</f>
        <v>No</v>
      </c>
    </row>
    <row r="1189" customFormat="false" ht="15" hidden="false" customHeight="false" outlineLevel="0" collapsed="false">
      <c r="A1189" s="3" t="str">
        <f aca="false">'1. Raw Data'!A1188</f>
        <v>EMP-1187</v>
      </c>
      <c r="B1189" s="3" t="n">
        <f aca="false">'1. Raw Data'!B1188</f>
        <v>43</v>
      </c>
      <c r="C1189" s="3" t="str">
        <f aca="false">'1. Raw Data'!C1188</f>
        <v>Marketing</v>
      </c>
      <c r="D1189" s="3" t="str">
        <f aca="false">'1. Raw Data'!D1188</f>
        <v>Senior</v>
      </c>
      <c r="E1189" s="3" t="str">
        <f aca="false">'1. Raw Data'!E1188</f>
        <v>Business</v>
      </c>
      <c r="F1189" s="3" t="n">
        <f aca="false">'1. Raw Data'!F1188</f>
        <v>2.2</v>
      </c>
      <c r="G1189" s="3" t="n">
        <f aca="false">IF('1. Raw Data'!G1188="",ROUND(IFERROR(AVERAGEIFS('1. Raw Data'!G2:G1201,'1. Raw Data'!C2:C1201,'1. Raw Data'!C1188,'1. Raw Data'!D2:D1201,'1. Raw Data'!D1188),0),2),'1. Raw Data'!G1188)</f>
        <v>7521.87</v>
      </c>
      <c r="H1189" s="3" t="str">
        <f aca="false">PROPER('1. Raw Data'!H1188)</f>
        <v>No</v>
      </c>
      <c r="I1189" s="3" t="n">
        <f aca="false">'1. Raw Data'!I1188</f>
        <v>3</v>
      </c>
      <c r="J1189" s="3" t="n">
        <f aca="false">'1. Raw Data'!J1188</f>
        <v>3</v>
      </c>
      <c r="K1189" s="3" t="n">
        <f aca="false">'1. Raw Data'!K1188</f>
        <v>1</v>
      </c>
      <c r="L1189" s="3" t="n">
        <f aca="false">'1. Raw Data'!L1188</f>
        <v>2</v>
      </c>
      <c r="M1189" s="3" t="n">
        <f aca="false">'1. Raw Data'!M1188</f>
        <v>2</v>
      </c>
      <c r="N1189" s="3" t="str">
        <f aca="false">'1. Raw Data'!N1188</f>
        <v>No</v>
      </c>
    </row>
    <row r="1190" customFormat="false" ht="15" hidden="false" customHeight="false" outlineLevel="0" collapsed="false">
      <c r="A1190" s="3" t="str">
        <f aca="false">'1. Raw Data'!A1189</f>
        <v>EMP-1188</v>
      </c>
      <c r="B1190" s="3" t="n">
        <f aca="false">'1. Raw Data'!B1189</f>
        <v>21</v>
      </c>
      <c r="C1190" s="3" t="str">
        <f aca="false">'1. Raw Data'!C1189</f>
        <v>Marketing</v>
      </c>
      <c r="D1190" s="3" t="str">
        <f aca="false">'1. Raw Data'!D1189</f>
        <v>Mid</v>
      </c>
      <c r="E1190" s="3" t="str">
        <f aca="false">'1. Raw Data'!E1189</f>
        <v>Marketing</v>
      </c>
      <c r="F1190" s="3" t="n">
        <f aca="false">'1. Raw Data'!F1189</f>
        <v>0</v>
      </c>
      <c r="G1190" s="3" t="n">
        <f aca="false">IF('1. Raw Data'!G1189="",ROUND(IFERROR(AVERAGEIFS('1. Raw Data'!G2:G1201,'1. Raw Data'!C2:C1201,'1. Raw Data'!C1189,'1. Raw Data'!D2:D1201,'1. Raw Data'!D1189),0),2),'1. Raw Data'!G1189)</f>
        <v>5496.45</v>
      </c>
      <c r="H1190" s="3" t="str">
        <f aca="false">PROPER('1. Raw Data'!H1189)</f>
        <v>No</v>
      </c>
      <c r="I1190" s="3" t="n">
        <f aca="false">'1. Raw Data'!I1189</f>
        <v>2</v>
      </c>
      <c r="J1190" s="3" t="n">
        <f aca="false">'1. Raw Data'!J1189</f>
        <v>3</v>
      </c>
      <c r="K1190" s="3" t="n">
        <f aca="false">'1. Raw Data'!K1189</f>
        <v>14</v>
      </c>
      <c r="L1190" s="3" t="n">
        <f aca="false">'1. Raw Data'!L1189</f>
        <v>0</v>
      </c>
      <c r="M1190" s="3" t="n">
        <f aca="false">'1. Raw Data'!M1189</f>
        <v>1</v>
      </c>
      <c r="N1190" s="3" t="str">
        <f aca="false">'1. Raw Data'!N1189</f>
        <v>No</v>
      </c>
    </row>
    <row r="1191" customFormat="false" ht="15" hidden="false" customHeight="false" outlineLevel="0" collapsed="false">
      <c r="A1191" s="3" t="str">
        <f aca="false">'1. Raw Data'!A1190</f>
        <v>EMP-1189</v>
      </c>
      <c r="B1191" s="3" t="n">
        <f aca="false">'1. Raw Data'!B1190</f>
        <v>21</v>
      </c>
      <c r="C1191" s="3" t="str">
        <f aca="false">'1. Raw Data'!C1190</f>
        <v>HR</v>
      </c>
      <c r="D1191" s="3" t="str">
        <f aca="false">'1. Raw Data'!D1190</f>
        <v>Junior</v>
      </c>
      <c r="E1191" s="3" t="str">
        <f aca="false">'1. Raw Data'!E1190</f>
        <v>Business</v>
      </c>
      <c r="F1191" s="3" t="n">
        <f aca="false">'1. Raw Data'!F1190</f>
        <v>0</v>
      </c>
      <c r="G1191" s="3" t="n">
        <f aca="false">IF('1. Raw Data'!G1190="",ROUND(IFERROR(AVERAGEIFS('1. Raw Data'!G2:G1201,'1. Raw Data'!C2:C1201,'1. Raw Data'!C1190,'1. Raw Data'!D2:D1201,'1. Raw Data'!D1190),0),2),'1. Raw Data'!G1190)</f>
        <v>3160.24</v>
      </c>
      <c r="H1191" s="3" t="str">
        <f aca="false">PROPER('1. Raw Data'!H1190)</f>
        <v>No</v>
      </c>
      <c r="I1191" s="3" t="n">
        <f aca="false">'1. Raw Data'!I1190</f>
        <v>3</v>
      </c>
      <c r="J1191" s="3" t="n">
        <f aca="false">'1. Raw Data'!J1190</f>
        <v>3</v>
      </c>
      <c r="K1191" s="3" t="n">
        <f aca="false">'1. Raw Data'!K1190</f>
        <v>11</v>
      </c>
      <c r="L1191" s="3" t="n">
        <f aca="false">'1. Raw Data'!L1190</f>
        <v>0</v>
      </c>
      <c r="M1191" s="3" t="n">
        <f aca="false">'1. Raw Data'!M1190</f>
        <v>4</v>
      </c>
      <c r="N1191" s="3" t="str">
        <f aca="false">'1. Raw Data'!N1190</f>
        <v>No</v>
      </c>
    </row>
    <row r="1192" customFormat="false" ht="15" hidden="false" customHeight="false" outlineLevel="0" collapsed="false">
      <c r="A1192" s="3" t="str">
        <f aca="false">'1. Raw Data'!A1191</f>
        <v>EMP-1190</v>
      </c>
      <c r="B1192" s="3" t="n">
        <f aca="false">'1. Raw Data'!B1191</f>
        <v>27</v>
      </c>
      <c r="C1192" s="3" t="str">
        <f aca="false">'1. Raw Data'!C1191</f>
        <v>Customer Support</v>
      </c>
      <c r="D1192" s="3" t="str">
        <f aca="false">'1. Raw Data'!D1191</f>
        <v>Mid</v>
      </c>
      <c r="E1192" s="3" t="str">
        <f aca="false">'1. Raw Data'!E1191</f>
        <v>Technical</v>
      </c>
      <c r="F1192" s="3" t="n">
        <f aca="false">'1. Raw Data'!F1191</f>
        <v>6</v>
      </c>
      <c r="G1192" s="3" t="n">
        <f aca="false">IF('1. Raw Data'!G1191="",ROUND(IFERROR(AVERAGEIFS('1. Raw Data'!G2:G1201,'1. Raw Data'!C2:C1201,'1. Raw Data'!C1191,'1. Raw Data'!D2:D1201,'1. Raw Data'!D1191),0),2),'1. Raw Data'!G1191)</f>
        <v>4392.63</v>
      </c>
      <c r="H1192" s="3" t="str">
        <f aca="false">PROPER('1. Raw Data'!H1191)</f>
        <v>No</v>
      </c>
      <c r="I1192" s="3" t="n">
        <f aca="false">'1. Raw Data'!I1191</f>
        <v>3</v>
      </c>
      <c r="J1192" s="3" t="n">
        <f aca="false">'1. Raw Data'!J1191</f>
        <v>2</v>
      </c>
      <c r="K1192" s="3" t="n">
        <f aca="false">'1. Raw Data'!K1191</f>
        <v>8</v>
      </c>
      <c r="L1192" s="3" t="n">
        <f aca="false">'1. Raw Data'!L1191</f>
        <v>0</v>
      </c>
      <c r="M1192" s="3" t="n">
        <f aca="false">'1. Raw Data'!M1191</f>
        <v>1</v>
      </c>
      <c r="N1192" s="3" t="str">
        <f aca="false">'1. Raw Data'!N1191</f>
        <v>Yes</v>
      </c>
    </row>
    <row r="1193" customFormat="false" ht="15" hidden="false" customHeight="false" outlineLevel="0" collapsed="false">
      <c r="A1193" s="3" t="str">
        <f aca="false">'1. Raw Data'!A1192</f>
        <v>EMP-1191</v>
      </c>
      <c r="B1193" s="3" t="n">
        <f aca="false">'1. Raw Data'!B1192</f>
        <v>32</v>
      </c>
      <c r="C1193" s="3" t="str">
        <f aca="false">'1. Raw Data'!C1192</f>
        <v>HR</v>
      </c>
      <c r="D1193" s="3" t="str">
        <f aca="false">'1. Raw Data'!D1192</f>
        <v>Senior</v>
      </c>
      <c r="E1193" s="3" t="str">
        <f aca="false">'1. Raw Data'!E1192</f>
        <v>Business</v>
      </c>
      <c r="F1193" s="3" t="n">
        <f aca="false">'1. Raw Data'!F1192</f>
        <v>0.8</v>
      </c>
      <c r="G1193" s="3" t="n">
        <f aca="false">IF('1. Raw Data'!G1192="",ROUND(IFERROR(AVERAGEIFS('1. Raw Data'!G2:G1201,'1. Raw Data'!C2:C1201,'1. Raw Data'!C1192,'1. Raw Data'!D2:D1201,'1. Raw Data'!D1192),0),2),'1. Raw Data'!G1192)</f>
        <v>6496.41</v>
      </c>
      <c r="H1193" s="3" t="str">
        <f aca="false">PROPER('1. Raw Data'!H1192)</f>
        <v>No</v>
      </c>
      <c r="I1193" s="3" t="n">
        <f aca="false">'1. Raw Data'!I1192</f>
        <v>4</v>
      </c>
      <c r="J1193" s="3" t="n">
        <f aca="false">'1. Raw Data'!J1192</f>
        <v>3</v>
      </c>
      <c r="K1193" s="3" t="n">
        <f aca="false">'1. Raw Data'!K1192</f>
        <v>10</v>
      </c>
      <c r="L1193" s="3" t="n">
        <f aca="false">'1. Raw Data'!L1192</f>
        <v>0</v>
      </c>
      <c r="M1193" s="3" t="n">
        <f aca="false">'1. Raw Data'!M1192</f>
        <v>3</v>
      </c>
      <c r="N1193" s="3" t="str">
        <f aca="false">'1. Raw Data'!N1192</f>
        <v>No</v>
      </c>
    </row>
    <row r="1194" customFormat="false" ht="15" hidden="false" customHeight="false" outlineLevel="0" collapsed="false">
      <c r="A1194" s="3" t="str">
        <f aca="false">'1. Raw Data'!A1193</f>
        <v>EMP-1192</v>
      </c>
      <c r="B1194" s="3" t="n">
        <f aca="false">'1. Raw Data'!B1193</f>
        <v>49</v>
      </c>
      <c r="C1194" s="3" t="str">
        <f aca="false">'1. Raw Data'!C1193</f>
        <v>Marketing</v>
      </c>
      <c r="D1194" s="3" t="str">
        <f aca="false">'1. Raw Data'!D1193</f>
        <v>Mid</v>
      </c>
      <c r="E1194" s="3" t="str">
        <f aca="false">'1. Raw Data'!E1193</f>
        <v>Business</v>
      </c>
      <c r="F1194" s="3" t="n">
        <f aca="false">'1. Raw Data'!F1193</f>
        <v>0.4</v>
      </c>
      <c r="G1194" s="3" t="n">
        <f aca="false">IF('1. Raw Data'!G1193="",ROUND(IFERROR(AVERAGEIFS('1. Raw Data'!G2:G1201,'1. Raw Data'!C2:C1201,'1. Raw Data'!C1193,'1. Raw Data'!D2:D1201,'1. Raw Data'!D1193),0),2),'1. Raw Data'!G1193)</f>
        <v>5506.39</v>
      </c>
      <c r="H1194" s="3" t="str">
        <f aca="false">PROPER('1. Raw Data'!H1193)</f>
        <v>Yes</v>
      </c>
      <c r="I1194" s="3" t="n">
        <f aca="false">'1. Raw Data'!I1193</f>
        <v>2</v>
      </c>
      <c r="J1194" s="3" t="n">
        <f aca="false">'1. Raw Data'!J1193</f>
        <v>3</v>
      </c>
      <c r="K1194" s="3" t="n">
        <f aca="false">'1. Raw Data'!K1193</f>
        <v>3</v>
      </c>
      <c r="L1194" s="3" t="n">
        <f aca="false">'1. Raw Data'!L1193</f>
        <v>0</v>
      </c>
      <c r="M1194" s="3" t="n">
        <f aca="false">'1. Raw Data'!M1193</f>
        <v>2</v>
      </c>
      <c r="N1194" s="3" t="str">
        <f aca="false">'1. Raw Data'!N1193</f>
        <v>Yes</v>
      </c>
    </row>
    <row r="1195" customFormat="false" ht="15" hidden="false" customHeight="false" outlineLevel="0" collapsed="false">
      <c r="A1195" s="3" t="str">
        <f aca="false">'1. Raw Data'!A1194</f>
        <v>EMP-1193</v>
      </c>
      <c r="B1195" s="3" t="n">
        <f aca="false">'1. Raw Data'!B1194</f>
        <v>34</v>
      </c>
      <c r="C1195" s="3" t="str">
        <f aca="false">'1. Raw Data'!C1194</f>
        <v>Marketing</v>
      </c>
      <c r="D1195" s="3" t="str">
        <f aca="false">'1. Raw Data'!D1194</f>
        <v>Senior</v>
      </c>
      <c r="E1195" s="3" t="str">
        <f aca="false">'1. Raw Data'!E1194</f>
        <v>Technical</v>
      </c>
      <c r="F1195" s="3" t="n">
        <f aca="false">'1. Raw Data'!F1194</f>
        <v>0.9</v>
      </c>
      <c r="G1195" s="3" t="n">
        <f aca="false">IF('1. Raw Data'!G1194="",ROUND(IFERROR(AVERAGEIFS('1. Raw Data'!G2:G1201,'1. Raw Data'!C2:C1201,'1. Raw Data'!C1194,'1. Raw Data'!D2:D1201,'1. Raw Data'!D1194),0),2),'1. Raw Data'!G1194)</f>
        <v>7775.55</v>
      </c>
      <c r="H1195" s="3" t="str">
        <f aca="false">PROPER('1. Raw Data'!H1194)</f>
        <v>No</v>
      </c>
      <c r="I1195" s="3" t="n">
        <f aca="false">'1. Raw Data'!I1194</f>
        <v>2</v>
      </c>
      <c r="J1195" s="3" t="n">
        <f aca="false">'1. Raw Data'!J1194</f>
        <v>3</v>
      </c>
      <c r="K1195" s="3" t="n">
        <f aca="false">'1. Raw Data'!K1194</f>
        <v>17</v>
      </c>
      <c r="L1195" s="3" t="n">
        <f aca="false">'1. Raw Data'!L1194</f>
        <v>0</v>
      </c>
      <c r="M1195" s="3" t="n">
        <f aca="false">'1. Raw Data'!M1194</f>
        <v>2</v>
      </c>
      <c r="N1195" s="3" t="str">
        <f aca="false">'1. Raw Data'!N1194</f>
        <v>No</v>
      </c>
    </row>
    <row r="1196" customFormat="false" ht="15" hidden="false" customHeight="false" outlineLevel="0" collapsed="false">
      <c r="A1196" s="3" t="str">
        <f aca="false">'1. Raw Data'!A1195</f>
        <v>EMP-1194</v>
      </c>
      <c r="B1196" s="3" t="n">
        <f aca="false">'1. Raw Data'!B1195</f>
        <v>31</v>
      </c>
      <c r="C1196" s="3" t="str">
        <f aca="false">'1. Raw Data'!C1195</f>
        <v>Sales</v>
      </c>
      <c r="D1196" s="3" t="str">
        <f aca="false">'1. Raw Data'!D1195</f>
        <v>Senior</v>
      </c>
      <c r="E1196" s="3" t="str">
        <f aca="false">'1. Raw Data'!E1195</f>
        <v>Business</v>
      </c>
      <c r="F1196" s="3" t="n">
        <f aca="false">'1. Raw Data'!F1195</f>
        <v>2.6</v>
      </c>
      <c r="G1196" s="3" t="n">
        <f aca="false">IF('1. Raw Data'!G1195="",ROUND(IFERROR(AVERAGEIFS('1. Raw Data'!G2:G1201,'1. Raw Data'!C2:C1201,'1. Raw Data'!C1195,'1. Raw Data'!D2:D1201,'1. Raw Data'!D1195),0),2),'1. Raw Data'!G1195)</f>
        <v>6594.23</v>
      </c>
      <c r="H1196" s="3" t="str">
        <f aca="false">PROPER('1. Raw Data'!H1195)</f>
        <v>No</v>
      </c>
      <c r="I1196" s="3" t="n">
        <f aca="false">'1. Raw Data'!I1195</f>
        <v>3</v>
      </c>
      <c r="J1196" s="3" t="n">
        <f aca="false">'1. Raw Data'!J1195</f>
        <v>1</v>
      </c>
      <c r="K1196" s="3" t="n">
        <f aca="false">'1. Raw Data'!K1195</f>
        <v>9</v>
      </c>
      <c r="L1196" s="3" t="n">
        <f aca="false">'1. Raw Data'!L1195</f>
        <v>0</v>
      </c>
      <c r="M1196" s="3" t="n">
        <f aca="false">'1. Raw Data'!M1195</f>
        <v>3</v>
      </c>
      <c r="N1196" s="3" t="str">
        <f aca="false">'1. Raw Data'!N1195</f>
        <v>Yes</v>
      </c>
    </row>
    <row r="1197" customFormat="false" ht="15" hidden="false" customHeight="false" outlineLevel="0" collapsed="false">
      <c r="A1197" s="3" t="str">
        <f aca="false">'1. Raw Data'!A1196</f>
        <v>EMP-1195</v>
      </c>
      <c r="B1197" s="3" t="n">
        <f aca="false">'1. Raw Data'!B1196</f>
        <v>27</v>
      </c>
      <c r="C1197" s="3" t="str">
        <f aca="false">'1. Raw Data'!C1196</f>
        <v>Marketing</v>
      </c>
      <c r="D1197" s="3" t="str">
        <f aca="false">'1. Raw Data'!D1196</f>
        <v>Junior</v>
      </c>
      <c r="E1197" s="3" t="str">
        <f aca="false">'1. Raw Data'!E1196</f>
        <v>Marketing</v>
      </c>
      <c r="F1197" s="3" t="n">
        <f aca="false">'1. Raw Data'!F1196</f>
        <v>1.1</v>
      </c>
      <c r="G1197" s="3" t="n">
        <f aca="false">IF('1. Raw Data'!G1196="",ROUND(IFERROR(AVERAGEIFS('1. Raw Data'!G2:G1201,'1. Raw Data'!C2:C1201,'1. Raw Data'!C1196,'1. Raw Data'!D2:D1201,'1. Raw Data'!D1196),0),2),'1. Raw Data'!G1196)</f>
        <v>3596.96</v>
      </c>
      <c r="H1197" s="3" t="str">
        <f aca="false">PROPER('1. Raw Data'!H1196)</f>
        <v>No</v>
      </c>
      <c r="I1197" s="3" t="n">
        <f aca="false">'1. Raw Data'!I1196</f>
        <v>1</v>
      </c>
      <c r="J1197" s="3" t="n">
        <f aca="false">'1. Raw Data'!J1196</f>
        <v>4</v>
      </c>
      <c r="K1197" s="3" t="n">
        <f aca="false">'1. Raw Data'!K1196</f>
        <v>9</v>
      </c>
      <c r="L1197" s="3" t="n">
        <f aca="false">'1. Raw Data'!L1196</f>
        <v>1</v>
      </c>
      <c r="M1197" s="3" t="n">
        <f aca="false">'1. Raw Data'!M1196</f>
        <v>2</v>
      </c>
      <c r="N1197" s="3" t="str">
        <f aca="false">'1. Raw Data'!N1196</f>
        <v>No</v>
      </c>
    </row>
    <row r="1198" customFormat="false" ht="15" hidden="false" customHeight="false" outlineLevel="0" collapsed="false">
      <c r="A1198" s="3" t="str">
        <f aca="false">'1. Raw Data'!A1197</f>
        <v>EMP-1196</v>
      </c>
      <c r="B1198" s="3" t="n">
        <f aca="false">'1. Raw Data'!B1197</f>
        <v>36</v>
      </c>
      <c r="C1198" s="3" t="str">
        <f aca="false">'1. Raw Data'!C1197</f>
        <v>Customer Support</v>
      </c>
      <c r="D1198" s="3" t="str">
        <f aca="false">'1. Raw Data'!D1197</f>
        <v>Junior</v>
      </c>
      <c r="E1198" s="3" t="str">
        <f aca="false">'1. Raw Data'!E1197</f>
        <v>Business</v>
      </c>
      <c r="F1198" s="3" t="n">
        <f aca="false">'1. Raw Data'!F1197</f>
        <v>8.4</v>
      </c>
      <c r="G1198" s="3" t="n">
        <f aca="false">IF('1. Raw Data'!G1197="",ROUND(IFERROR(AVERAGEIFS('1. Raw Data'!G2:G1201,'1. Raw Data'!C2:C1201,'1. Raw Data'!C1197,'1. Raw Data'!D2:D1201,'1. Raw Data'!D1197),0),2),'1. Raw Data'!G1197)</f>
        <v>3640.91</v>
      </c>
      <c r="H1198" s="3" t="str">
        <f aca="false">PROPER('1. Raw Data'!H1197)</f>
        <v>No</v>
      </c>
      <c r="I1198" s="3" t="n">
        <f aca="false">'1. Raw Data'!I1197</f>
        <v>4</v>
      </c>
      <c r="J1198" s="3" t="n">
        <f aca="false">'1. Raw Data'!J1197</f>
        <v>4</v>
      </c>
      <c r="K1198" s="3" t="n">
        <f aca="false">'1. Raw Data'!K1197</f>
        <v>2</v>
      </c>
      <c r="L1198" s="3" t="n">
        <f aca="false">'1. Raw Data'!L1197</f>
        <v>0</v>
      </c>
      <c r="M1198" s="3" t="n">
        <f aca="false">'1. Raw Data'!M1197</f>
        <v>3</v>
      </c>
      <c r="N1198" s="3" t="str">
        <f aca="false">'1. Raw Data'!N1197</f>
        <v>No</v>
      </c>
    </row>
    <row r="1199" customFormat="false" ht="15" hidden="false" customHeight="false" outlineLevel="0" collapsed="false">
      <c r="A1199" s="3" t="str">
        <f aca="false">'1. Raw Data'!A1198</f>
        <v>EMP-1197</v>
      </c>
      <c r="B1199" s="3" t="n">
        <f aca="false">'1. Raw Data'!B1198</f>
        <v>35</v>
      </c>
      <c r="C1199" s="3" t="str">
        <f aca="false">'1. Raw Data'!C1198</f>
        <v>Engineering</v>
      </c>
      <c r="D1199" s="3" t="str">
        <f aca="false">'1. Raw Data'!D1198</f>
        <v>Lead</v>
      </c>
      <c r="E1199" s="3" t="str">
        <f aca="false">'1. Raw Data'!E1198</f>
        <v>Business</v>
      </c>
      <c r="F1199" s="3" t="n">
        <f aca="false">'1. Raw Data'!F1198</f>
        <v>2.6</v>
      </c>
      <c r="G1199" s="3" t="n">
        <f aca="false">IF('1. Raw Data'!G1198="",ROUND(IFERROR(AVERAGEIFS('1. Raw Data'!G2:G1201,'1. Raw Data'!C2:C1201,'1. Raw Data'!C1198,'1. Raw Data'!D2:D1201,'1. Raw Data'!D1198),0),2),'1. Raw Data'!G1198)</f>
        <v>10682.11</v>
      </c>
      <c r="H1199" s="3" t="str">
        <f aca="false">PROPER('1. Raw Data'!H1198)</f>
        <v>No</v>
      </c>
      <c r="I1199" s="3" t="n">
        <f aca="false">'1. Raw Data'!I1198</f>
        <v>3</v>
      </c>
      <c r="J1199" s="3" t="n">
        <f aca="false">'1. Raw Data'!J1198</f>
        <v>4</v>
      </c>
      <c r="K1199" s="3" t="n">
        <f aca="false">'1. Raw Data'!K1198</f>
        <v>11</v>
      </c>
      <c r="L1199" s="3" t="n">
        <f aca="false">'1. Raw Data'!L1198</f>
        <v>2</v>
      </c>
      <c r="M1199" s="3" t="n">
        <f aca="false">'1. Raw Data'!M1198</f>
        <v>0</v>
      </c>
      <c r="N1199" s="3" t="str">
        <f aca="false">'1. Raw Data'!N1198</f>
        <v>No</v>
      </c>
    </row>
    <row r="1200" customFormat="false" ht="15" hidden="false" customHeight="false" outlineLevel="0" collapsed="false">
      <c r="A1200" s="3" t="str">
        <f aca="false">'1. Raw Data'!A1199</f>
        <v>EMP-1198</v>
      </c>
      <c r="B1200" s="3" t="n">
        <f aca="false">'1. Raw Data'!B1199</f>
        <v>29</v>
      </c>
      <c r="C1200" s="3" t="str">
        <f aca="false">'1. Raw Data'!C1199</f>
        <v>Finance</v>
      </c>
      <c r="D1200" s="3" t="str">
        <f aca="false">'1. Raw Data'!D1199</f>
        <v>Mid</v>
      </c>
      <c r="E1200" s="3" t="str">
        <f aca="false">'1. Raw Data'!E1199</f>
        <v>Other</v>
      </c>
      <c r="F1200" s="3" t="n">
        <f aca="false">'1. Raw Data'!F1199</f>
        <v>3.1</v>
      </c>
      <c r="G1200" s="3" t="n">
        <f aca="false">IF('1. Raw Data'!G1199="",ROUND(IFERROR(AVERAGEIFS('1. Raw Data'!G2:G1201,'1. Raw Data'!C2:C1201,'1. Raw Data'!C1199,'1. Raw Data'!D2:D1201,'1. Raw Data'!D1199),0),2),'1. Raw Data'!G1199)</f>
        <v>4450.87</v>
      </c>
      <c r="H1200" s="3" t="str">
        <f aca="false">PROPER('1. Raw Data'!H1199)</f>
        <v>No</v>
      </c>
      <c r="I1200" s="3" t="n">
        <f aca="false">'1. Raw Data'!I1199</f>
        <v>3</v>
      </c>
      <c r="J1200" s="3" t="n">
        <f aca="false">'1. Raw Data'!J1199</f>
        <v>3</v>
      </c>
      <c r="K1200" s="3" t="n">
        <f aca="false">'1. Raw Data'!K1199</f>
        <v>7</v>
      </c>
      <c r="L1200" s="3" t="n">
        <f aca="false">'1. Raw Data'!L1199</f>
        <v>1</v>
      </c>
      <c r="M1200" s="3" t="n">
        <f aca="false">'1. Raw Data'!M1199</f>
        <v>2</v>
      </c>
      <c r="N1200" s="3" t="str">
        <f aca="false">'1. Raw Data'!N1199</f>
        <v>Yes</v>
      </c>
    </row>
    <row r="1201" customFormat="false" ht="15" hidden="false" customHeight="false" outlineLevel="0" collapsed="false">
      <c r="A1201" s="3" t="str">
        <f aca="false">'1. Raw Data'!A1200</f>
        <v>EMP-1199</v>
      </c>
      <c r="B1201" s="3" t="n">
        <f aca="false">'1. Raw Data'!B1200</f>
        <v>40</v>
      </c>
      <c r="C1201" s="3" t="str">
        <f aca="false">'1. Raw Data'!C1200</f>
        <v>Customer Support</v>
      </c>
      <c r="D1201" s="3" t="str">
        <f aca="false">'1. Raw Data'!D1200</f>
        <v>Lead</v>
      </c>
      <c r="E1201" s="3" t="str">
        <f aca="false">'1. Raw Data'!E1200</f>
        <v>Marketing</v>
      </c>
      <c r="F1201" s="3" t="n">
        <f aca="false">'1. Raw Data'!F1200</f>
        <v>4.9</v>
      </c>
      <c r="G1201" s="3" t="n">
        <f aca="false">IF('1. Raw Data'!G1200="",ROUND(IFERROR(AVERAGEIFS('1. Raw Data'!G2:G1201,'1. Raw Data'!C2:C1201,'1. Raw Data'!C1200,'1. Raw Data'!D2:D1201,'1. Raw Data'!D1200),0),2),'1. Raw Data'!G1200)</f>
        <v>11084.09</v>
      </c>
      <c r="H1201" s="3" t="str">
        <f aca="false">PROPER('1. Raw Data'!H1200)</f>
        <v>No</v>
      </c>
      <c r="I1201" s="3" t="n">
        <f aca="false">'1. Raw Data'!I1200</f>
        <v>1</v>
      </c>
      <c r="J1201" s="3" t="n">
        <f aca="false">'1. Raw Data'!J1200</f>
        <v>2</v>
      </c>
      <c r="K1201" s="3" t="n">
        <f aca="false">'1. Raw Data'!K1200</f>
        <v>8</v>
      </c>
      <c r="L1201" s="3" t="n">
        <f aca="false">'1. Raw Data'!L1200</f>
        <v>4</v>
      </c>
      <c r="M1201" s="3" t="n">
        <f aca="false">'1. Raw Data'!M1200</f>
        <v>0</v>
      </c>
      <c r="N1201" s="3" t="str">
        <f aca="false">'1. Raw Data'!N1200</f>
        <v>Yes</v>
      </c>
    </row>
    <row r="1202" customFormat="false" ht="15" hidden="false" customHeight="false" outlineLevel="0" collapsed="false">
      <c r="A1202" s="3" t="str">
        <f aca="false">'1. Raw Data'!A1201</f>
        <v>EMP-1200</v>
      </c>
      <c r="B1202" s="3" t="n">
        <f aca="false">'1. Raw Data'!B1201</f>
        <v>42</v>
      </c>
      <c r="C1202" s="3" t="str">
        <f aca="false">'1. Raw Data'!C1201</f>
        <v>HR</v>
      </c>
      <c r="D1202" s="3" t="str">
        <f aca="false">'1. Raw Data'!D1201</f>
        <v>Junior</v>
      </c>
      <c r="E1202" s="3" t="str">
        <f aca="false">'1. Raw Data'!E1201</f>
        <v>Technical</v>
      </c>
      <c r="F1202" s="3" t="n">
        <f aca="false">'1. Raw Data'!F1201</f>
        <v>4.7</v>
      </c>
      <c r="G1202" s="3" t="n">
        <f aca="false">IF('1. Raw Data'!G1201="",ROUND(IFERROR(AVERAGEIFS('1. Raw Data'!G2:G1201,'1. Raw Data'!C2:C1201,'1. Raw Data'!C1201,'1. Raw Data'!D2:D1201,'1. Raw Data'!D1201),0),2),'1. Raw Data'!G1201)</f>
        <v>3699.48</v>
      </c>
      <c r="H1202" s="3" t="str">
        <f aca="false">PROPER('1. Raw Data'!H1201)</f>
        <v>Yes</v>
      </c>
      <c r="I1202" s="3" t="n">
        <f aca="false">'1. Raw Data'!I1201</f>
        <v>3</v>
      </c>
      <c r="J1202" s="3" t="n">
        <f aca="false">'1. Raw Data'!J1201</f>
        <v>2</v>
      </c>
      <c r="K1202" s="3" t="n">
        <f aca="false">'1. Raw Data'!K1201</f>
        <v>1</v>
      </c>
      <c r="L1202" s="3" t="n">
        <f aca="false">'1. Raw Data'!L1201</f>
        <v>1</v>
      </c>
      <c r="M1202" s="3" t="n">
        <f aca="false">'1. Raw Data'!M1201</f>
        <v>1</v>
      </c>
      <c r="N1202" s="3" t="str">
        <f aca="false">'1. Raw Data'!N1201</f>
        <v>No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6" t="s">
        <v>1233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1234</v>
      </c>
    </row>
    <row r="4" customFormat="false" ht="26.85" hidden="false" customHeight="false" outlineLevel="0" collapsed="false">
      <c r="A4" s="8" t="s">
        <v>1235</v>
      </c>
      <c r="B4" s="8" t="s">
        <v>1236</v>
      </c>
      <c r="C4" s="8" t="s">
        <v>1237</v>
      </c>
      <c r="D4" s="8" t="s">
        <v>1238</v>
      </c>
      <c r="E4" s="8" t="s">
        <v>1239</v>
      </c>
      <c r="F4" s="8" t="s">
        <v>1240</v>
      </c>
    </row>
    <row r="5" customFormat="false" ht="15" hidden="false" customHeight="false" outlineLevel="0" collapsed="false">
      <c r="A5" s="9" t="s">
        <v>26</v>
      </c>
      <c r="B5" s="9" t="n">
        <f aca="false">COUNTIF('2. Cleaned Data'!C3:C1202,A5)</f>
        <v>247</v>
      </c>
      <c r="C5" s="9" t="n">
        <f aca="false">COUNTIFS('2. Cleaned Data'!C3:C1202,A5,'2. Cleaned Data'!N3:N1202,"Yes")</f>
        <v>97</v>
      </c>
      <c r="D5" s="10" t="n">
        <f aca="false">IFERROR(C5/B5,0)</f>
        <v>0.392712550607287</v>
      </c>
      <c r="E5" s="11" t="n">
        <f aca="false">IFERROR(AVERAGEIF('2. Cleaned Data'!C3:C1202,A5,'2. Cleaned Data'!F3:F1202),0)</f>
        <v>2.59878542510121</v>
      </c>
      <c r="F5" s="12" t="n">
        <f aca="false">IFERROR(AVERAGEIF('2. Cleaned Data'!C3:C1202,A5,'2. Cleaned Data'!G3:G1202),0)</f>
        <v>5143.65651821862</v>
      </c>
    </row>
    <row r="6" customFormat="false" ht="15" hidden="false" customHeight="false" outlineLevel="0" collapsed="false">
      <c r="A6" s="9" t="s">
        <v>16</v>
      </c>
      <c r="B6" s="9" t="n">
        <f aca="false">COUNTIF('2. Cleaned Data'!C3:C1202,A6)</f>
        <v>271</v>
      </c>
      <c r="C6" s="9" t="n">
        <f aca="false">COUNTIFS('2. Cleaned Data'!C3:C1202,A6,'2. Cleaned Data'!N3:N1202,"Yes")</f>
        <v>61</v>
      </c>
      <c r="D6" s="10" t="n">
        <f aca="false">IFERROR(C6/B6,0)</f>
        <v>0.225092250922509</v>
      </c>
      <c r="E6" s="11" t="n">
        <f aca="false">IFERROR(AVERAGEIF('2. Cleaned Data'!C3:C1202,A6,'2. Cleaned Data'!F3:F1202),0)</f>
        <v>2.48118081180812</v>
      </c>
      <c r="F6" s="12" t="n">
        <f aca="false">IFERROR(AVERAGEIF('2. Cleaned Data'!C3:C1202,A6,'2. Cleaned Data'!G3:G1202),0)</f>
        <v>5095.54782287823</v>
      </c>
    </row>
    <row r="7" customFormat="false" ht="15" hidden="false" customHeight="false" outlineLevel="0" collapsed="false">
      <c r="A7" s="9" t="s">
        <v>32</v>
      </c>
      <c r="B7" s="9" t="n">
        <f aca="false">COUNTIF('2. Cleaned Data'!C3:C1202,A7)</f>
        <v>141</v>
      </c>
      <c r="C7" s="9" t="n">
        <f aca="false">COUNTIFS('2. Cleaned Data'!C3:C1202,A7,'2. Cleaned Data'!N3:N1202,"Yes")</f>
        <v>30</v>
      </c>
      <c r="D7" s="10" t="n">
        <f aca="false">IFERROR(C7/B7,0)</f>
        <v>0.212765957446809</v>
      </c>
      <c r="E7" s="11" t="n">
        <f aca="false">IFERROR(AVERAGEIF('2. Cleaned Data'!C3:C1202,A7,'2. Cleaned Data'!F3:F1202),0)</f>
        <v>2.73333333333333</v>
      </c>
      <c r="F7" s="12" t="n">
        <f aca="false">IFERROR(AVERAGEIF('2. Cleaned Data'!C3:C1202,A7,'2. Cleaned Data'!G3:G1202),0)</f>
        <v>5037.73815602837</v>
      </c>
    </row>
    <row r="8" customFormat="false" ht="15" hidden="false" customHeight="false" outlineLevel="0" collapsed="false">
      <c r="A8" s="9" t="s">
        <v>45</v>
      </c>
      <c r="B8" s="9" t="n">
        <f aca="false">COUNTIF('2. Cleaned Data'!C3:C1202,A8)</f>
        <v>96</v>
      </c>
      <c r="C8" s="9" t="n">
        <f aca="false">COUNTIFS('2. Cleaned Data'!C3:C1202,A8,'2. Cleaned Data'!N3:N1202,"Yes")</f>
        <v>20</v>
      </c>
      <c r="D8" s="10" t="n">
        <f aca="false">IFERROR(C8/B8,0)</f>
        <v>0.208333333333333</v>
      </c>
      <c r="E8" s="11" t="n">
        <f aca="false">IFERROR(AVERAGEIF('2. Cleaned Data'!C3:C1202,A8,'2. Cleaned Data'!F3:F1202),0)</f>
        <v>2.88958333333333</v>
      </c>
      <c r="F8" s="12" t="n">
        <f aca="false">IFERROR(AVERAGEIF('2. Cleaned Data'!C3:C1202,A8,'2. Cleaned Data'!G3:G1202),0)</f>
        <v>5137.48947916667</v>
      </c>
    </row>
    <row r="9" customFormat="false" ht="15" hidden="false" customHeight="false" outlineLevel="0" collapsed="false">
      <c r="A9" s="9" t="s">
        <v>24</v>
      </c>
      <c r="B9" s="9" t="n">
        <f aca="false">COUNTIF('2. Cleaned Data'!C3:C1202,A9)</f>
        <v>150</v>
      </c>
      <c r="C9" s="9" t="n">
        <f aca="false">COUNTIFS('2. Cleaned Data'!C3:C1202,A9,'2. Cleaned Data'!N3:N1202,"Yes")</f>
        <v>28</v>
      </c>
      <c r="D9" s="10" t="n">
        <f aca="false">IFERROR(C9/B9,0)</f>
        <v>0.186666666666667</v>
      </c>
      <c r="E9" s="11" t="n">
        <f aca="false">IFERROR(AVERAGEIF('2. Cleaned Data'!C3:C1202,A9,'2. Cleaned Data'!F3:F1202),0)</f>
        <v>2.438</v>
      </c>
      <c r="F9" s="12" t="n">
        <f aca="false">IFERROR(AVERAGEIF('2. Cleaned Data'!C3:C1202,A9,'2. Cleaned Data'!G3:G1202),0)</f>
        <v>5263.1728</v>
      </c>
    </row>
    <row r="10" customFormat="false" ht="15" hidden="false" customHeight="false" outlineLevel="0" collapsed="false">
      <c r="A10" s="9" t="s">
        <v>22</v>
      </c>
      <c r="B10" s="9" t="n">
        <f aca="false">COUNTIF('2. Cleaned Data'!C3:C1202,A10)</f>
        <v>295</v>
      </c>
      <c r="C10" s="9" t="n">
        <f aca="false">COUNTIFS('2. Cleaned Data'!C3:C1202,A10,'2. Cleaned Data'!N3:N1202,"Yes")</f>
        <v>64</v>
      </c>
      <c r="D10" s="10" t="n">
        <f aca="false">IFERROR(C10/B10,0)</f>
        <v>0.216949152542373</v>
      </c>
      <c r="E10" s="11" t="n">
        <f aca="false">IFERROR(AVERAGEIF('2. Cleaned Data'!C3:C1202,A10,'2. Cleaned Data'!F3:F1202),0)</f>
        <v>2.5535593220339</v>
      </c>
      <c r="F10" s="12" t="n">
        <f aca="false">IFERROR(AVERAGEIF('2. Cleaned Data'!C3:C1202,A10,'2. Cleaned Data'!G3:G1202),0)</f>
        <v>5272.04837288136</v>
      </c>
    </row>
    <row r="11" customFormat="false" ht="15" hidden="false" customHeight="false" outlineLevel="0" collapsed="false">
      <c r="A11" s="7" t="s">
        <v>1241</v>
      </c>
      <c r="B11" s="7" t="n">
        <f aca="false">SUM(B5:B10)</f>
        <v>1200</v>
      </c>
      <c r="C11" s="7" t="n">
        <f aca="false">SUM(C5:C10)</f>
        <v>300</v>
      </c>
      <c r="D11" s="13" t="n">
        <f aca="false">IFERROR(C11/B11,0)</f>
        <v>0.25</v>
      </c>
    </row>
    <row r="13" customFormat="false" ht="15" hidden="false" customHeight="false" outlineLevel="0" collapsed="false">
      <c r="A13" s="7" t="s">
        <v>1242</v>
      </c>
    </row>
    <row r="14" customFormat="false" ht="15" hidden="false" customHeight="false" outlineLevel="0" collapsed="false">
      <c r="A14" s="14" t="s">
        <v>1243</v>
      </c>
      <c r="B14" s="14" t="s">
        <v>1236</v>
      </c>
      <c r="C14" s="14" t="s">
        <v>1237</v>
      </c>
      <c r="D14" s="14" t="s">
        <v>1238</v>
      </c>
    </row>
    <row r="15" customFormat="false" ht="15" hidden="false" customHeight="false" outlineLevel="0" collapsed="false">
      <c r="A15" s="9" t="s">
        <v>20</v>
      </c>
      <c r="B15" s="15" t="n">
        <f aca="false">COUNTIF('2. Cleaned Data'!H3:H1202,A15)</f>
        <v>407</v>
      </c>
      <c r="C15" s="15" t="n">
        <f aca="false">COUNTIFS('2. Cleaned Data'!H3:H1202,A15,'2. Cleaned Data'!N3:N1202,"Yes")</f>
        <v>144</v>
      </c>
      <c r="D15" s="16" t="n">
        <f aca="false">IFERROR(C15/B15,0)</f>
        <v>0.353808353808354</v>
      </c>
    </row>
    <row r="16" customFormat="false" ht="15" hidden="false" customHeight="false" outlineLevel="0" collapsed="false">
      <c r="A16" s="9" t="s">
        <v>19</v>
      </c>
      <c r="B16" s="15" t="n">
        <f aca="false">COUNTIF('2. Cleaned Data'!H3:H1202,A16)</f>
        <v>793</v>
      </c>
      <c r="C16" s="15" t="n">
        <f aca="false">COUNTIFS('2. Cleaned Data'!H3:H1202,A16,'2. Cleaned Data'!N3:N1202,"Yes")</f>
        <v>156</v>
      </c>
      <c r="D16" s="16" t="n">
        <f aca="false">IFERROR(C16/B16,0)</f>
        <v>0.19672131147541</v>
      </c>
    </row>
    <row r="18" customFormat="false" ht="15" hidden="false" customHeight="false" outlineLevel="0" collapsed="false">
      <c r="A18" s="7" t="s">
        <v>1244</v>
      </c>
    </row>
    <row r="19" customFormat="false" ht="15" hidden="false" customHeight="false" outlineLevel="0" collapsed="false">
      <c r="A19" s="14" t="s">
        <v>1243</v>
      </c>
      <c r="B19" s="14" t="s">
        <v>1236</v>
      </c>
      <c r="C19" s="14" t="s">
        <v>1237</v>
      </c>
      <c r="D19" s="14" t="s">
        <v>1238</v>
      </c>
    </row>
    <row r="20" customFormat="false" ht="15" hidden="false" customHeight="false" outlineLevel="0" collapsed="false">
      <c r="A20" s="9" t="n">
        <v>1</v>
      </c>
      <c r="B20" s="15" t="n">
        <f aca="false">COUNTIF('2. Cleaned Data'!I3:I1202,A20)</f>
        <v>164</v>
      </c>
      <c r="C20" s="15" t="n">
        <f aca="false">COUNTIFS('2. Cleaned Data'!I3:I1202,A20,'2. Cleaned Data'!N3:N1202,"Yes")</f>
        <v>61</v>
      </c>
      <c r="D20" s="16" t="n">
        <f aca="false">IFERROR(C20/B20,0)</f>
        <v>0.371951219512195</v>
      </c>
    </row>
    <row r="21" customFormat="false" ht="15" hidden="false" customHeight="false" outlineLevel="0" collapsed="false">
      <c r="A21" s="9" t="n">
        <v>2</v>
      </c>
      <c r="B21" s="15" t="n">
        <f aca="false">COUNTIF('2. Cleaned Data'!I3:I1202,A21)</f>
        <v>232</v>
      </c>
      <c r="C21" s="15" t="n">
        <f aca="false">COUNTIFS('2. Cleaned Data'!I3:I1202,A21,'2. Cleaned Data'!N3:N1202,"Yes")</f>
        <v>84</v>
      </c>
      <c r="D21" s="16" t="n">
        <f aca="false">IFERROR(C21/B21,0)</f>
        <v>0.362068965517241</v>
      </c>
    </row>
    <row r="22" customFormat="false" ht="15" hidden="false" customHeight="false" outlineLevel="0" collapsed="false">
      <c r="A22" s="9" t="n">
        <v>3</v>
      </c>
      <c r="B22" s="15" t="n">
        <f aca="false">COUNTIF('2. Cleaned Data'!I3:I1202,A22)</f>
        <v>440</v>
      </c>
      <c r="C22" s="15" t="n">
        <f aca="false">COUNTIFS('2. Cleaned Data'!I3:I1202,A22,'2. Cleaned Data'!N3:N1202,"Yes")</f>
        <v>73</v>
      </c>
      <c r="D22" s="16" t="n">
        <f aca="false">IFERROR(C22/B22,0)</f>
        <v>0.165909090909091</v>
      </c>
    </row>
    <row r="23" customFormat="false" ht="15" hidden="false" customHeight="false" outlineLevel="0" collapsed="false">
      <c r="A23" s="9" t="n">
        <v>4</v>
      </c>
      <c r="B23" s="15" t="n">
        <f aca="false">COUNTIF('2. Cleaned Data'!I3:I1202,A23)</f>
        <v>364</v>
      </c>
      <c r="C23" s="15" t="n">
        <f aca="false">COUNTIFS('2. Cleaned Data'!I3:I1202,A23,'2. Cleaned Data'!N3:N1202,"Yes")</f>
        <v>82</v>
      </c>
      <c r="D23" s="16" t="n">
        <f aca="false">IFERROR(C23/B23,0)</f>
        <v>0.225274725274725</v>
      </c>
    </row>
    <row r="25" customFormat="false" ht="15" hidden="false" customHeight="false" outlineLevel="0" collapsed="false">
      <c r="A25" s="7" t="s">
        <v>1245</v>
      </c>
    </row>
    <row r="26" customFormat="false" ht="15" hidden="false" customHeight="false" outlineLevel="0" collapsed="false">
      <c r="A26" s="14" t="s">
        <v>1243</v>
      </c>
      <c r="B26" s="14" t="s">
        <v>1236</v>
      </c>
      <c r="C26" s="14" t="s">
        <v>1237</v>
      </c>
      <c r="D26" s="14" t="s">
        <v>1238</v>
      </c>
    </row>
    <row r="27" customFormat="false" ht="15" hidden="false" customHeight="false" outlineLevel="0" collapsed="false">
      <c r="A27" s="9" t="n">
        <v>1</v>
      </c>
      <c r="B27" s="15" t="n">
        <f aca="false">COUNTIF('2. Cleaned Data'!J3:J1202,A27)</f>
        <v>132</v>
      </c>
      <c r="C27" s="15" t="n">
        <f aca="false">COUNTIFS('2. Cleaned Data'!J3:J1202,A27,'2. Cleaned Data'!N3:N1202,"Yes")</f>
        <v>51</v>
      </c>
      <c r="D27" s="16" t="n">
        <f aca="false">IFERROR(C27/B27,0)</f>
        <v>0.386363636363636</v>
      </c>
    </row>
    <row r="28" customFormat="false" ht="15" hidden="false" customHeight="false" outlineLevel="0" collapsed="false">
      <c r="A28" s="9" t="n">
        <v>2</v>
      </c>
      <c r="B28" s="15" t="n">
        <f aca="false">COUNTIF('2. Cleaned Data'!J3:J1202,A28)</f>
        <v>290</v>
      </c>
      <c r="C28" s="15" t="n">
        <f aca="false">COUNTIFS('2. Cleaned Data'!J3:J1202,A28,'2. Cleaned Data'!N3:N1202,"Yes")</f>
        <v>96</v>
      </c>
      <c r="D28" s="16" t="n">
        <f aca="false">IFERROR(C28/B28,0)</f>
        <v>0.331034482758621</v>
      </c>
    </row>
    <row r="29" customFormat="false" ht="15" hidden="false" customHeight="false" outlineLevel="0" collapsed="false">
      <c r="A29" s="9" t="n">
        <v>3</v>
      </c>
      <c r="B29" s="15" t="n">
        <f aca="false">COUNTIF('2. Cleaned Data'!J3:J1202,A29)</f>
        <v>454</v>
      </c>
      <c r="C29" s="15" t="n">
        <f aca="false">COUNTIFS('2. Cleaned Data'!J3:J1202,A29,'2. Cleaned Data'!N3:N1202,"Yes")</f>
        <v>90</v>
      </c>
      <c r="D29" s="16" t="n">
        <f aca="false">IFERROR(C29/B29,0)</f>
        <v>0.198237885462555</v>
      </c>
    </row>
    <row r="30" customFormat="false" ht="15" hidden="false" customHeight="false" outlineLevel="0" collapsed="false">
      <c r="A30" s="9" t="n">
        <v>4</v>
      </c>
      <c r="B30" s="15" t="n">
        <f aca="false">COUNTIF('2. Cleaned Data'!J3:J1202,A30)</f>
        <v>324</v>
      </c>
      <c r="C30" s="15" t="n">
        <f aca="false">COUNTIFS('2. Cleaned Data'!J3:J1202,A30,'2. Cleaned Data'!N3:N1202,"Yes")</f>
        <v>63</v>
      </c>
      <c r="D30" s="16" t="n">
        <f aca="false">IFERROR(C30/B30,0)</f>
        <v>0.194444444444444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7" t="s">
        <v>1246</v>
      </c>
    </row>
    <row r="3" customFormat="false" ht="31.5" hidden="false" customHeight="true" outlineLevel="0" collapsed="false">
      <c r="A3" s="18" t="s">
        <v>1247</v>
      </c>
    </row>
    <row r="4" customFormat="false" ht="31.5" hidden="false" customHeight="true" outlineLevel="0" collapsed="false">
      <c r="A4" s="18" t="s">
        <v>1248</v>
      </c>
    </row>
    <row r="5" customFormat="false" ht="31.5" hidden="false" customHeight="true" outlineLevel="0" collapsed="false">
      <c r="A5" s="18" t="s">
        <v>1249</v>
      </c>
    </row>
    <row r="6" customFormat="false" ht="31.5" hidden="false" customHeight="true" outlineLevel="0" collapsed="false">
      <c r="A6" s="18" t="s">
        <v>1250</v>
      </c>
    </row>
    <row r="7" customFormat="false" ht="31.5" hidden="false" customHeight="true" outlineLevel="0" collapsed="false">
      <c r="A7" s="18" t="s">
        <v>1251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2026-08-15T06:54:30Z</dcterms:created>
  <dc:creator>openpyxl</dc:creator>
  <dc:description/>
  <dc:language>en-US</dc:language>
  <cp:lastModifiedBy/>
  <dcterms:modified xsi:type="dcterms:W3CDTF">2026-08-15T06:54:31Z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